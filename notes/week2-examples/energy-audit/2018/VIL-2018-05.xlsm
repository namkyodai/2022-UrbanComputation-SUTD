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8\"/>
    </mc:Choice>
  </mc:AlternateContent>
  <xr:revisionPtr revIDLastSave="0" documentId="13_ncr:1_{B34E0349-9387-4BEF-8096-FBAA46120CEC}" xr6:coauthVersionLast="40" xr6:coauthVersionMax="40" xr10:uidLastSave="{00000000-0000-0000-0000-000000000000}"/>
  <bookViews>
    <workbookView xWindow="-110" yWindow="-110" windowWidth="19420" windowHeight="10420" firstSheet="22" activeTab="30" xr2:uid="{00000000-000D-0000-FFFF-FFFF00000000}"/>
  </bookViews>
  <sheets>
    <sheet name="MAY 1" sheetId="604" r:id="rId1"/>
    <sheet name="MAY 2" sheetId="605" r:id="rId2"/>
    <sheet name="MAY 3" sheetId="606" r:id="rId3"/>
    <sheet name="MAY 4" sheetId="607" r:id="rId4"/>
    <sheet name="MAY 5" sheetId="608" r:id="rId5"/>
    <sheet name="MAY 6" sheetId="609" r:id="rId6"/>
    <sheet name="MAY 7" sheetId="610" r:id="rId7"/>
    <sheet name="MAY 8" sheetId="611" r:id="rId8"/>
    <sheet name="MAY 9" sheetId="612" r:id="rId9"/>
    <sheet name="MAY 10" sheetId="613" r:id="rId10"/>
    <sheet name="MAY 11" sheetId="614" r:id="rId11"/>
    <sheet name="MAY 12" sheetId="615" r:id="rId12"/>
    <sheet name="MAY 13" sheetId="616" r:id="rId13"/>
    <sheet name="MAY 14" sheetId="617" r:id="rId14"/>
    <sheet name="MAY 15" sheetId="618" r:id="rId15"/>
    <sheet name="MAY 16" sheetId="619" r:id="rId16"/>
    <sheet name="MAY 17" sheetId="620" r:id="rId17"/>
    <sheet name="MAY 18" sheetId="621" r:id="rId18"/>
    <sheet name="MAY 19" sheetId="622" r:id="rId19"/>
    <sheet name="MAY 20" sheetId="623" r:id="rId20"/>
    <sheet name="MAY 21" sheetId="624" r:id="rId21"/>
    <sheet name="MAY 22" sheetId="625" r:id="rId22"/>
    <sheet name="MAY 23" sheetId="626" r:id="rId23"/>
    <sheet name="MAY 24" sheetId="627" r:id="rId24"/>
    <sheet name="MAY 25" sheetId="628" r:id="rId25"/>
    <sheet name="MAY 26" sheetId="629" r:id="rId26"/>
    <sheet name="MAY 27" sheetId="630" r:id="rId27"/>
    <sheet name="MAY 28" sheetId="631" r:id="rId28"/>
    <sheet name="MAY 29" sheetId="632" r:id="rId29"/>
    <sheet name="MAY 30" sheetId="633" r:id="rId30"/>
    <sheet name="MAY 31" sheetId="634" r:id="rId31"/>
  </sheets>
  <externalReferences>
    <externalReference r:id="rId32"/>
  </externalReferences>
  <definedNames>
    <definedName name="_2pm___10pm" localSheetId="0">#REF!</definedName>
    <definedName name="_2pm___10pm" localSheetId="9">#REF!</definedName>
    <definedName name="_2pm___10pm" localSheetId="10">#REF!</definedName>
    <definedName name="_2pm___10pm" localSheetId="11">#REF!</definedName>
    <definedName name="_2pm___10pm" localSheetId="12">#REF!</definedName>
    <definedName name="_2pm___10pm" localSheetId="13">#REF!</definedName>
    <definedName name="_2pm___10pm" localSheetId="14">#REF!</definedName>
    <definedName name="_2pm___10pm" localSheetId="15">#REF!</definedName>
    <definedName name="_2pm___10pm" localSheetId="16">#REF!</definedName>
    <definedName name="_2pm___10pm" localSheetId="17">#REF!</definedName>
    <definedName name="_2pm___10pm" localSheetId="18">#REF!</definedName>
    <definedName name="_2pm___10pm" localSheetId="1">#REF!</definedName>
    <definedName name="_2pm___10pm" localSheetId="19">#REF!</definedName>
    <definedName name="_2pm___10pm" localSheetId="20">#REF!</definedName>
    <definedName name="_2pm___10pm" localSheetId="21">#REF!</definedName>
    <definedName name="_2pm___10pm" localSheetId="22">#REF!</definedName>
    <definedName name="_2pm___10pm" localSheetId="23">#REF!</definedName>
    <definedName name="_2pm___10pm" localSheetId="24">#REF!</definedName>
    <definedName name="_2pm___10pm" localSheetId="25">#REF!</definedName>
    <definedName name="_2pm___10pm" localSheetId="26">#REF!</definedName>
    <definedName name="_2pm___10pm" localSheetId="27">#REF!</definedName>
    <definedName name="_2pm___10pm" localSheetId="28">#REF!</definedName>
    <definedName name="_2pm___10pm" localSheetId="2">#REF!</definedName>
    <definedName name="_2pm___10pm" localSheetId="29">#REF!</definedName>
    <definedName name="_2pm___10pm" localSheetId="30">#REF!</definedName>
    <definedName name="_2pm___10pm" localSheetId="3">#REF!</definedName>
    <definedName name="_2pm___10pm" localSheetId="4">#REF!</definedName>
    <definedName name="_2pm___10pm" localSheetId="5">#REF!</definedName>
    <definedName name="_2pm___10pm" localSheetId="6">#REF!</definedName>
    <definedName name="_2pm___10pm" localSheetId="7">#REF!</definedName>
    <definedName name="_2pm___10pm" localSheetId="8">#REF!</definedName>
    <definedName name="R._MALLARI___R._REGENCIA" localSheetId="0">#REF!</definedName>
    <definedName name="R._MALLARI___R._REGENCIA" localSheetId="9">#REF!</definedName>
    <definedName name="R._MALLARI___R._REGENCIA" localSheetId="10">#REF!</definedName>
    <definedName name="R._MALLARI___R._REGENCIA" localSheetId="11">#REF!</definedName>
    <definedName name="R._MALLARI___R._REGENCIA" localSheetId="12">#REF!</definedName>
    <definedName name="R._MALLARI___R._REGENCIA" localSheetId="13">#REF!</definedName>
    <definedName name="R._MALLARI___R._REGENCIA" localSheetId="14">#REF!</definedName>
    <definedName name="R._MALLARI___R._REGENCIA" localSheetId="15">#REF!</definedName>
    <definedName name="R._MALLARI___R._REGENCIA" localSheetId="16">#REF!</definedName>
    <definedName name="R._MALLARI___R._REGENCIA" localSheetId="17">#REF!</definedName>
    <definedName name="R._MALLARI___R._REGENCIA" localSheetId="18">#REF!</definedName>
    <definedName name="R._MALLARI___R._REGENCIA" localSheetId="1">#REF!</definedName>
    <definedName name="R._MALLARI___R._REGENCIA" localSheetId="19">#REF!</definedName>
    <definedName name="R._MALLARI___R._REGENCIA" localSheetId="20">#REF!</definedName>
    <definedName name="R._MALLARI___R._REGENCIA" localSheetId="21">#REF!</definedName>
    <definedName name="R._MALLARI___R._REGENCIA" localSheetId="22">#REF!</definedName>
    <definedName name="R._MALLARI___R._REGENCIA" localSheetId="23">#REF!</definedName>
    <definedName name="R._MALLARI___R._REGENCIA" localSheetId="24">#REF!</definedName>
    <definedName name="R._MALLARI___R._REGENCIA" localSheetId="25">#REF!</definedName>
    <definedName name="R._MALLARI___R._REGENCIA" localSheetId="26">#REF!</definedName>
    <definedName name="R._MALLARI___R._REGENCIA" localSheetId="27">#REF!</definedName>
    <definedName name="R._MALLARI___R._REGENCIA" localSheetId="28">#REF!</definedName>
    <definedName name="R._MALLARI___R._REGENCIA" localSheetId="2">#REF!</definedName>
    <definedName name="R._MALLARI___R._REGENCIA" localSheetId="29">#REF!</definedName>
    <definedName name="R._MALLARI___R._REGENCIA" localSheetId="30">#REF!</definedName>
    <definedName name="R._MALLARI___R._REGENCIA" localSheetId="3">#REF!</definedName>
    <definedName name="R._MALLARI___R._REGENCIA" localSheetId="4">#REF!</definedName>
    <definedName name="R._MALLARI___R._REGENCIA" localSheetId="5">#REF!</definedName>
    <definedName name="R._MALLARI___R._REGENCIA" localSheetId="6">#REF!</definedName>
    <definedName name="R._MALLARI___R._REGENCIA" localSheetId="7">#REF!</definedName>
    <definedName name="R._MALLARI___R._REGENCIA" localSheetId="8">#REF!</definedName>
  </definedNames>
  <calcPr calcId="181029"/>
</workbook>
</file>

<file path=xl/calcChain.xml><?xml version="1.0" encoding="utf-8"?>
<calcChain xmlns="http://schemas.openxmlformats.org/spreadsheetml/2006/main">
  <c r="AI11" i="634" l="1"/>
  <c r="AJ13" i="634" s="1"/>
  <c r="S11" i="634"/>
  <c r="T13" i="634" s="1"/>
  <c r="U13" i="634" s="1"/>
  <c r="AU37" i="634"/>
  <c r="AS37" i="634"/>
  <c r="AT36" i="634"/>
  <c r="AJ36" i="634"/>
  <c r="X36" i="634"/>
  <c r="T36" i="634"/>
  <c r="V36" i="634" s="1"/>
  <c r="L36" i="634"/>
  <c r="M36" i="634" s="1"/>
  <c r="H36" i="634"/>
  <c r="E36" i="634"/>
  <c r="AT35" i="634"/>
  <c r="AJ35" i="634"/>
  <c r="X35" i="634"/>
  <c r="T35" i="634"/>
  <c r="V35" i="634" s="1"/>
  <c r="L35" i="634"/>
  <c r="M35" i="634" s="1"/>
  <c r="H35" i="634"/>
  <c r="E35" i="634"/>
  <c r="AZ34" i="634"/>
  <c r="AT34" i="634"/>
  <c r="AJ34" i="634"/>
  <c r="X34" i="634"/>
  <c r="T34" i="634"/>
  <c r="V34" i="634" s="1"/>
  <c r="L34" i="634"/>
  <c r="M34" i="634" s="1"/>
  <c r="H34" i="634"/>
  <c r="E34" i="634"/>
  <c r="AJ33" i="634"/>
  <c r="X33" i="634"/>
  <c r="T33" i="634"/>
  <c r="V33" i="634" s="1"/>
  <c r="L33" i="634"/>
  <c r="M33" i="634" s="1"/>
  <c r="H33" i="634"/>
  <c r="E33" i="634"/>
  <c r="AJ32" i="634"/>
  <c r="X32" i="634"/>
  <c r="T32" i="634"/>
  <c r="U32" i="634" s="1"/>
  <c r="L32" i="634"/>
  <c r="K32" i="634" s="1"/>
  <c r="H32" i="634"/>
  <c r="E32" i="634"/>
  <c r="AT31" i="634"/>
  <c r="AJ31" i="634"/>
  <c r="X31" i="634"/>
  <c r="T31" i="634"/>
  <c r="U31" i="634" s="1"/>
  <c r="L31" i="634"/>
  <c r="K31" i="634" s="1"/>
  <c r="H31" i="634"/>
  <c r="E31" i="634"/>
  <c r="AT30" i="634"/>
  <c r="AJ30" i="634"/>
  <c r="X30" i="634"/>
  <c r="T30" i="634"/>
  <c r="U30" i="634" s="1"/>
  <c r="L30" i="634"/>
  <c r="K30" i="634" s="1"/>
  <c r="H30" i="634"/>
  <c r="E30" i="634"/>
  <c r="AT29" i="634"/>
  <c r="AJ29" i="634"/>
  <c r="X29" i="634"/>
  <c r="T29" i="634"/>
  <c r="U29" i="634" s="1"/>
  <c r="L29" i="634"/>
  <c r="K29" i="634" s="1"/>
  <c r="H29" i="634"/>
  <c r="E29" i="634"/>
  <c r="AT28" i="634"/>
  <c r="AJ28" i="634"/>
  <c r="X28" i="634"/>
  <c r="T28" i="634"/>
  <c r="U28" i="634" s="1"/>
  <c r="L28" i="634"/>
  <c r="K28" i="634" s="1"/>
  <c r="H28" i="634"/>
  <c r="E28" i="634"/>
  <c r="AT27" i="634"/>
  <c r="AJ27" i="634"/>
  <c r="X27" i="634"/>
  <c r="T27" i="634"/>
  <c r="U27" i="634" s="1"/>
  <c r="L27" i="634"/>
  <c r="K27" i="634" s="1"/>
  <c r="H27" i="634"/>
  <c r="E27" i="634"/>
  <c r="AT26" i="634"/>
  <c r="AJ26" i="634"/>
  <c r="X26" i="634"/>
  <c r="T26" i="634"/>
  <c r="U26" i="634" s="1"/>
  <c r="L26" i="634"/>
  <c r="K26" i="634" s="1"/>
  <c r="H26" i="634"/>
  <c r="E26" i="634"/>
  <c r="AT25" i="634"/>
  <c r="AJ25" i="634"/>
  <c r="X25" i="634"/>
  <c r="T25" i="634"/>
  <c r="U25" i="634" s="1"/>
  <c r="L25" i="634"/>
  <c r="K25" i="634" s="1"/>
  <c r="H25" i="634"/>
  <c r="E25" i="634"/>
  <c r="AT24" i="634"/>
  <c r="AJ24" i="634"/>
  <c r="X24" i="634"/>
  <c r="T24" i="634"/>
  <c r="U24" i="634" s="1"/>
  <c r="L24" i="634"/>
  <c r="K24" i="634" s="1"/>
  <c r="H24" i="634"/>
  <c r="E24" i="634"/>
  <c r="AT23" i="634"/>
  <c r="AJ23" i="634"/>
  <c r="X23" i="634"/>
  <c r="T23" i="634"/>
  <c r="U23" i="634" s="1"/>
  <c r="L23" i="634"/>
  <c r="K23" i="634" s="1"/>
  <c r="H23" i="634"/>
  <c r="E23" i="634"/>
  <c r="AT22" i="634"/>
  <c r="AJ22" i="634"/>
  <c r="X22" i="634"/>
  <c r="T22" i="634"/>
  <c r="U22" i="634" s="1"/>
  <c r="L22" i="634"/>
  <c r="K22" i="634" s="1"/>
  <c r="H22" i="634"/>
  <c r="E22" i="634"/>
  <c r="AT21" i="634"/>
  <c r="AJ21" i="634"/>
  <c r="X21" i="634"/>
  <c r="T21" i="634"/>
  <c r="U21" i="634" s="1"/>
  <c r="L21" i="634"/>
  <c r="K21" i="634" s="1"/>
  <c r="H21" i="634"/>
  <c r="E21" i="634"/>
  <c r="AT20" i="634"/>
  <c r="AJ20" i="634"/>
  <c r="X20" i="634"/>
  <c r="T20" i="634"/>
  <c r="U20" i="634" s="1"/>
  <c r="L20" i="634"/>
  <c r="K20" i="634" s="1"/>
  <c r="H20" i="634"/>
  <c r="E20" i="634"/>
  <c r="AT19" i="634"/>
  <c r="AJ19" i="634"/>
  <c r="X19" i="634"/>
  <c r="T19" i="634"/>
  <c r="U19" i="634" s="1"/>
  <c r="L19" i="634"/>
  <c r="K19" i="634" s="1"/>
  <c r="H19" i="634"/>
  <c r="E19" i="634"/>
  <c r="AT18" i="634"/>
  <c r="AJ18" i="634"/>
  <c r="X18" i="634"/>
  <c r="T18" i="634"/>
  <c r="U18" i="634" s="1"/>
  <c r="L18" i="634"/>
  <c r="K18" i="634" s="1"/>
  <c r="H18" i="634"/>
  <c r="E18" i="634"/>
  <c r="AT17" i="634"/>
  <c r="AJ17" i="634"/>
  <c r="X17" i="634"/>
  <c r="T17" i="634"/>
  <c r="U17" i="634" s="1"/>
  <c r="L17" i="634"/>
  <c r="K17" i="634" s="1"/>
  <c r="H17" i="634"/>
  <c r="E17" i="634"/>
  <c r="AT16" i="634"/>
  <c r="AJ16" i="634"/>
  <c r="X16" i="634"/>
  <c r="T16" i="634"/>
  <c r="U16" i="634" s="1"/>
  <c r="L16" i="634"/>
  <c r="K16" i="634" s="1"/>
  <c r="H16" i="634"/>
  <c r="E16" i="634"/>
  <c r="AT15" i="634"/>
  <c r="AJ15" i="634"/>
  <c r="X15" i="634"/>
  <c r="T15" i="634"/>
  <c r="U15" i="634" s="1"/>
  <c r="L15" i="634"/>
  <c r="K15" i="634" s="1"/>
  <c r="H15" i="634"/>
  <c r="E15" i="634"/>
  <c r="AT14" i="634"/>
  <c r="AJ14" i="634"/>
  <c r="X14" i="634"/>
  <c r="T14" i="634"/>
  <c r="U14" i="634" s="1"/>
  <c r="L14" i="634"/>
  <c r="K14" i="634" s="1"/>
  <c r="H14" i="634"/>
  <c r="E14" i="634"/>
  <c r="AT13" i="634"/>
  <c r="X13" i="634"/>
  <c r="L13" i="634"/>
  <c r="K13" i="634" s="1"/>
  <c r="H13" i="634"/>
  <c r="E13" i="634"/>
  <c r="AI8" i="634" l="1"/>
  <c r="AT37" i="634"/>
  <c r="K36" i="634"/>
  <c r="K35" i="634"/>
  <c r="K34" i="634"/>
  <c r="AK34" i="634"/>
  <c r="K33" i="634"/>
  <c r="AK33" i="634"/>
  <c r="V32" i="634"/>
  <c r="AK32" i="634" s="1"/>
  <c r="V31" i="634"/>
  <c r="V30" i="634"/>
  <c r="AK30" i="634" s="1"/>
  <c r="V29" i="634"/>
  <c r="AK29" i="634" s="1"/>
  <c r="AK31" i="634"/>
  <c r="AK35" i="634"/>
  <c r="AJ37" i="634"/>
  <c r="AK36" i="634"/>
  <c r="V13" i="634"/>
  <c r="AK13" i="634" s="1"/>
  <c r="V14" i="634"/>
  <c r="AK14" i="634" s="1"/>
  <c r="V15" i="634"/>
  <c r="AK15" i="634" s="1"/>
  <c r="V16" i="634"/>
  <c r="AK16" i="634" s="1"/>
  <c r="V17" i="634"/>
  <c r="AK17" i="634" s="1"/>
  <c r="V18" i="634"/>
  <c r="AK18" i="634" s="1"/>
  <c r="V19" i="634"/>
  <c r="AK19" i="634" s="1"/>
  <c r="V20" i="634"/>
  <c r="AK20" i="634" s="1"/>
  <c r="V21" i="634"/>
  <c r="AK21" i="634" s="1"/>
  <c r="V22" i="634"/>
  <c r="AK22" i="634" s="1"/>
  <c r="V23" i="634"/>
  <c r="AK23" i="634" s="1"/>
  <c r="V24" i="634"/>
  <c r="AK24" i="634" s="1"/>
  <c r="V25" i="634"/>
  <c r="AK25" i="634" s="1"/>
  <c r="V26" i="634"/>
  <c r="AK26" i="634" s="1"/>
  <c r="V27" i="634"/>
  <c r="AK27" i="634" s="1"/>
  <c r="V28" i="634"/>
  <c r="AK28" i="634" s="1"/>
  <c r="T37" i="634"/>
  <c r="M13" i="634"/>
  <c r="M14" i="634"/>
  <c r="M15" i="634"/>
  <c r="M16" i="634"/>
  <c r="M17" i="634"/>
  <c r="M18" i="634"/>
  <c r="M19" i="634"/>
  <c r="M20" i="634"/>
  <c r="M21" i="634"/>
  <c r="M22" i="634"/>
  <c r="M23" i="634"/>
  <c r="M24" i="634"/>
  <c r="M25" i="634"/>
  <c r="M26" i="634"/>
  <c r="M27" i="634"/>
  <c r="M28" i="634"/>
  <c r="M29" i="634"/>
  <c r="M30" i="634"/>
  <c r="M31" i="634"/>
  <c r="M32" i="634"/>
  <c r="U34" i="634"/>
  <c r="U33" i="634"/>
  <c r="U35" i="634"/>
  <c r="U36" i="634"/>
  <c r="V37" i="634" l="1"/>
  <c r="AK37" i="634" s="1"/>
  <c r="U37" i="634"/>
  <c r="AI11" i="633" l="1"/>
  <c r="S11" i="633"/>
  <c r="AU37" i="633"/>
  <c r="AS37" i="633"/>
  <c r="AT36" i="633"/>
  <c r="AJ36" i="633"/>
  <c r="X36" i="633"/>
  <c r="T36" i="633"/>
  <c r="V36" i="633" s="1"/>
  <c r="L36" i="633"/>
  <c r="K36" i="633" s="1"/>
  <c r="H36" i="633"/>
  <c r="E36" i="633"/>
  <c r="AT35" i="633"/>
  <c r="AJ35" i="633"/>
  <c r="X35" i="633"/>
  <c r="T35" i="633"/>
  <c r="V35" i="633" s="1"/>
  <c r="L35" i="633"/>
  <c r="M35" i="633" s="1"/>
  <c r="H35" i="633"/>
  <c r="E35" i="633"/>
  <c r="AZ34" i="633"/>
  <c r="AT34" i="633"/>
  <c r="AJ34" i="633"/>
  <c r="X34" i="633"/>
  <c r="T34" i="633"/>
  <c r="V34" i="633" s="1"/>
  <c r="L34" i="633"/>
  <c r="M34" i="633" s="1"/>
  <c r="H34" i="633"/>
  <c r="E34" i="633"/>
  <c r="AJ33" i="633"/>
  <c r="X33" i="633"/>
  <c r="T33" i="633"/>
  <c r="V33" i="633" s="1"/>
  <c r="L33" i="633"/>
  <c r="M33" i="633" s="1"/>
  <c r="H33" i="633"/>
  <c r="E33" i="633"/>
  <c r="AJ32" i="633"/>
  <c r="X32" i="633"/>
  <c r="T32" i="633"/>
  <c r="U32" i="633" s="1"/>
  <c r="L32" i="633"/>
  <c r="K32" i="633" s="1"/>
  <c r="H32" i="633"/>
  <c r="E32" i="633"/>
  <c r="AT31" i="633"/>
  <c r="AJ31" i="633"/>
  <c r="X31" i="633"/>
  <c r="T31" i="633"/>
  <c r="U31" i="633" s="1"/>
  <c r="L31" i="633"/>
  <c r="K31" i="633" s="1"/>
  <c r="H31" i="633"/>
  <c r="E31" i="633"/>
  <c r="AT30" i="633"/>
  <c r="AJ30" i="633"/>
  <c r="X30" i="633"/>
  <c r="T30" i="633"/>
  <c r="U30" i="633" s="1"/>
  <c r="L30" i="633"/>
  <c r="K30" i="633" s="1"/>
  <c r="H30" i="633"/>
  <c r="E30" i="633"/>
  <c r="AT29" i="633"/>
  <c r="AJ29" i="633"/>
  <c r="X29" i="633"/>
  <c r="T29" i="633"/>
  <c r="U29" i="633" s="1"/>
  <c r="L29" i="633"/>
  <c r="K29" i="633" s="1"/>
  <c r="H29" i="633"/>
  <c r="E29" i="633"/>
  <c r="AT28" i="633"/>
  <c r="AJ28" i="633"/>
  <c r="X28" i="633"/>
  <c r="T28" i="633"/>
  <c r="U28" i="633" s="1"/>
  <c r="L28" i="633"/>
  <c r="K28" i="633" s="1"/>
  <c r="H28" i="633"/>
  <c r="E28" i="633"/>
  <c r="AT27" i="633"/>
  <c r="AJ27" i="633"/>
  <c r="X27" i="633"/>
  <c r="T27" i="633"/>
  <c r="U27" i="633" s="1"/>
  <c r="L27" i="633"/>
  <c r="K27" i="633" s="1"/>
  <c r="H27" i="633"/>
  <c r="E27" i="633"/>
  <c r="AT26" i="633"/>
  <c r="AJ26" i="633"/>
  <c r="X26" i="633"/>
  <c r="T26" i="633"/>
  <c r="U26" i="633" s="1"/>
  <c r="L26" i="633"/>
  <c r="K26" i="633" s="1"/>
  <c r="H26" i="633"/>
  <c r="E26" i="633"/>
  <c r="AT25" i="633"/>
  <c r="AJ25" i="633"/>
  <c r="X25" i="633"/>
  <c r="T25" i="633"/>
  <c r="U25" i="633" s="1"/>
  <c r="L25" i="633"/>
  <c r="K25" i="633" s="1"/>
  <c r="H25" i="633"/>
  <c r="E25" i="633"/>
  <c r="AT24" i="633"/>
  <c r="AJ24" i="633"/>
  <c r="X24" i="633"/>
  <c r="T24" i="633"/>
  <c r="U24" i="633" s="1"/>
  <c r="L24" i="633"/>
  <c r="K24" i="633" s="1"/>
  <c r="H24" i="633"/>
  <c r="E24" i="633"/>
  <c r="AT23" i="633"/>
  <c r="AJ23" i="633"/>
  <c r="X23" i="633"/>
  <c r="T23" i="633"/>
  <c r="U23" i="633" s="1"/>
  <c r="L23" i="633"/>
  <c r="K23" i="633" s="1"/>
  <c r="H23" i="633"/>
  <c r="E23" i="633"/>
  <c r="AT22" i="633"/>
  <c r="AJ22" i="633"/>
  <c r="X22" i="633"/>
  <c r="T22" i="633"/>
  <c r="U22" i="633" s="1"/>
  <c r="L22" i="633"/>
  <c r="K22" i="633" s="1"/>
  <c r="H22" i="633"/>
  <c r="E22" i="633"/>
  <c r="AT21" i="633"/>
  <c r="AJ21" i="633"/>
  <c r="X21" i="633"/>
  <c r="T21" i="633"/>
  <c r="U21" i="633" s="1"/>
  <c r="L21" i="633"/>
  <c r="K21" i="633" s="1"/>
  <c r="H21" i="633"/>
  <c r="E21" i="633"/>
  <c r="AT20" i="633"/>
  <c r="AJ20" i="633"/>
  <c r="X20" i="633"/>
  <c r="T20" i="633"/>
  <c r="U20" i="633" s="1"/>
  <c r="L20" i="633"/>
  <c r="K20" i="633" s="1"/>
  <c r="H20" i="633"/>
  <c r="E20" i="633"/>
  <c r="AT19" i="633"/>
  <c r="AJ19" i="633"/>
  <c r="X19" i="633"/>
  <c r="T19" i="633"/>
  <c r="U19" i="633" s="1"/>
  <c r="L19" i="633"/>
  <c r="K19" i="633" s="1"/>
  <c r="H19" i="633"/>
  <c r="E19" i="633"/>
  <c r="AT18" i="633"/>
  <c r="AJ18" i="633"/>
  <c r="X18" i="633"/>
  <c r="T18" i="633"/>
  <c r="U18" i="633" s="1"/>
  <c r="L18" i="633"/>
  <c r="K18" i="633" s="1"/>
  <c r="H18" i="633"/>
  <c r="E18" i="633"/>
  <c r="AT17" i="633"/>
  <c r="AJ17" i="633"/>
  <c r="X17" i="633"/>
  <c r="T17" i="633"/>
  <c r="U17" i="633" s="1"/>
  <c r="L17" i="633"/>
  <c r="K17" i="633" s="1"/>
  <c r="H17" i="633"/>
  <c r="E17" i="633"/>
  <c r="AT16" i="633"/>
  <c r="AJ16" i="633"/>
  <c r="X16" i="633"/>
  <c r="T16" i="633"/>
  <c r="U16" i="633" s="1"/>
  <c r="L16" i="633"/>
  <c r="K16" i="633" s="1"/>
  <c r="H16" i="633"/>
  <c r="E16" i="633"/>
  <c r="AT15" i="633"/>
  <c r="AJ15" i="633"/>
  <c r="X15" i="633"/>
  <c r="T15" i="633"/>
  <c r="U15" i="633" s="1"/>
  <c r="L15" i="633"/>
  <c r="K15" i="633" s="1"/>
  <c r="H15" i="633"/>
  <c r="E15" i="633"/>
  <c r="AT14" i="633"/>
  <c r="AJ14" i="633"/>
  <c r="X14" i="633"/>
  <c r="T14" i="633"/>
  <c r="U14" i="633" s="1"/>
  <c r="L14" i="633"/>
  <c r="K14" i="633" s="1"/>
  <c r="H14" i="633"/>
  <c r="E14" i="633"/>
  <c r="AT13" i="633"/>
  <c r="X13" i="633"/>
  <c r="T13" i="633"/>
  <c r="U13" i="633" s="1"/>
  <c r="L13" i="633"/>
  <c r="K13" i="633" s="1"/>
  <c r="H13" i="633"/>
  <c r="E13" i="633"/>
  <c r="AJ13" i="633"/>
  <c r="K34" i="633" l="1"/>
  <c r="AT37" i="633"/>
  <c r="M36" i="633"/>
  <c r="K35" i="633"/>
  <c r="K33" i="633"/>
  <c r="AK33" i="633"/>
  <c r="V32" i="633"/>
  <c r="AK32" i="633" s="1"/>
  <c r="V30" i="633"/>
  <c r="AK30" i="633" s="1"/>
  <c r="V31" i="633"/>
  <c r="AK31" i="633" s="1"/>
  <c r="V28" i="633"/>
  <c r="AK28" i="633" s="1"/>
  <c r="V29" i="633"/>
  <c r="AK29" i="633" s="1"/>
  <c r="V27" i="633"/>
  <c r="AK27" i="633" s="1"/>
  <c r="V26" i="633"/>
  <c r="V25" i="633"/>
  <c r="AK25" i="633" s="1"/>
  <c r="V24" i="633"/>
  <c r="V23" i="633"/>
  <c r="AK23" i="633" s="1"/>
  <c r="V22" i="633"/>
  <c r="V21" i="633"/>
  <c r="AK21" i="633" s="1"/>
  <c r="V20" i="633"/>
  <c r="V19" i="633"/>
  <c r="AK19" i="633" s="1"/>
  <c r="V18" i="633"/>
  <c r="AK18" i="633" s="1"/>
  <c r="V17" i="633"/>
  <c r="V16" i="633"/>
  <c r="AK16" i="633" s="1"/>
  <c r="V15" i="633"/>
  <c r="AK15" i="633" s="1"/>
  <c r="V14" i="633"/>
  <c r="AK14" i="633" s="1"/>
  <c r="AK34" i="633"/>
  <c r="AK17" i="633"/>
  <c r="AK20" i="633"/>
  <c r="AK22" i="633"/>
  <c r="AK24" i="633"/>
  <c r="AK26" i="633"/>
  <c r="V13" i="633"/>
  <c r="AK13" i="633" s="1"/>
  <c r="AK35" i="633"/>
  <c r="AJ37" i="633"/>
  <c r="AK36" i="633"/>
  <c r="T37" i="633"/>
  <c r="M13" i="633"/>
  <c r="M14" i="633"/>
  <c r="M15" i="633"/>
  <c r="M16" i="633"/>
  <c r="M17" i="633"/>
  <c r="M18" i="633"/>
  <c r="M19" i="633"/>
  <c r="M20" i="633"/>
  <c r="M21" i="633"/>
  <c r="M22" i="633"/>
  <c r="M23" i="633"/>
  <c r="M24" i="633"/>
  <c r="M25" i="633"/>
  <c r="M26" i="633"/>
  <c r="M27" i="633"/>
  <c r="M28" i="633"/>
  <c r="M29" i="633"/>
  <c r="M30" i="633"/>
  <c r="M31" i="633"/>
  <c r="M32" i="633"/>
  <c r="U34" i="633"/>
  <c r="AI8" i="633"/>
  <c r="U33" i="633"/>
  <c r="U35" i="633"/>
  <c r="U36" i="633"/>
  <c r="V37" i="633" l="1"/>
  <c r="AK37" i="633" s="1"/>
  <c r="U37" i="633"/>
  <c r="AI11" i="632" l="1"/>
  <c r="AI8" i="632" s="1"/>
  <c r="S11" i="632"/>
  <c r="AU37" i="632"/>
  <c r="AS37" i="632"/>
  <c r="AT36" i="632"/>
  <c r="AJ36" i="632"/>
  <c r="X36" i="632"/>
  <c r="T36" i="632"/>
  <c r="U36" i="632" s="1"/>
  <c r="L36" i="632"/>
  <c r="K36" i="632" s="1"/>
  <c r="H36" i="632"/>
  <c r="E36" i="632"/>
  <c r="AT35" i="632"/>
  <c r="AJ35" i="632"/>
  <c r="X35" i="632"/>
  <c r="T35" i="632"/>
  <c r="U35" i="632" s="1"/>
  <c r="L35" i="632"/>
  <c r="K35" i="632" s="1"/>
  <c r="H35" i="632"/>
  <c r="E35" i="632"/>
  <c r="AZ34" i="632"/>
  <c r="AT34" i="632"/>
  <c r="AJ34" i="632"/>
  <c r="X34" i="632"/>
  <c r="T34" i="632"/>
  <c r="V34" i="632" s="1"/>
  <c r="L34" i="632"/>
  <c r="M34" i="632" s="1"/>
  <c r="H34" i="632"/>
  <c r="E34" i="632"/>
  <c r="AJ33" i="632"/>
  <c r="X33" i="632"/>
  <c r="T33" i="632"/>
  <c r="U33" i="632" s="1"/>
  <c r="L33" i="632"/>
  <c r="K33" i="632" s="1"/>
  <c r="H33" i="632"/>
  <c r="E33" i="632"/>
  <c r="AJ32" i="632"/>
  <c r="X32" i="632"/>
  <c r="T32" i="632"/>
  <c r="V32" i="632" s="1"/>
  <c r="L32" i="632"/>
  <c r="K32" i="632" s="1"/>
  <c r="H32" i="632"/>
  <c r="E32" i="632"/>
  <c r="AT31" i="632"/>
  <c r="AJ31" i="632"/>
  <c r="X31" i="632"/>
  <c r="T31" i="632"/>
  <c r="V31" i="632" s="1"/>
  <c r="L31" i="632"/>
  <c r="M31" i="632" s="1"/>
  <c r="H31" i="632"/>
  <c r="E31" i="632"/>
  <c r="AT30" i="632"/>
  <c r="AJ30" i="632"/>
  <c r="X30" i="632"/>
  <c r="T30" i="632"/>
  <c r="V30" i="632" s="1"/>
  <c r="L30" i="632"/>
  <c r="M30" i="632" s="1"/>
  <c r="H30" i="632"/>
  <c r="E30" i="632"/>
  <c r="AT29" i="632"/>
  <c r="AJ29" i="632"/>
  <c r="X29" i="632"/>
  <c r="T29" i="632"/>
  <c r="V29" i="632" s="1"/>
  <c r="L29" i="632"/>
  <c r="M29" i="632" s="1"/>
  <c r="H29" i="632"/>
  <c r="E29" i="632"/>
  <c r="AT28" i="632"/>
  <c r="AJ28" i="632"/>
  <c r="X28" i="632"/>
  <c r="T28" i="632"/>
  <c r="V28" i="632" s="1"/>
  <c r="L28" i="632"/>
  <c r="K28" i="632" s="1"/>
  <c r="H28" i="632"/>
  <c r="E28" i="632"/>
  <c r="AT27" i="632"/>
  <c r="AJ27" i="632"/>
  <c r="X27" i="632"/>
  <c r="T27" i="632"/>
  <c r="V27" i="632" s="1"/>
  <c r="L27" i="632"/>
  <c r="M27" i="632" s="1"/>
  <c r="H27" i="632"/>
  <c r="E27" i="632"/>
  <c r="AT26" i="632"/>
  <c r="AJ26" i="632"/>
  <c r="X26" i="632"/>
  <c r="T26" i="632"/>
  <c r="V26" i="632" s="1"/>
  <c r="L26" i="632"/>
  <c r="M26" i="632" s="1"/>
  <c r="H26" i="632"/>
  <c r="E26" i="632"/>
  <c r="AT25" i="632"/>
  <c r="AJ25" i="632"/>
  <c r="X25" i="632"/>
  <c r="T25" i="632"/>
  <c r="V25" i="632" s="1"/>
  <c r="L25" i="632"/>
  <c r="M25" i="632" s="1"/>
  <c r="H25" i="632"/>
  <c r="E25" i="632"/>
  <c r="AT24" i="632"/>
  <c r="AJ24" i="632"/>
  <c r="X24" i="632"/>
  <c r="T24" i="632"/>
  <c r="V24" i="632" s="1"/>
  <c r="L24" i="632"/>
  <c r="K24" i="632" s="1"/>
  <c r="H24" i="632"/>
  <c r="E24" i="632"/>
  <c r="AT23" i="632"/>
  <c r="AJ23" i="632"/>
  <c r="X23" i="632"/>
  <c r="T23" i="632"/>
  <c r="V23" i="632" s="1"/>
  <c r="L23" i="632"/>
  <c r="M23" i="632" s="1"/>
  <c r="K23" i="632"/>
  <c r="H23" i="632"/>
  <c r="E23" i="632"/>
  <c r="AT22" i="632"/>
  <c r="AJ22" i="632"/>
  <c r="X22" i="632"/>
  <c r="T22" i="632"/>
  <c r="V22" i="632" s="1"/>
  <c r="L22" i="632"/>
  <c r="K22" i="632" s="1"/>
  <c r="H22" i="632"/>
  <c r="E22" i="632"/>
  <c r="AT21" i="632"/>
  <c r="AJ21" i="632"/>
  <c r="X21" i="632"/>
  <c r="T21" i="632"/>
  <c r="V21" i="632" s="1"/>
  <c r="L21" i="632"/>
  <c r="M21" i="632" s="1"/>
  <c r="K21" i="632"/>
  <c r="H21" i="632"/>
  <c r="E21" i="632"/>
  <c r="AT20" i="632"/>
  <c r="AJ20" i="632"/>
  <c r="X20" i="632"/>
  <c r="T20" i="632"/>
  <c r="V20" i="632" s="1"/>
  <c r="L20" i="632"/>
  <c r="M20" i="632" s="1"/>
  <c r="K20" i="632"/>
  <c r="H20" i="632"/>
  <c r="E20" i="632"/>
  <c r="AT19" i="632"/>
  <c r="AJ19" i="632"/>
  <c r="X19" i="632"/>
  <c r="T19" i="632"/>
  <c r="V19" i="632" s="1"/>
  <c r="L19" i="632"/>
  <c r="M19" i="632" s="1"/>
  <c r="K19" i="632"/>
  <c r="H19" i="632"/>
  <c r="E19" i="632"/>
  <c r="AT18" i="632"/>
  <c r="AJ18" i="632"/>
  <c r="X18" i="632"/>
  <c r="T18" i="632"/>
  <c r="V18" i="632" s="1"/>
  <c r="L18" i="632"/>
  <c r="M18" i="632" s="1"/>
  <c r="H18" i="632"/>
  <c r="E18" i="632"/>
  <c r="AT17" i="632"/>
  <c r="AJ17" i="632"/>
  <c r="X17" i="632"/>
  <c r="T17" i="632"/>
  <c r="V17" i="632" s="1"/>
  <c r="L17" i="632"/>
  <c r="M17" i="632" s="1"/>
  <c r="H17" i="632"/>
  <c r="E17" i="632"/>
  <c r="AT16" i="632"/>
  <c r="AJ16" i="632"/>
  <c r="X16" i="632"/>
  <c r="T16" i="632"/>
  <c r="V16" i="632" s="1"/>
  <c r="L16" i="632"/>
  <c r="M16" i="632" s="1"/>
  <c r="H16" i="632"/>
  <c r="E16" i="632"/>
  <c r="AT15" i="632"/>
  <c r="AJ15" i="632"/>
  <c r="X15" i="632"/>
  <c r="T15" i="632"/>
  <c r="V15" i="632" s="1"/>
  <c r="L15" i="632"/>
  <c r="M15" i="632" s="1"/>
  <c r="H15" i="632"/>
  <c r="E15" i="632"/>
  <c r="AT14" i="632"/>
  <c r="AJ14" i="632"/>
  <c r="X14" i="632"/>
  <c r="T14" i="632"/>
  <c r="V14" i="632" s="1"/>
  <c r="L14" i="632"/>
  <c r="K14" i="632" s="1"/>
  <c r="H14" i="632"/>
  <c r="E14" i="632"/>
  <c r="AT13" i="632"/>
  <c r="X13" i="632"/>
  <c r="L13" i="632"/>
  <c r="K13" i="632" s="1"/>
  <c r="H13" i="632"/>
  <c r="E13" i="632"/>
  <c r="T13" i="632"/>
  <c r="AJ13" i="632" l="1"/>
  <c r="V33" i="632"/>
  <c r="M32" i="632"/>
  <c r="K34" i="632"/>
  <c r="U21" i="632"/>
  <c r="M13" i="632"/>
  <c r="M28" i="632"/>
  <c r="K16" i="632"/>
  <c r="K18" i="632"/>
  <c r="K26" i="632"/>
  <c r="K27" i="632"/>
  <c r="K29" i="632"/>
  <c r="AT37" i="632"/>
  <c r="K31" i="632"/>
  <c r="V35" i="632"/>
  <c r="V36" i="632"/>
  <c r="AK36" i="632" s="1"/>
  <c r="AK34" i="632"/>
  <c r="AK31" i="632"/>
  <c r="K30" i="632"/>
  <c r="U30" i="632"/>
  <c r="U29" i="632"/>
  <c r="AK30" i="632"/>
  <c r="AK27" i="632"/>
  <c r="AK26" i="632"/>
  <c r="U26" i="632"/>
  <c r="K25" i="632"/>
  <c r="M24" i="632"/>
  <c r="M22" i="632"/>
  <c r="AK21" i="632"/>
  <c r="AK20" i="632"/>
  <c r="U18" i="632"/>
  <c r="K17" i="632"/>
  <c r="AK16" i="632"/>
  <c r="AK17" i="632"/>
  <c r="K15" i="632"/>
  <c r="AK14" i="632"/>
  <c r="AK15" i="632"/>
  <c r="AK18" i="632"/>
  <c r="AK22" i="632"/>
  <c r="AK23" i="632"/>
  <c r="AK28" i="632"/>
  <c r="AK29" i="632"/>
  <c r="AK32" i="632"/>
  <c r="AJ37" i="632"/>
  <c r="AK19" i="632"/>
  <c r="AK24" i="632"/>
  <c r="AK25" i="632"/>
  <c r="U16" i="632"/>
  <c r="U17" i="632"/>
  <c r="U22" i="632"/>
  <c r="U15" i="632"/>
  <c r="U20" i="632"/>
  <c r="U23" i="632"/>
  <c r="U28" i="632"/>
  <c r="U31" i="632"/>
  <c r="U19" i="632"/>
  <c r="U24" i="632"/>
  <c r="U27" i="632"/>
  <c r="U32" i="632"/>
  <c r="U34" i="632"/>
  <c r="U25" i="632"/>
  <c r="AK33" i="632"/>
  <c r="AK35" i="632"/>
  <c r="U14" i="632"/>
  <c r="M14" i="632"/>
  <c r="U13" i="632"/>
  <c r="T37" i="632"/>
  <c r="V13" i="632"/>
  <c r="AK13" i="632" s="1"/>
  <c r="M33" i="632"/>
  <c r="M35" i="632"/>
  <c r="M36" i="632"/>
  <c r="V37" i="632" l="1"/>
  <c r="AK37" i="632" s="1"/>
  <c r="U37" i="632"/>
  <c r="H22" i="631" l="1"/>
  <c r="AI11" i="631"/>
  <c r="AI8" i="631" s="1"/>
  <c r="S11" i="631"/>
  <c r="AU37" i="631"/>
  <c r="AS37" i="631"/>
  <c r="AT36" i="631"/>
  <c r="AJ36" i="631"/>
  <c r="X36" i="631"/>
  <c r="T36" i="631"/>
  <c r="L36" i="631"/>
  <c r="M36" i="631" s="1"/>
  <c r="H36" i="631"/>
  <c r="E36" i="631"/>
  <c r="AT35" i="631"/>
  <c r="AJ35" i="631"/>
  <c r="X35" i="631"/>
  <c r="T35" i="631"/>
  <c r="L35" i="631"/>
  <c r="K35" i="631" s="1"/>
  <c r="H35" i="631"/>
  <c r="E35" i="631"/>
  <c r="AZ34" i="631"/>
  <c r="AT34" i="631"/>
  <c r="AJ34" i="631"/>
  <c r="X34" i="631"/>
  <c r="T34" i="631"/>
  <c r="L34" i="631"/>
  <c r="M34" i="631" s="1"/>
  <c r="H34" i="631"/>
  <c r="E34" i="631"/>
  <c r="AJ33" i="631"/>
  <c r="X33" i="631"/>
  <c r="T33" i="631"/>
  <c r="L33" i="631"/>
  <c r="K33" i="631" s="1"/>
  <c r="H33" i="631"/>
  <c r="E33" i="631"/>
  <c r="AJ32" i="631"/>
  <c r="X32" i="631"/>
  <c r="T32" i="631"/>
  <c r="L32" i="631"/>
  <c r="K32" i="631" s="1"/>
  <c r="H32" i="631"/>
  <c r="E32" i="631"/>
  <c r="AT31" i="631"/>
  <c r="AJ31" i="631"/>
  <c r="X31" i="631"/>
  <c r="T31" i="631"/>
  <c r="L31" i="631"/>
  <c r="K31" i="631" s="1"/>
  <c r="H31" i="631"/>
  <c r="E31" i="631"/>
  <c r="AT30" i="631"/>
  <c r="AJ30" i="631"/>
  <c r="X30" i="631"/>
  <c r="T30" i="631"/>
  <c r="L30" i="631"/>
  <c r="K30" i="631" s="1"/>
  <c r="H30" i="631"/>
  <c r="E30" i="631"/>
  <c r="AT29" i="631"/>
  <c r="AJ29" i="631"/>
  <c r="X29" i="631"/>
  <c r="T29" i="631"/>
  <c r="L29" i="631"/>
  <c r="K29" i="631" s="1"/>
  <c r="H29" i="631"/>
  <c r="E29" i="631"/>
  <c r="AT28" i="631"/>
  <c r="AJ28" i="631"/>
  <c r="X28" i="631"/>
  <c r="T28" i="631"/>
  <c r="L28" i="631"/>
  <c r="K28" i="631" s="1"/>
  <c r="H28" i="631"/>
  <c r="E28" i="631"/>
  <c r="AT27" i="631"/>
  <c r="AJ27" i="631"/>
  <c r="X27" i="631"/>
  <c r="T27" i="631"/>
  <c r="L27" i="631"/>
  <c r="K27" i="631" s="1"/>
  <c r="H27" i="631"/>
  <c r="E27" i="631"/>
  <c r="AT26" i="631"/>
  <c r="AJ26" i="631"/>
  <c r="X26" i="631"/>
  <c r="T26" i="631"/>
  <c r="L26" i="631"/>
  <c r="K26" i="631" s="1"/>
  <c r="H26" i="631"/>
  <c r="E26" i="631"/>
  <c r="AT25" i="631"/>
  <c r="AJ25" i="631"/>
  <c r="X25" i="631"/>
  <c r="T25" i="631"/>
  <c r="L25" i="631"/>
  <c r="K25" i="631" s="1"/>
  <c r="H25" i="631"/>
  <c r="E25" i="631"/>
  <c r="AT24" i="631"/>
  <c r="AJ24" i="631"/>
  <c r="X24" i="631"/>
  <c r="T24" i="631"/>
  <c r="L24" i="631"/>
  <c r="K24" i="631" s="1"/>
  <c r="H24" i="631"/>
  <c r="E24" i="631"/>
  <c r="AT23" i="631"/>
  <c r="AJ23" i="631"/>
  <c r="X23" i="631"/>
  <c r="T23" i="631"/>
  <c r="L23" i="631"/>
  <c r="K23" i="631" s="1"/>
  <c r="H23" i="631"/>
  <c r="E23" i="631"/>
  <c r="AT22" i="631"/>
  <c r="AJ22" i="631"/>
  <c r="X22" i="631"/>
  <c r="T22" i="631"/>
  <c r="L22" i="631"/>
  <c r="K22" i="631" s="1"/>
  <c r="E22" i="631"/>
  <c r="AT21" i="631"/>
  <c r="AJ21" i="631"/>
  <c r="X21" i="631"/>
  <c r="T21" i="631"/>
  <c r="L21" i="631"/>
  <c r="K21" i="631" s="1"/>
  <c r="H21" i="631"/>
  <c r="E21" i="631"/>
  <c r="AT20" i="631"/>
  <c r="AJ20" i="631"/>
  <c r="X20" i="631"/>
  <c r="T20" i="631"/>
  <c r="L20" i="631"/>
  <c r="K20" i="631" s="1"/>
  <c r="H20" i="631"/>
  <c r="E20" i="631"/>
  <c r="AT19" i="631"/>
  <c r="AJ19" i="631"/>
  <c r="X19" i="631"/>
  <c r="T19" i="631"/>
  <c r="L19" i="631"/>
  <c r="K19" i="631" s="1"/>
  <c r="H19" i="631"/>
  <c r="E19" i="631"/>
  <c r="AT18" i="631"/>
  <c r="AJ18" i="631"/>
  <c r="X18" i="631"/>
  <c r="T18" i="631"/>
  <c r="L18" i="631"/>
  <c r="K18" i="631" s="1"/>
  <c r="H18" i="631"/>
  <c r="E18" i="631"/>
  <c r="AT17" i="631"/>
  <c r="AJ17" i="631"/>
  <c r="X17" i="631"/>
  <c r="T17" i="631"/>
  <c r="L17" i="631"/>
  <c r="K17" i="631" s="1"/>
  <c r="H17" i="631"/>
  <c r="E17" i="631"/>
  <c r="AT16" i="631"/>
  <c r="AJ16" i="631"/>
  <c r="X16" i="631"/>
  <c r="T16" i="631"/>
  <c r="L16" i="631"/>
  <c r="K16" i="631" s="1"/>
  <c r="H16" i="631"/>
  <c r="E16" i="631"/>
  <c r="AT15" i="631"/>
  <c r="AJ15" i="631"/>
  <c r="X15" i="631"/>
  <c r="T15" i="631"/>
  <c r="L15" i="631"/>
  <c r="K15" i="631" s="1"/>
  <c r="H15" i="631"/>
  <c r="E15" i="631"/>
  <c r="AT14" i="631"/>
  <c r="AJ14" i="631"/>
  <c r="X14" i="631"/>
  <c r="T14" i="631"/>
  <c r="L14" i="631"/>
  <c r="K14" i="631" s="1"/>
  <c r="H14" i="631"/>
  <c r="E14" i="631"/>
  <c r="AT13" i="631"/>
  <c r="AJ13" i="631"/>
  <c r="X13" i="631"/>
  <c r="T13" i="631"/>
  <c r="L13" i="631"/>
  <c r="K13" i="631" s="1"/>
  <c r="H13" i="631"/>
  <c r="E13" i="631"/>
  <c r="AT37" i="631" l="1"/>
  <c r="U13" i="631"/>
  <c r="U17" i="631"/>
  <c r="U21" i="631"/>
  <c r="U24" i="631"/>
  <c r="U28" i="631"/>
  <c r="U32" i="631"/>
  <c r="U34" i="631"/>
  <c r="V35" i="631"/>
  <c r="U16" i="631"/>
  <c r="U20" i="631"/>
  <c r="U23" i="631"/>
  <c r="U27" i="631"/>
  <c r="U31" i="631"/>
  <c r="U15" i="631"/>
  <c r="U19" i="631"/>
  <c r="U22" i="631"/>
  <c r="U26" i="631"/>
  <c r="U30" i="631"/>
  <c r="U33" i="631"/>
  <c r="U14" i="631"/>
  <c r="U18" i="631"/>
  <c r="U25" i="631"/>
  <c r="U29" i="631"/>
  <c r="V36" i="631"/>
  <c r="AK36" i="631" s="1"/>
  <c r="K36" i="631"/>
  <c r="U36" i="631"/>
  <c r="V34" i="631"/>
  <c r="AK34" i="631" s="1"/>
  <c r="AJ37" i="631"/>
  <c r="AK35" i="631"/>
  <c r="V33" i="631"/>
  <c r="AK33" i="631" s="1"/>
  <c r="U35" i="631"/>
  <c r="M33" i="631"/>
  <c r="M35" i="631"/>
  <c r="V13" i="631"/>
  <c r="AK13" i="631" s="1"/>
  <c r="V16" i="631"/>
  <c r="AK16" i="631" s="1"/>
  <c r="V18" i="631"/>
  <c r="AK18" i="631" s="1"/>
  <c r="V19" i="631"/>
  <c r="AK19" i="631" s="1"/>
  <c r="V23" i="631"/>
  <c r="AK23" i="631" s="1"/>
  <c r="V26" i="631"/>
  <c r="AK26" i="631" s="1"/>
  <c r="V29" i="631"/>
  <c r="AK29" i="631" s="1"/>
  <c r="V30" i="631"/>
  <c r="AK30" i="631" s="1"/>
  <c r="V31" i="631"/>
  <c r="AK31" i="631" s="1"/>
  <c r="V32" i="631"/>
  <c r="AK32" i="631" s="1"/>
  <c r="T37" i="631"/>
  <c r="V14" i="631"/>
  <c r="AK14" i="631" s="1"/>
  <c r="V15" i="631"/>
  <c r="AK15" i="631" s="1"/>
  <c r="V17" i="631"/>
  <c r="AK17" i="631" s="1"/>
  <c r="V20" i="631"/>
  <c r="AK20" i="631" s="1"/>
  <c r="V21" i="631"/>
  <c r="AK21" i="631" s="1"/>
  <c r="V22" i="631"/>
  <c r="AK22" i="631" s="1"/>
  <c r="V24" i="631"/>
  <c r="AK24" i="631" s="1"/>
  <c r="V25" i="631"/>
  <c r="AK25" i="631" s="1"/>
  <c r="V27" i="631"/>
  <c r="AK27" i="631" s="1"/>
  <c r="V28" i="631"/>
  <c r="AK28" i="631" s="1"/>
  <c r="M13" i="631"/>
  <c r="M14" i="631"/>
  <c r="M15" i="631"/>
  <c r="M16" i="631"/>
  <c r="M17" i="631"/>
  <c r="M18" i="631"/>
  <c r="M19" i="631"/>
  <c r="M20" i="631"/>
  <c r="M21" i="631"/>
  <c r="M22" i="631"/>
  <c r="M23" i="631"/>
  <c r="M24" i="631"/>
  <c r="M25" i="631"/>
  <c r="M26" i="631"/>
  <c r="M27" i="631"/>
  <c r="M28" i="631"/>
  <c r="M29" i="631"/>
  <c r="M30" i="631"/>
  <c r="M31" i="631"/>
  <c r="M32" i="631"/>
  <c r="K34" i="631"/>
  <c r="AI11" i="630"/>
  <c r="AJ13" i="630" s="1"/>
  <c r="S11" i="630"/>
  <c r="T13" i="630" s="1"/>
  <c r="AU37" i="630"/>
  <c r="AS37" i="630"/>
  <c r="AT36" i="630"/>
  <c r="AJ36" i="630"/>
  <c r="X36" i="630"/>
  <c r="T36" i="630"/>
  <c r="L36" i="630"/>
  <c r="M36" i="630" s="1"/>
  <c r="H36" i="630"/>
  <c r="E36" i="630"/>
  <c r="AT35" i="630"/>
  <c r="AJ35" i="630"/>
  <c r="X35" i="630"/>
  <c r="T35" i="630"/>
  <c r="L35" i="630"/>
  <c r="M35" i="630" s="1"/>
  <c r="H35" i="630"/>
  <c r="E35" i="630"/>
  <c r="AZ34" i="630"/>
  <c r="AT34" i="630"/>
  <c r="AJ34" i="630"/>
  <c r="X34" i="630"/>
  <c r="T34" i="630"/>
  <c r="L34" i="630"/>
  <c r="M34" i="630" s="1"/>
  <c r="H34" i="630"/>
  <c r="E34" i="630"/>
  <c r="AJ33" i="630"/>
  <c r="X33" i="630"/>
  <c r="T33" i="630"/>
  <c r="L33" i="630"/>
  <c r="M33" i="630" s="1"/>
  <c r="H33" i="630"/>
  <c r="E33" i="630"/>
  <c r="AJ32" i="630"/>
  <c r="X32" i="630"/>
  <c r="T32" i="630"/>
  <c r="L32" i="630"/>
  <c r="K32" i="630" s="1"/>
  <c r="H32" i="630"/>
  <c r="E32" i="630"/>
  <c r="AT31" i="630"/>
  <c r="AJ31" i="630"/>
  <c r="X31" i="630"/>
  <c r="T31" i="630"/>
  <c r="L31" i="630"/>
  <c r="M31" i="630" s="1"/>
  <c r="H31" i="630"/>
  <c r="E31" i="630"/>
  <c r="AT30" i="630"/>
  <c r="AJ30" i="630"/>
  <c r="X30" i="630"/>
  <c r="T30" i="630"/>
  <c r="L30" i="630"/>
  <c r="M30" i="630" s="1"/>
  <c r="H30" i="630"/>
  <c r="E30" i="630"/>
  <c r="AT29" i="630"/>
  <c r="AJ29" i="630"/>
  <c r="X29" i="630"/>
  <c r="T29" i="630"/>
  <c r="L29" i="630"/>
  <c r="M29" i="630" s="1"/>
  <c r="K29" i="630"/>
  <c r="H29" i="630"/>
  <c r="E29" i="630"/>
  <c r="AT28" i="630"/>
  <c r="AJ28" i="630"/>
  <c r="X28" i="630"/>
  <c r="T28" i="630"/>
  <c r="L28" i="630"/>
  <c r="K28" i="630" s="1"/>
  <c r="H28" i="630"/>
  <c r="E28" i="630"/>
  <c r="AT27" i="630"/>
  <c r="AJ27" i="630"/>
  <c r="X27" i="630"/>
  <c r="T27" i="630"/>
  <c r="L27" i="630"/>
  <c r="M27" i="630" s="1"/>
  <c r="H27" i="630"/>
  <c r="E27" i="630"/>
  <c r="AT26" i="630"/>
  <c r="AJ26" i="630"/>
  <c r="X26" i="630"/>
  <c r="T26" i="630"/>
  <c r="L26" i="630"/>
  <c r="M26" i="630" s="1"/>
  <c r="H26" i="630"/>
  <c r="E26" i="630"/>
  <c r="AT25" i="630"/>
  <c r="AJ25" i="630"/>
  <c r="X25" i="630"/>
  <c r="T25" i="630"/>
  <c r="L25" i="630"/>
  <c r="M25" i="630" s="1"/>
  <c r="H25" i="630"/>
  <c r="E25" i="630"/>
  <c r="AT24" i="630"/>
  <c r="AJ24" i="630"/>
  <c r="X24" i="630"/>
  <c r="T24" i="630"/>
  <c r="L24" i="630"/>
  <c r="K24" i="630" s="1"/>
  <c r="H24" i="630"/>
  <c r="E24" i="630"/>
  <c r="AT23" i="630"/>
  <c r="AJ23" i="630"/>
  <c r="X23" i="630"/>
  <c r="T23" i="630"/>
  <c r="L23" i="630"/>
  <c r="K23" i="630" s="1"/>
  <c r="H23" i="630"/>
  <c r="E23" i="630"/>
  <c r="AT22" i="630"/>
  <c r="AJ22" i="630"/>
  <c r="X22" i="630"/>
  <c r="T22" i="630"/>
  <c r="L22" i="630"/>
  <c r="M22" i="630" s="1"/>
  <c r="H22" i="630"/>
  <c r="E22" i="630"/>
  <c r="AT21" i="630"/>
  <c r="AJ21" i="630"/>
  <c r="X21" i="630"/>
  <c r="T21" i="630"/>
  <c r="L21" i="630"/>
  <c r="M21" i="630" s="1"/>
  <c r="H21" i="630"/>
  <c r="E21" i="630"/>
  <c r="AT20" i="630"/>
  <c r="AJ20" i="630"/>
  <c r="X20" i="630"/>
  <c r="T20" i="630"/>
  <c r="L20" i="630"/>
  <c r="K20" i="630" s="1"/>
  <c r="H20" i="630"/>
  <c r="E20" i="630"/>
  <c r="AT19" i="630"/>
  <c r="AJ19" i="630"/>
  <c r="X19" i="630"/>
  <c r="T19" i="630"/>
  <c r="L19" i="630"/>
  <c r="K19" i="630" s="1"/>
  <c r="H19" i="630"/>
  <c r="E19" i="630"/>
  <c r="AT18" i="630"/>
  <c r="AJ18" i="630"/>
  <c r="X18" i="630"/>
  <c r="T18" i="630"/>
  <c r="L18" i="630"/>
  <c r="M18" i="630" s="1"/>
  <c r="H18" i="630"/>
  <c r="E18" i="630"/>
  <c r="AT17" i="630"/>
  <c r="AJ17" i="630"/>
  <c r="X17" i="630"/>
  <c r="T17" i="630"/>
  <c r="L17" i="630"/>
  <c r="M17" i="630" s="1"/>
  <c r="H17" i="630"/>
  <c r="E17" i="630"/>
  <c r="AT16" i="630"/>
  <c r="AJ16" i="630"/>
  <c r="X16" i="630"/>
  <c r="T16" i="630"/>
  <c r="L16" i="630"/>
  <c r="K16" i="630" s="1"/>
  <c r="H16" i="630"/>
  <c r="E16" i="630"/>
  <c r="AT15" i="630"/>
  <c r="AJ15" i="630"/>
  <c r="X15" i="630"/>
  <c r="T15" i="630"/>
  <c r="L15" i="630"/>
  <c r="K15" i="630" s="1"/>
  <c r="H15" i="630"/>
  <c r="E15" i="630"/>
  <c r="AT14" i="630"/>
  <c r="AJ14" i="630"/>
  <c r="X14" i="630"/>
  <c r="T14" i="630"/>
  <c r="L14" i="630"/>
  <c r="M14" i="630" s="1"/>
  <c r="H14" i="630"/>
  <c r="E14" i="630"/>
  <c r="AT13" i="630"/>
  <c r="X13" i="630"/>
  <c r="L13" i="630"/>
  <c r="K13" i="630" s="1"/>
  <c r="H13" i="630"/>
  <c r="E13" i="630"/>
  <c r="M15" i="630" l="1"/>
  <c r="M23" i="630"/>
  <c r="K35" i="630"/>
  <c r="U16" i="630"/>
  <c r="U17" i="630"/>
  <c r="U24" i="630"/>
  <c r="U25" i="630"/>
  <c r="U26" i="630"/>
  <c r="U27" i="630"/>
  <c r="U32" i="630"/>
  <c r="V34" i="630"/>
  <c r="V36" i="630"/>
  <c r="U14" i="630"/>
  <c r="V15" i="630"/>
  <c r="AK15" i="630" s="1"/>
  <c r="U20" i="630"/>
  <c r="U21" i="630"/>
  <c r="U22" i="630"/>
  <c r="U23" i="630"/>
  <c r="U31" i="630"/>
  <c r="V35" i="630"/>
  <c r="M13" i="630"/>
  <c r="K17" i="630"/>
  <c r="U19" i="630"/>
  <c r="K25" i="630"/>
  <c r="K26" i="630"/>
  <c r="K27" i="630"/>
  <c r="U30" i="630"/>
  <c r="V33" i="630"/>
  <c r="AK33" i="630" s="1"/>
  <c r="K14" i="630"/>
  <c r="V18" i="630"/>
  <c r="AK18" i="630" s="1"/>
  <c r="K21" i="630"/>
  <c r="K22" i="630"/>
  <c r="U28" i="630"/>
  <c r="U29" i="630"/>
  <c r="AT37" i="630"/>
  <c r="K36" i="630"/>
  <c r="V37" i="631"/>
  <c r="AK37" i="631" s="1"/>
  <c r="U37" i="631"/>
  <c r="AK34" i="630"/>
  <c r="U35" i="630"/>
  <c r="K31" i="630"/>
  <c r="K30" i="630"/>
  <c r="M19" i="630"/>
  <c r="K18" i="630"/>
  <c r="AK35" i="630"/>
  <c r="AJ37" i="630"/>
  <c r="AK36" i="630"/>
  <c r="AI8" i="630"/>
  <c r="T37" i="630"/>
  <c r="U34" i="630"/>
  <c r="U36" i="630"/>
  <c r="U33" i="630"/>
  <c r="M16" i="630"/>
  <c r="M20" i="630"/>
  <c r="M24" i="630"/>
  <c r="M28" i="630"/>
  <c r="M32" i="630"/>
  <c r="K33" i="630"/>
  <c r="U13" i="630"/>
  <c r="U15" i="630"/>
  <c r="U18" i="630"/>
  <c r="V13" i="630"/>
  <c r="AK13" i="630" s="1"/>
  <c r="V14" i="630"/>
  <c r="AK14" i="630" s="1"/>
  <c r="V16" i="630"/>
  <c r="AK16" i="630" s="1"/>
  <c r="V17" i="630"/>
  <c r="AK17" i="630" s="1"/>
  <c r="V19" i="630"/>
  <c r="AK19" i="630" s="1"/>
  <c r="V20" i="630"/>
  <c r="AK20" i="630" s="1"/>
  <c r="V21" i="630"/>
  <c r="AK21" i="630" s="1"/>
  <c r="V22" i="630"/>
  <c r="AK22" i="630" s="1"/>
  <c r="V23" i="630"/>
  <c r="AK23" i="630" s="1"/>
  <c r="V24" i="630"/>
  <c r="AK24" i="630" s="1"/>
  <c r="V25" i="630"/>
  <c r="AK25" i="630" s="1"/>
  <c r="V26" i="630"/>
  <c r="AK26" i="630" s="1"/>
  <c r="V27" i="630"/>
  <c r="AK27" i="630" s="1"/>
  <c r="V28" i="630"/>
  <c r="AK28" i="630" s="1"/>
  <c r="V29" i="630"/>
  <c r="AK29" i="630" s="1"/>
  <c r="V30" i="630"/>
  <c r="AK30" i="630" s="1"/>
  <c r="V31" i="630"/>
  <c r="AK31" i="630" s="1"/>
  <c r="V32" i="630"/>
  <c r="AK32" i="630" s="1"/>
  <c r="K34" i="630"/>
  <c r="AI11" i="629"/>
  <c r="S11" i="629"/>
  <c r="T13" i="629" s="1"/>
  <c r="AU37" i="629"/>
  <c r="AS37" i="629"/>
  <c r="AT36" i="629"/>
  <c r="AJ36" i="629"/>
  <c r="X36" i="629"/>
  <c r="T36" i="629"/>
  <c r="L36" i="629"/>
  <c r="K36" i="629" s="1"/>
  <c r="H36" i="629"/>
  <c r="E36" i="629"/>
  <c r="AT35" i="629"/>
  <c r="AJ35" i="629"/>
  <c r="X35" i="629"/>
  <c r="T35" i="629"/>
  <c r="L35" i="629"/>
  <c r="K35" i="629" s="1"/>
  <c r="H35" i="629"/>
  <c r="E35" i="629"/>
  <c r="AZ34" i="629"/>
  <c r="AT34" i="629"/>
  <c r="AJ34" i="629"/>
  <c r="X34" i="629"/>
  <c r="T34" i="629"/>
  <c r="L34" i="629"/>
  <c r="K34" i="629" s="1"/>
  <c r="H34" i="629"/>
  <c r="E34" i="629"/>
  <c r="AJ33" i="629"/>
  <c r="X33" i="629"/>
  <c r="T33" i="629"/>
  <c r="L33" i="629"/>
  <c r="K33" i="629" s="1"/>
  <c r="H33" i="629"/>
  <c r="E33" i="629"/>
  <c r="AJ32" i="629"/>
  <c r="X32" i="629"/>
  <c r="T32" i="629"/>
  <c r="L32" i="629"/>
  <c r="K32" i="629" s="1"/>
  <c r="H32" i="629"/>
  <c r="E32" i="629"/>
  <c r="AT31" i="629"/>
  <c r="AJ31" i="629"/>
  <c r="X31" i="629"/>
  <c r="T31" i="629"/>
  <c r="L31" i="629"/>
  <c r="K31" i="629" s="1"/>
  <c r="H31" i="629"/>
  <c r="E31" i="629"/>
  <c r="AT30" i="629"/>
  <c r="AJ30" i="629"/>
  <c r="X30" i="629"/>
  <c r="T30" i="629"/>
  <c r="L30" i="629"/>
  <c r="K30" i="629" s="1"/>
  <c r="H30" i="629"/>
  <c r="E30" i="629"/>
  <c r="AT29" i="629"/>
  <c r="AJ29" i="629"/>
  <c r="X29" i="629"/>
  <c r="T29" i="629"/>
  <c r="L29" i="629"/>
  <c r="K29" i="629" s="1"/>
  <c r="H29" i="629"/>
  <c r="E29" i="629"/>
  <c r="AT28" i="629"/>
  <c r="AJ28" i="629"/>
  <c r="X28" i="629"/>
  <c r="T28" i="629"/>
  <c r="L28" i="629"/>
  <c r="K28" i="629" s="1"/>
  <c r="H28" i="629"/>
  <c r="E28" i="629"/>
  <c r="AT27" i="629"/>
  <c r="AJ27" i="629"/>
  <c r="X27" i="629"/>
  <c r="T27" i="629"/>
  <c r="L27" i="629"/>
  <c r="K27" i="629" s="1"/>
  <c r="H27" i="629"/>
  <c r="E27" i="629"/>
  <c r="AT26" i="629"/>
  <c r="AJ26" i="629"/>
  <c r="X26" i="629"/>
  <c r="T26" i="629"/>
  <c r="L26" i="629"/>
  <c r="K26" i="629" s="1"/>
  <c r="H26" i="629"/>
  <c r="E26" i="629"/>
  <c r="AT25" i="629"/>
  <c r="AJ25" i="629"/>
  <c r="X25" i="629"/>
  <c r="T25" i="629"/>
  <c r="L25" i="629"/>
  <c r="K25" i="629" s="1"/>
  <c r="H25" i="629"/>
  <c r="E25" i="629"/>
  <c r="AT24" i="629"/>
  <c r="AJ24" i="629"/>
  <c r="X24" i="629"/>
  <c r="T24" i="629"/>
  <c r="L24" i="629"/>
  <c r="K24" i="629" s="1"/>
  <c r="H24" i="629"/>
  <c r="E24" i="629"/>
  <c r="AT23" i="629"/>
  <c r="AJ23" i="629"/>
  <c r="X23" i="629"/>
  <c r="T23" i="629"/>
  <c r="L23" i="629"/>
  <c r="K23" i="629" s="1"/>
  <c r="H23" i="629"/>
  <c r="E23" i="629"/>
  <c r="AT22" i="629"/>
  <c r="AJ22" i="629"/>
  <c r="X22" i="629"/>
  <c r="T22" i="629"/>
  <c r="L22" i="629"/>
  <c r="K22" i="629" s="1"/>
  <c r="H22" i="629"/>
  <c r="E22" i="629"/>
  <c r="AT21" i="629"/>
  <c r="AJ21" i="629"/>
  <c r="X21" i="629"/>
  <c r="T21" i="629"/>
  <c r="L21" i="629"/>
  <c r="K21" i="629" s="1"/>
  <c r="H21" i="629"/>
  <c r="E21" i="629"/>
  <c r="AT20" i="629"/>
  <c r="AJ20" i="629"/>
  <c r="X20" i="629"/>
  <c r="T20" i="629"/>
  <c r="L20" i="629"/>
  <c r="K20" i="629" s="1"/>
  <c r="H20" i="629"/>
  <c r="E20" i="629"/>
  <c r="AT19" i="629"/>
  <c r="AJ19" i="629"/>
  <c r="X19" i="629"/>
  <c r="T19" i="629"/>
  <c r="L19" i="629"/>
  <c r="K19" i="629" s="1"/>
  <c r="H19" i="629"/>
  <c r="E19" i="629"/>
  <c r="AT18" i="629"/>
  <c r="AJ18" i="629"/>
  <c r="X18" i="629"/>
  <c r="T18" i="629"/>
  <c r="L18" i="629"/>
  <c r="K18" i="629" s="1"/>
  <c r="H18" i="629"/>
  <c r="E18" i="629"/>
  <c r="AT17" i="629"/>
  <c r="AJ17" i="629"/>
  <c r="X17" i="629"/>
  <c r="T17" i="629"/>
  <c r="L17" i="629"/>
  <c r="K17" i="629" s="1"/>
  <c r="H17" i="629"/>
  <c r="E17" i="629"/>
  <c r="AT16" i="629"/>
  <c r="AJ16" i="629"/>
  <c r="X16" i="629"/>
  <c r="T16" i="629"/>
  <c r="L16" i="629"/>
  <c r="K16" i="629" s="1"/>
  <c r="H16" i="629"/>
  <c r="E16" i="629"/>
  <c r="AT15" i="629"/>
  <c r="AJ15" i="629"/>
  <c r="X15" i="629"/>
  <c r="T15" i="629"/>
  <c r="L15" i="629"/>
  <c r="K15" i="629" s="1"/>
  <c r="H15" i="629"/>
  <c r="E15" i="629"/>
  <c r="AT14" i="629"/>
  <c r="AJ14" i="629"/>
  <c r="X14" i="629"/>
  <c r="T14" i="629"/>
  <c r="L14" i="629"/>
  <c r="K14" i="629" s="1"/>
  <c r="H14" i="629"/>
  <c r="E14" i="629"/>
  <c r="AT13" i="629"/>
  <c r="X13" i="629"/>
  <c r="L13" i="629"/>
  <c r="K13" i="629" s="1"/>
  <c r="H13" i="629"/>
  <c r="E13" i="629"/>
  <c r="AJ13" i="629"/>
  <c r="H27" i="628"/>
  <c r="H28" i="628"/>
  <c r="U22" i="629" l="1"/>
  <c r="V26" i="629"/>
  <c r="U31" i="629"/>
  <c r="V34" i="629"/>
  <c r="V35" i="629"/>
  <c r="AK35" i="629" s="1"/>
  <c r="U19" i="629"/>
  <c r="U21" i="629"/>
  <c r="V25" i="629"/>
  <c r="AK25" i="629" s="1"/>
  <c r="V30" i="629"/>
  <c r="M33" i="629"/>
  <c r="U15" i="629"/>
  <c r="AT37" i="629"/>
  <c r="U14" i="629"/>
  <c r="U18" i="629"/>
  <c r="V19" i="629"/>
  <c r="AK19" i="629" s="1"/>
  <c r="U20" i="629"/>
  <c r="V24" i="629"/>
  <c r="V29" i="629"/>
  <c r="AK29" i="629" s="1"/>
  <c r="V33" i="629"/>
  <c r="U17" i="629"/>
  <c r="U23" i="629"/>
  <c r="U27" i="629"/>
  <c r="V28" i="629"/>
  <c r="AK28" i="629" s="1"/>
  <c r="V36" i="629"/>
  <c r="AK36" i="629" s="1"/>
  <c r="V37" i="630"/>
  <c r="AK37" i="630" s="1"/>
  <c r="U37" i="630"/>
  <c r="U35" i="629"/>
  <c r="M35" i="629"/>
  <c r="U32" i="629"/>
  <c r="V32" i="629"/>
  <c r="AK32" i="629" s="1"/>
  <c r="V31" i="629"/>
  <c r="AK31" i="629" s="1"/>
  <c r="U30" i="629"/>
  <c r="U28" i="629"/>
  <c r="V27" i="629"/>
  <c r="AK27" i="629" s="1"/>
  <c r="U26" i="629"/>
  <c r="AK24" i="629"/>
  <c r="U24" i="629"/>
  <c r="V23" i="629"/>
  <c r="AK23" i="629" s="1"/>
  <c r="V20" i="629"/>
  <c r="V16" i="629"/>
  <c r="AK16" i="629" s="1"/>
  <c r="U16" i="629"/>
  <c r="V15" i="629"/>
  <c r="AK15" i="629"/>
  <c r="AK20" i="629"/>
  <c r="AK26" i="629"/>
  <c r="AK30" i="629"/>
  <c r="AK33" i="629"/>
  <c r="V17" i="629"/>
  <c r="AK17" i="629" s="1"/>
  <c r="V21" i="629"/>
  <c r="AK21" i="629" s="1"/>
  <c r="V18" i="629"/>
  <c r="AK18" i="629" s="1"/>
  <c r="V22" i="629"/>
  <c r="AK22" i="629" s="1"/>
  <c r="U36" i="629"/>
  <c r="U25" i="629"/>
  <c r="U29" i="629"/>
  <c r="U33" i="629"/>
  <c r="V14" i="629"/>
  <c r="AK14" i="629" s="1"/>
  <c r="M34" i="629"/>
  <c r="M36" i="629"/>
  <c r="U13" i="629"/>
  <c r="V13" i="629"/>
  <c r="AK13" i="629" s="1"/>
  <c r="T37" i="629"/>
  <c r="AK34" i="629"/>
  <c r="AJ37" i="629"/>
  <c r="M13" i="629"/>
  <c r="M14" i="629"/>
  <c r="M15" i="629"/>
  <c r="M16" i="629"/>
  <c r="M17" i="629"/>
  <c r="M18" i="629"/>
  <c r="M19" i="629"/>
  <c r="M20" i="629"/>
  <c r="M21" i="629"/>
  <c r="M22" i="629"/>
  <c r="M23" i="629"/>
  <c r="M24" i="629"/>
  <c r="M25" i="629"/>
  <c r="M26" i="629"/>
  <c r="M27" i="629"/>
  <c r="M28" i="629"/>
  <c r="M29" i="629"/>
  <c r="M30" i="629"/>
  <c r="M31" i="629"/>
  <c r="M32" i="629"/>
  <c r="U34" i="629"/>
  <c r="AI8" i="629"/>
  <c r="V37" i="629" l="1"/>
  <c r="AK37" i="629" s="1"/>
  <c r="U37" i="629"/>
  <c r="AI11" i="628"/>
  <c r="AI8" i="628" s="1"/>
  <c r="S11" i="628"/>
  <c r="T13" i="628" s="1"/>
  <c r="AU37" i="628"/>
  <c r="AS37" i="628"/>
  <c r="AT36" i="628"/>
  <c r="AJ36" i="628"/>
  <c r="X36" i="628"/>
  <c r="T36" i="628"/>
  <c r="L36" i="628"/>
  <c r="K36" i="628" s="1"/>
  <c r="H36" i="628"/>
  <c r="E36" i="628"/>
  <c r="AT35" i="628"/>
  <c r="AJ35" i="628"/>
  <c r="X35" i="628"/>
  <c r="T35" i="628"/>
  <c r="L35" i="628"/>
  <c r="K35" i="628" s="1"/>
  <c r="H35" i="628"/>
  <c r="E35" i="628"/>
  <c r="AZ34" i="628"/>
  <c r="AT34" i="628"/>
  <c r="AJ34" i="628"/>
  <c r="X34" i="628"/>
  <c r="T34" i="628"/>
  <c r="L34" i="628"/>
  <c r="M34" i="628" s="1"/>
  <c r="H34" i="628"/>
  <c r="E34" i="628"/>
  <c r="AJ33" i="628"/>
  <c r="X33" i="628"/>
  <c r="T33" i="628"/>
  <c r="L33" i="628"/>
  <c r="K33" i="628" s="1"/>
  <c r="H33" i="628"/>
  <c r="E33" i="628"/>
  <c r="AJ32" i="628"/>
  <c r="X32" i="628"/>
  <c r="T32" i="628"/>
  <c r="L32" i="628"/>
  <c r="M32" i="628" s="1"/>
  <c r="H32" i="628"/>
  <c r="E32" i="628"/>
  <c r="AT31" i="628"/>
  <c r="AJ31" i="628"/>
  <c r="X31" i="628"/>
  <c r="T31" i="628"/>
  <c r="L31" i="628"/>
  <c r="M31" i="628" s="1"/>
  <c r="H31" i="628"/>
  <c r="E31" i="628"/>
  <c r="AT30" i="628"/>
  <c r="AJ30" i="628"/>
  <c r="X30" i="628"/>
  <c r="T30" i="628"/>
  <c r="L30" i="628"/>
  <c r="M30" i="628" s="1"/>
  <c r="H30" i="628"/>
  <c r="E30" i="628"/>
  <c r="AT29" i="628"/>
  <c r="AJ29" i="628"/>
  <c r="X29" i="628"/>
  <c r="T29" i="628"/>
  <c r="L29" i="628"/>
  <c r="M29" i="628" s="1"/>
  <c r="H29" i="628"/>
  <c r="E29" i="628"/>
  <c r="AT28" i="628"/>
  <c r="AJ28" i="628"/>
  <c r="X28" i="628"/>
  <c r="T28" i="628"/>
  <c r="L28" i="628"/>
  <c r="M28" i="628" s="1"/>
  <c r="E28" i="628"/>
  <c r="AT27" i="628"/>
  <c r="AJ27" i="628"/>
  <c r="X27" i="628"/>
  <c r="T27" i="628"/>
  <c r="L27" i="628"/>
  <c r="M27" i="628" s="1"/>
  <c r="E27" i="628"/>
  <c r="AT26" i="628"/>
  <c r="AJ26" i="628"/>
  <c r="X26" i="628"/>
  <c r="T26" i="628"/>
  <c r="L26" i="628"/>
  <c r="K26" i="628" s="1"/>
  <c r="H26" i="628"/>
  <c r="E26" i="628"/>
  <c r="AT25" i="628"/>
  <c r="AJ25" i="628"/>
  <c r="X25" i="628"/>
  <c r="T25" i="628"/>
  <c r="L25" i="628"/>
  <c r="K25" i="628" s="1"/>
  <c r="H25" i="628"/>
  <c r="E25" i="628"/>
  <c r="AT24" i="628"/>
  <c r="AJ24" i="628"/>
  <c r="X24" i="628"/>
  <c r="T24" i="628"/>
  <c r="L24" i="628"/>
  <c r="M24" i="628" s="1"/>
  <c r="H24" i="628"/>
  <c r="E24" i="628"/>
  <c r="AT23" i="628"/>
  <c r="AJ23" i="628"/>
  <c r="X23" i="628"/>
  <c r="T23" i="628"/>
  <c r="L23" i="628"/>
  <c r="M23" i="628" s="1"/>
  <c r="H23" i="628"/>
  <c r="E23" i="628"/>
  <c r="AT22" i="628"/>
  <c r="AJ22" i="628"/>
  <c r="X22" i="628"/>
  <c r="T22" i="628"/>
  <c r="L22" i="628"/>
  <c r="M22" i="628" s="1"/>
  <c r="H22" i="628"/>
  <c r="E22" i="628"/>
  <c r="AT21" i="628"/>
  <c r="AJ21" i="628"/>
  <c r="X21" i="628"/>
  <c r="T21" i="628"/>
  <c r="L21" i="628"/>
  <c r="M21" i="628" s="1"/>
  <c r="H21" i="628"/>
  <c r="E21" i="628"/>
  <c r="AT20" i="628"/>
  <c r="AJ20" i="628"/>
  <c r="X20" i="628"/>
  <c r="T20" i="628"/>
  <c r="L20" i="628"/>
  <c r="M20" i="628" s="1"/>
  <c r="H20" i="628"/>
  <c r="E20" i="628"/>
  <c r="AT19" i="628"/>
  <c r="AJ19" i="628"/>
  <c r="X19" i="628"/>
  <c r="T19" i="628"/>
  <c r="L19" i="628"/>
  <c r="K19" i="628" s="1"/>
  <c r="H19" i="628"/>
  <c r="E19" i="628"/>
  <c r="AT18" i="628"/>
  <c r="AJ18" i="628"/>
  <c r="X18" i="628"/>
  <c r="T18" i="628"/>
  <c r="L18" i="628"/>
  <c r="M18" i="628" s="1"/>
  <c r="H18" i="628"/>
  <c r="E18" i="628"/>
  <c r="AT17" i="628"/>
  <c r="AJ17" i="628"/>
  <c r="X17" i="628"/>
  <c r="T17" i="628"/>
  <c r="L17" i="628"/>
  <c r="M17" i="628" s="1"/>
  <c r="H17" i="628"/>
  <c r="E17" i="628"/>
  <c r="AT16" i="628"/>
  <c r="AJ16" i="628"/>
  <c r="X16" i="628"/>
  <c r="T16" i="628"/>
  <c r="L16" i="628"/>
  <c r="M16" i="628" s="1"/>
  <c r="H16" i="628"/>
  <c r="E16" i="628"/>
  <c r="AT15" i="628"/>
  <c r="AJ15" i="628"/>
  <c r="X15" i="628"/>
  <c r="T15" i="628"/>
  <c r="L15" i="628"/>
  <c r="M15" i="628" s="1"/>
  <c r="H15" i="628"/>
  <c r="E15" i="628"/>
  <c r="AT14" i="628"/>
  <c r="AJ14" i="628"/>
  <c r="X14" i="628"/>
  <c r="T14" i="628"/>
  <c r="L14" i="628"/>
  <c r="M14" i="628" s="1"/>
  <c r="H14" i="628"/>
  <c r="E14" i="628"/>
  <c r="AT13" i="628"/>
  <c r="X13" i="628"/>
  <c r="L13" i="628"/>
  <c r="M13" i="628" s="1"/>
  <c r="H13" i="628"/>
  <c r="E13" i="628"/>
  <c r="V17" i="628" l="1"/>
  <c r="AK17" i="628" s="1"/>
  <c r="V21" i="628"/>
  <c r="K24" i="628"/>
  <c r="V26" i="628"/>
  <c r="V28" i="628"/>
  <c r="V32" i="628"/>
  <c r="AK32" i="628" s="1"/>
  <c r="U34" i="628"/>
  <c r="V35" i="628"/>
  <c r="AK35" i="628" s="1"/>
  <c r="V20" i="628"/>
  <c r="V25" i="628"/>
  <c r="V31" i="628"/>
  <c r="V16" i="628"/>
  <c r="V15" i="628"/>
  <c r="AK15" i="628" s="1"/>
  <c r="V19" i="628"/>
  <c r="V23" i="628"/>
  <c r="AK23" i="628" s="1"/>
  <c r="V24" i="628"/>
  <c r="AK24" i="628" s="1"/>
  <c r="V27" i="628"/>
  <c r="V30" i="628"/>
  <c r="U33" i="628"/>
  <c r="V14" i="628"/>
  <c r="AK14" i="628" s="1"/>
  <c r="V18" i="628"/>
  <c r="AK18" i="628" s="1"/>
  <c r="V22" i="628"/>
  <c r="AK22" i="628" s="1"/>
  <c r="V29" i="628"/>
  <c r="AK29" i="628" s="1"/>
  <c r="V36" i="628"/>
  <c r="AK36" i="628" s="1"/>
  <c r="U17" i="628"/>
  <c r="M19" i="628"/>
  <c r="K20" i="628"/>
  <c r="K21" i="628"/>
  <c r="K22" i="628"/>
  <c r="M25" i="628"/>
  <c r="AJ13" i="628"/>
  <c r="AJ37" i="628" s="1"/>
  <c r="AK25" i="628"/>
  <c r="AT37" i="628"/>
  <c r="K18" i="628"/>
  <c r="U19" i="628"/>
  <c r="K29" i="628"/>
  <c r="K34" i="628"/>
  <c r="V34" i="628"/>
  <c r="AK34" i="628" s="1"/>
  <c r="U31" i="628"/>
  <c r="U32" i="628"/>
  <c r="K31" i="628"/>
  <c r="K30" i="628"/>
  <c r="U29" i="628"/>
  <c r="K28" i="628"/>
  <c r="AK28" i="628"/>
  <c r="K27" i="628"/>
  <c r="AK26" i="628"/>
  <c r="U27" i="628"/>
  <c r="M26" i="628"/>
  <c r="U25" i="628"/>
  <c r="K23" i="628"/>
  <c r="U22" i="628"/>
  <c r="AK21" i="628"/>
  <c r="AK20" i="628"/>
  <c r="U20" i="628"/>
  <c r="K17" i="628"/>
  <c r="K16" i="628"/>
  <c r="K15" i="628"/>
  <c r="K14" i="628"/>
  <c r="U14" i="628"/>
  <c r="AK19" i="628"/>
  <c r="AK27" i="628"/>
  <c r="AK16" i="628"/>
  <c r="AK30" i="628"/>
  <c r="AK31" i="628"/>
  <c r="U16" i="628"/>
  <c r="U21" i="628"/>
  <c r="U24" i="628"/>
  <c r="V33" i="628"/>
  <c r="AK33" i="628" s="1"/>
  <c r="U15" i="628"/>
  <c r="U18" i="628"/>
  <c r="U23" i="628"/>
  <c r="U26" i="628"/>
  <c r="U28" i="628"/>
  <c r="U30" i="628"/>
  <c r="K32" i="628"/>
  <c r="K13" i="628"/>
  <c r="U13" i="628"/>
  <c r="T37" i="628"/>
  <c r="V13" i="628"/>
  <c r="M33" i="628"/>
  <c r="M35" i="628"/>
  <c r="M36" i="628"/>
  <c r="U35" i="628"/>
  <c r="U36" i="628"/>
  <c r="AK13" i="628" l="1"/>
  <c r="V37" i="628"/>
  <c r="AK37" i="628" s="1"/>
  <c r="U37" i="628"/>
  <c r="H22" i="627" l="1"/>
  <c r="AI11" i="627" l="1"/>
  <c r="AJ13" i="627" s="1"/>
  <c r="S11" i="627"/>
  <c r="T13" i="627" s="1"/>
  <c r="AU37" i="627"/>
  <c r="AS37" i="627"/>
  <c r="AT36" i="627"/>
  <c r="AJ36" i="627"/>
  <c r="X36" i="627"/>
  <c r="T36" i="627"/>
  <c r="L36" i="627"/>
  <c r="M36" i="627" s="1"/>
  <c r="H36" i="627"/>
  <c r="E36" i="627"/>
  <c r="AT35" i="627"/>
  <c r="AJ35" i="627"/>
  <c r="X35" i="627"/>
  <c r="T35" i="627"/>
  <c r="L35" i="627"/>
  <c r="M35" i="627" s="1"/>
  <c r="H35" i="627"/>
  <c r="E35" i="627"/>
  <c r="AZ34" i="627"/>
  <c r="AT34" i="627"/>
  <c r="AJ34" i="627"/>
  <c r="X34" i="627"/>
  <c r="T34" i="627"/>
  <c r="L34" i="627"/>
  <c r="M34" i="627" s="1"/>
  <c r="H34" i="627"/>
  <c r="E34" i="627"/>
  <c r="AJ33" i="627"/>
  <c r="X33" i="627"/>
  <c r="T33" i="627"/>
  <c r="L33" i="627"/>
  <c r="M33" i="627" s="1"/>
  <c r="H33" i="627"/>
  <c r="E33" i="627"/>
  <c r="AJ32" i="627"/>
  <c r="X32" i="627"/>
  <c r="T32" i="627"/>
  <c r="L32" i="627"/>
  <c r="K32" i="627" s="1"/>
  <c r="H32" i="627"/>
  <c r="E32" i="627"/>
  <c r="AT31" i="627"/>
  <c r="AJ31" i="627"/>
  <c r="X31" i="627"/>
  <c r="T31" i="627"/>
  <c r="L31" i="627"/>
  <c r="K31" i="627" s="1"/>
  <c r="H31" i="627"/>
  <c r="E31" i="627"/>
  <c r="AT30" i="627"/>
  <c r="AJ30" i="627"/>
  <c r="X30" i="627"/>
  <c r="T30" i="627"/>
  <c r="L30" i="627"/>
  <c r="K30" i="627" s="1"/>
  <c r="H30" i="627"/>
  <c r="E30" i="627"/>
  <c r="AT29" i="627"/>
  <c r="AJ29" i="627"/>
  <c r="X29" i="627"/>
  <c r="T29" i="627"/>
  <c r="L29" i="627"/>
  <c r="K29" i="627" s="1"/>
  <c r="H29" i="627"/>
  <c r="E29" i="627"/>
  <c r="AT28" i="627"/>
  <c r="AJ28" i="627"/>
  <c r="X28" i="627"/>
  <c r="T28" i="627"/>
  <c r="L28" i="627"/>
  <c r="K28" i="627" s="1"/>
  <c r="H28" i="627"/>
  <c r="E28" i="627"/>
  <c r="AT27" i="627"/>
  <c r="AJ27" i="627"/>
  <c r="X27" i="627"/>
  <c r="T27" i="627"/>
  <c r="L27" i="627"/>
  <c r="K27" i="627" s="1"/>
  <c r="H27" i="627"/>
  <c r="E27" i="627"/>
  <c r="AT26" i="627"/>
  <c r="AJ26" i="627"/>
  <c r="X26" i="627"/>
  <c r="T26" i="627"/>
  <c r="L26" i="627"/>
  <c r="K26" i="627" s="1"/>
  <c r="H26" i="627"/>
  <c r="E26" i="627"/>
  <c r="AT25" i="627"/>
  <c r="AJ25" i="627"/>
  <c r="X25" i="627"/>
  <c r="T25" i="627"/>
  <c r="L25" i="627"/>
  <c r="K25" i="627" s="1"/>
  <c r="H25" i="627"/>
  <c r="E25" i="627"/>
  <c r="AT24" i="627"/>
  <c r="AJ24" i="627"/>
  <c r="X24" i="627"/>
  <c r="T24" i="627"/>
  <c r="L24" i="627"/>
  <c r="K24" i="627" s="1"/>
  <c r="H24" i="627"/>
  <c r="E24" i="627"/>
  <c r="AT23" i="627"/>
  <c r="AJ23" i="627"/>
  <c r="X23" i="627"/>
  <c r="T23" i="627"/>
  <c r="L23" i="627"/>
  <c r="K23" i="627" s="1"/>
  <c r="H23" i="627"/>
  <c r="E23" i="627"/>
  <c r="AT22" i="627"/>
  <c r="AJ22" i="627"/>
  <c r="X22" i="627"/>
  <c r="T22" i="627"/>
  <c r="L22" i="627"/>
  <c r="K22" i="627" s="1"/>
  <c r="E22" i="627"/>
  <c r="AT21" i="627"/>
  <c r="AJ21" i="627"/>
  <c r="X21" i="627"/>
  <c r="T21" i="627"/>
  <c r="L21" i="627"/>
  <c r="K21" i="627" s="1"/>
  <c r="H21" i="627"/>
  <c r="E21" i="627"/>
  <c r="AT20" i="627"/>
  <c r="AJ20" i="627"/>
  <c r="X20" i="627"/>
  <c r="T20" i="627"/>
  <c r="L20" i="627"/>
  <c r="K20" i="627" s="1"/>
  <c r="H20" i="627"/>
  <c r="E20" i="627"/>
  <c r="AT19" i="627"/>
  <c r="AJ19" i="627"/>
  <c r="X19" i="627"/>
  <c r="T19" i="627"/>
  <c r="L19" i="627"/>
  <c r="K19" i="627" s="1"/>
  <c r="H19" i="627"/>
  <c r="E19" i="627"/>
  <c r="AT18" i="627"/>
  <c r="AJ18" i="627"/>
  <c r="X18" i="627"/>
  <c r="T18" i="627"/>
  <c r="L18" i="627"/>
  <c r="K18" i="627" s="1"/>
  <c r="H18" i="627"/>
  <c r="E18" i="627"/>
  <c r="AT17" i="627"/>
  <c r="AJ17" i="627"/>
  <c r="X17" i="627"/>
  <c r="T17" i="627"/>
  <c r="L17" i="627"/>
  <c r="K17" i="627" s="1"/>
  <c r="H17" i="627"/>
  <c r="E17" i="627"/>
  <c r="AT16" i="627"/>
  <c r="AJ16" i="627"/>
  <c r="X16" i="627"/>
  <c r="T16" i="627"/>
  <c r="L16" i="627"/>
  <c r="K16" i="627" s="1"/>
  <c r="H16" i="627"/>
  <c r="E16" i="627"/>
  <c r="AT15" i="627"/>
  <c r="AJ15" i="627"/>
  <c r="X15" i="627"/>
  <c r="T15" i="627"/>
  <c r="L15" i="627"/>
  <c r="K15" i="627" s="1"/>
  <c r="H15" i="627"/>
  <c r="E15" i="627"/>
  <c r="AT14" i="627"/>
  <c r="AJ14" i="627"/>
  <c r="X14" i="627"/>
  <c r="T14" i="627"/>
  <c r="L14" i="627"/>
  <c r="K14" i="627" s="1"/>
  <c r="H14" i="627"/>
  <c r="E14" i="627"/>
  <c r="AT13" i="627"/>
  <c r="X13" i="627"/>
  <c r="L13" i="627"/>
  <c r="K13" i="627" s="1"/>
  <c r="H13" i="627"/>
  <c r="E13" i="627"/>
  <c r="K35" i="627" l="1"/>
  <c r="U19" i="627"/>
  <c r="U22" i="627"/>
  <c r="U26" i="627"/>
  <c r="U30" i="627"/>
  <c r="V33" i="627"/>
  <c r="AK33" i="627" s="1"/>
  <c r="U15" i="627"/>
  <c r="U14" i="627"/>
  <c r="U18" i="627"/>
  <c r="U25" i="627"/>
  <c r="U29" i="627"/>
  <c r="U17" i="627"/>
  <c r="U21" i="627"/>
  <c r="U24" i="627"/>
  <c r="U28" i="627"/>
  <c r="U32" i="627"/>
  <c r="V34" i="627"/>
  <c r="V36" i="627"/>
  <c r="U16" i="627"/>
  <c r="U20" i="627"/>
  <c r="U23" i="627"/>
  <c r="U27" i="627"/>
  <c r="U31" i="627"/>
  <c r="V35" i="627"/>
  <c r="AK35" i="627" s="1"/>
  <c r="AT37" i="627"/>
  <c r="K34" i="627"/>
  <c r="K36" i="627"/>
  <c r="K33" i="627"/>
  <c r="V15" i="627"/>
  <c r="AK15" i="627" s="1"/>
  <c r="V16" i="627"/>
  <c r="AK16" i="627" s="1"/>
  <c r="V17" i="627"/>
  <c r="AK17" i="627" s="1"/>
  <c r="V18" i="627"/>
  <c r="V19" i="627"/>
  <c r="AK19" i="627" s="1"/>
  <c r="V20" i="627"/>
  <c r="AK20" i="627" s="1"/>
  <c r="V21" i="627"/>
  <c r="AK21" i="627" s="1"/>
  <c r="V22" i="627"/>
  <c r="AK22" i="627" s="1"/>
  <c r="V23" i="627"/>
  <c r="AK23" i="627" s="1"/>
  <c r="V24" i="627"/>
  <c r="AK24" i="627" s="1"/>
  <c r="V25" i="627"/>
  <c r="AK25" i="627" s="1"/>
  <c r="V26" i="627"/>
  <c r="AK26" i="627" s="1"/>
  <c r="V27" i="627"/>
  <c r="AK27" i="627" s="1"/>
  <c r="V28" i="627"/>
  <c r="AK28" i="627" s="1"/>
  <c r="V29" i="627"/>
  <c r="AK29" i="627" s="1"/>
  <c r="V30" i="627"/>
  <c r="AK30" i="627" s="1"/>
  <c r="V31" i="627"/>
  <c r="AK31" i="627" s="1"/>
  <c r="V32" i="627"/>
  <c r="AK32" i="627" s="1"/>
  <c r="AK34" i="627"/>
  <c r="AK18" i="627"/>
  <c r="V14" i="627"/>
  <c r="AK14" i="627" s="1"/>
  <c r="U13" i="627"/>
  <c r="V13" i="627"/>
  <c r="AK13" i="627" s="1"/>
  <c r="AJ37" i="627"/>
  <c r="AK36" i="627"/>
  <c r="T37" i="627"/>
  <c r="M14" i="627"/>
  <c r="M15" i="627"/>
  <c r="M16" i="627"/>
  <c r="M17" i="627"/>
  <c r="M18" i="627"/>
  <c r="M19" i="627"/>
  <c r="M20" i="627"/>
  <c r="M21" i="627"/>
  <c r="M22" i="627"/>
  <c r="M23" i="627"/>
  <c r="M24" i="627"/>
  <c r="M25" i="627"/>
  <c r="M26" i="627"/>
  <c r="M27" i="627"/>
  <c r="M28" i="627"/>
  <c r="M29" i="627"/>
  <c r="M30" i="627"/>
  <c r="M31" i="627"/>
  <c r="M32" i="627"/>
  <c r="U34" i="627"/>
  <c r="M13" i="627"/>
  <c r="AI8" i="627"/>
  <c r="U33" i="627"/>
  <c r="U35" i="627"/>
  <c r="U36" i="627"/>
  <c r="V37" i="627" l="1"/>
  <c r="AK37" i="627" s="1"/>
  <c r="U37" i="627"/>
  <c r="AI11" i="626" l="1"/>
  <c r="AI8" i="626" s="1"/>
  <c r="S11" i="626"/>
  <c r="AU37" i="626"/>
  <c r="AS37" i="626"/>
  <c r="AT36" i="626"/>
  <c r="AJ36" i="626"/>
  <c r="X36" i="626"/>
  <c r="T36" i="626"/>
  <c r="L36" i="626"/>
  <c r="K36" i="626" s="1"/>
  <c r="H36" i="626"/>
  <c r="E36" i="626"/>
  <c r="AT35" i="626"/>
  <c r="AJ35" i="626"/>
  <c r="X35" i="626"/>
  <c r="T35" i="626"/>
  <c r="L35" i="626"/>
  <c r="K35" i="626" s="1"/>
  <c r="H35" i="626"/>
  <c r="E35" i="626"/>
  <c r="AZ34" i="626"/>
  <c r="AT34" i="626"/>
  <c r="AJ34" i="626"/>
  <c r="X34" i="626"/>
  <c r="T34" i="626"/>
  <c r="L34" i="626"/>
  <c r="K34" i="626" s="1"/>
  <c r="H34" i="626"/>
  <c r="E34" i="626"/>
  <c r="AJ33" i="626"/>
  <c r="X33" i="626"/>
  <c r="T33" i="626"/>
  <c r="L33" i="626"/>
  <c r="K33" i="626" s="1"/>
  <c r="H33" i="626"/>
  <c r="E33" i="626"/>
  <c r="AJ32" i="626"/>
  <c r="X32" i="626"/>
  <c r="T32" i="626"/>
  <c r="L32" i="626"/>
  <c r="M32" i="626" s="1"/>
  <c r="H32" i="626"/>
  <c r="E32" i="626"/>
  <c r="AT31" i="626"/>
  <c r="AJ31" i="626"/>
  <c r="X31" i="626"/>
  <c r="T31" i="626"/>
  <c r="L31" i="626"/>
  <c r="K31" i="626" s="1"/>
  <c r="H31" i="626"/>
  <c r="E31" i="626"/>
  <c r="AT30" i="626"/>
  <c r="AJ30" i="626"/>
  <c r="X30" i="626"/>
  <c r="T30" i="626"/>
  <c r="L30" i="626"/>
  <c r="M30" i="626" s="1"/>
  <c r="H30" i="626"/>
  <c r="E30" i="626"/>
  <c r="AT29" i="626"/>
  <c r="AJ29" i="626"/>
  <c r="X29" i="626"/>
  <c r="T29" i="626"/>
  <c r="L29" i="626"/>
  <c r="K29" i="626" s="1"/>
  <c r="H29" i="626"/>
  <c r="E29" i="626"/>
  <c r="AT28" i="626"/>
  <c r="AJ28" i="626"/>
  <c r="X28" i="626"/>
  <c r="T28" i="626"/>
  <c r="L28" i="626"/>
  <c r="M28" i="626" s="1"/>
  <c r="H28" i="626"/>
  <c r="E28" i="626"/>
  <c r="AT27" i="626"/>
  <c r="AJ27" i="626"/>
  <c r="X27" i="626"/>
  <c r="T27" i="626"/>
  <c r="L27" i="626"/>
  <c r="K27" i="626" s="1"/>
  <c r="H27" i="626"/>
  <c r="E27" i="626"/>
  <c r="AT26" i="626"/>
  <c r="AJ26" i="626"/>
  <c r="X26" i="626"/>
  <c r="T26" i="626"/>
  <c r="L26" i="626"/>
  <c r="M26" i="626" s="1"/>
  <c r="H26" i="626"/>
  <c r="E26" i="626"/>
  <c r="AT25" i="626"/>
  <c r="AJ25" i="626"/>
  <c r="X25" i="626"/>
  <c r="T25" i="626"/>
  <c r="L25" i="626"/>
  <c r="K25" i="626" s="1"/>
  <c r="H25" i="626"/>
  <c r="E25" i="626"/>
  <c r="AT24" i="626"/>
  <c r="AJ24" i="626"/>
  <c r="X24" i="626"/>
  <c r="T24" i="626"/>
  <c r="L24" i="626"/>
  <c r="M24" i="626" s="1"/>
  <c r="H24" i="626"/>
  <c r="E24" i="626"/>
  <c r="AT23" i="626"/>
  <c r="AJ23" i="626"/>
  <c r="X23" i="626"/>
  <c r="T23" i="626"/>
  <c r="L23" i="626"/>
  <c r="K23" i="626" s="1"/>
  <c r="H23" i="626"/>
  <c r="E23" i="626"/>
  <c r="AT22" i="626"/>
  <c r="AJ22" i="626"/>
  <c r="X22" i="626"/>
  <c r="T22" i="626"/>
  <c r="L22" i="626"/>
  <c r="M22" i="626" s="1"/>
  <c r="H22" i="626"/>
  <c r="E22" i="626"/>
  <c r="AT21" i="626"/>
  <c r="AJ21" i="626"/>
  <c r="X21" i="626"/>
  <c r="T21" i="626"/>
  <c r="L21" i="626"/>
  <c r="K21" i="626" s="1"/>
  <c r="H21" i="626"/>
  <c r="E21" i="626"/>
  <c r="AT20" i="626"/>
  <c r="AJ20" i="626"/>
  <c r="X20" i="626"/>
  <c r="T20" i="626"/>
  <c r="L20" i="626"/>
  <c r="M20" i="626" s="1"/>
  <c r="H20" i="626"/>
  <c r="E20" i="626"/>
  <c r="AT19" i="626"/>
  <c r="AJ19" i="626"/>
  <c r="X19" i="626"/>
  <c r="T19" i="626"/>
  <c r="L19" i="626"/>
  <c r="K19" i="626" s="1"/>
  <c r="H19" i="626"/>
  <c r="E19" i="626"/>
  <c r="AT18" i="626"/>
  <c r="AJ18" i="626"/>
  <c r="X18" i="626"/>
  <c r="T18" i="626"/>
  <c r="L18" i="626"/>
  <c r="M18" i="626" s="1"/>
  <c r="H18" i="626"/>
  <c r="E18" i="626"/>
  <c r="AT17" i="626"/>
  <c r="AJ17" i="626"/>
  <c r="X17" i="626"/>
  <c r="T17" i="626"/>
  <c r="L17" i="626"/>
  <c r="K17" i="626" s="1"/>
  <c r="H17" i="626"/>
  <c r="E17" i="626"/>
  <c r="AT16" i="626"/>
  <c r="AJ16" i="626"/>
  <c r="X16" i="626"/>
  <c r="T16" i="626"/>
  <c r="L16" i="626"/>
  <c r="M16" i="626" s="1"/>
  <c r="H16" i="626"/>
  <c r="E16" i="626"/>
  <c r="AT15" i="626"/>
  <c r="AJ15" i="626"/>
  <c r="X15" i="626"/>
  <c r="T15" i="626"/>
  <c r="L15" i="626"/>
  <c r="K15" i="626" s="1"/>
  <c r="H15" i="626"/>
  <c r="E15" i="626"/>
  <c r="AT14" i="626"/>
  <c r="AJ14" i="626"/>
  <c r="X14" i="626"/>
  <c r="T14" i="626"/>
  <c r="L14" i="626"/>
  <c r="M14" i="626" s="1"/>
  <c r="H14" i="626"/>
  <c r="E14" i="626"/>
  <c r="AT13" i="626"/>
  <c r="X13" i="626"/>
  <c r="L13" i="626"/>
  <c r="M13" i="626" s="1"/>
  <c r="H13" i="626"/>
  <c r="E13" i="626"/>
  <c r="T13" i="626"/>
  <c r="H26" i="625"/>
  <c r="AJ13" i="626" l="1"/>
  <c r="K20" i="626"/>
  <c r="K14" i="626"/>
  <c r="K24" i="626"/>
  <c r="K16" i="626"/>
  <c r="V19" i="626"/>
  <c r="AK19" i="626" s="1"/>
  <c r="V20" i="626"/>
  <c r="V25" i="626"/>
  <c r="AK25" i="626" s="1"/>
  <c r="V18" i="626"/>
  <c r="AK18" i="626" s="1"/>
  <c r="V23" i="626"/>
  <c r="V24" i="626"/>
  <c r="AK24" i="626" s="1"/>
  <c r="V17" i="626"/>
  <c r="AK17" i="626" s="1"/>
  <c r="AT37" i="626"/>
  <c r="V15" i="626"/>
  <c r="V16" i="626"/>
  <c r="AK16" i="626" s="1"/>
  <c r="V22" i="626"/>
  <c r="AK22" i="626" s="1"/>
  <c r="V14" i="626"/>
  <c r="AK14" i="626" s="1"/>
  <c r="K18" i="626"/>
  <c r="V21" i="626"/>
  <c r="V26" i="626"/>
  <c r="AK26" i="626" s="1"/>
  <c r="U36" i="626"/>
  <c r="U35" i="626"/>
  <c r="U34" i="626"/>
  <c r="V34" i="626"/>
  <c r="AK34" i="626" s="1"/>
  <c r="V33" i="626"/>
  <c r="AK33" i="626" s="1"/>
  <c r="K32" i="626"/>
  <c r="V32" i="626"/>
  <c r="AK32" i="626" s="1"/>
  <c r="M31" i="626"/>
  <c r="V31" i="626"/>
  <c r="AK31" i="626" s="1"/>
  <c r="K30" i="626"/>
  <c r="V30" i="626"/>
  <c r="AK30" i="626" s="1"/>
  <c r="M29" i="626"/>
  <c r="V27" i="626"/>
  <c r="AK27" i="626" s="1"/>
  <c r="V29" i="626"/>
  <c r="V28" i="626"/>
  <c r="AK28" i="626" s="1"/>
  <c r="U29" i="626"/>
  <c r="M27" i="626"/>
  <c r="K28" i="626"/>
  <c r="AK29" i="626"/>
  <c r="K26" i="626"/>
  <c r="M25" i="626"/>
  <c r="U25" i="626"/>
  <c r="M23" i="626"/>
  <c r="AK23" i="626"/>
  <c r="K22" i="626"/>
  <c r="M21" i="626"/>
  <c r="U21" i="626"/>
  <c r="M19" i="626"/>
  <c r="M17" i="626"/>
  <c r="U17" i="626"/>
  <c r="M15" i="626"/>
  <c r="K13" i="626"/>
  <c r="AJ37" i="626"/>
  <c r="AK15" i="626"/>
  <c r="AK20" i="626"/>
  <c r="AK21" i="626"/>
  <c r="U14" i="626"/>
  <c r="U18" i="626"/>
  <c r="U26" i="626"/>
  <c r="U15" i="626"/>
  <c r="U19" i="626"/>
  <c r="U23" i="626"/>
  <c r="U27" i="626"/>
  <c r="U31" i="626"/>
  <c r="U16" i="626"/>
  <c r="U20" i="626"/>
  <c r="U24" i="626"/>
  <c r="U28" i="626"/>
  <c r="U32" i="626"/>
  <c r="U22" i="626"/>
  <c r="U30" i="626"/>
  <c r="M34" i="626"/>
  <c r="T37" i="626"/>
  <c r="V13" i="626"/>
  <c r="AK13" i="626" s="1"/>
  <c r="U13" i="626"/>
  <c r="V35" i="626"/>
  <c r="AK35" i="626" s="1"/>
  <c r="V36" i="626"/>
  <c r="AK36" i="626" s="1"/>
  <c r="M33" i="626"/>
  <c r="M35" i="626"/>
  <c r="M36" i="626"/>
  <c r="U33" i="626"/>
  <c r="AI11" i="625"/>
  <c r="AI8" i="625" s="1"/>
  <c r="S11" i="625"/>
  <c r="T13" i="625" s="1"/>
  <c r="AU37" i="625"/>
  <c r="AS37" i="625"/>
  <c r="AT36" i="625"/>
  <c r="AJ36" i="625"/>
  <c r="X36" i="625"/>
  <c r="T36" i="625"/>
  <c r="M36" i="625"/>
  <c r="L36" i="625"/>
  <c r="K36" i="625" s="1"/>
  <c r="H36" i="625"/>
  <c r="E36" i="625"/>
  <c r="AT35" i="625"/>
  <c r="AJ35" i="625"/>
  <c r="X35" i="625"/>
  <c r="T35" i="625"/>
  <c r="L35" i="625"/>
  <c r="K35" i="625" s="1"/>
  <c r="H35" i="625"/>
  <c r="E35" i="625"/>
  <c r="AZ34" i="625"/>
  <c r="AT34" i="625"/>
  <c r="AJ34" i="625"/>
  <c r="X34" i="625"/>
  <c r="T34" i="625"/>
  <c r="L34" i="625"/>
  <c r="M34" i="625" s="1"/>
  <c r="H34" i="625"/>
  <c r="E34" i="625"/>
  <c r="AJ33" i="625"/>
  <c r="X33" i="625"/>
  <c r="T33" i="625"/>
  <c r="L33" i="625"/>
  <c r="K33" i="625" s="1"/>
  <c r="H33" i="625"/>
  <c r="E33" i="625"/>
  <c r="AJ32" i="625"/>
  <c r="X32" i="625"/>
  <c r="T32" i="625"/>
  <c r="L32" i="625"/>
  <c r="K32" i="625" s="1"/>
  <c r="H32" i="625"/>
  <c r="E32" i="625"/>
  <c r="AT31" i="625"/>
  <c r="AJ31" i="625"/>
  <c r="X31" i="625"/>
  <c r="T31" i="625"/>
  <c r="L31" i="625"/>
  <c r="K31" i="625" s="1"/>
  <c r="H31" i="625"/>
  <c r="E31" i="625"/>
  <c r="AT30" i="625"/>
  <c r="AJ30" i="625"/>
  <c r="X30" i="625"/>
  <c r="T30" i="625"/>
  <c r="L30" i="625"/>
  <c r="K30" i="625" s="1"/>
  <c r="H30" i="625"/>
  <c r="E30" i="625"/>
  <c r="AT29" i="625"/>
  <c r="AJ29" i="625"/>
  <c r="X29" i="625"/>
  <c r="T29" i="625"/>
  <c r="L29" i="625"/>
  <c r="K29" i="625" s="1"/>
  <c r="H29" i="625"/>
  <c r="E29" i="625"/>
  <c r="AT28" i="625"/>
  <c r="AJ28" i="625"/>
  <c r="X28" i="625"/>
  <c r="T28" i="625"/>
  <c r="L28" i="625"/>
  <c r="K28" i="625" s="1"/>
  <c r="H28" i="625"/>
  <c r="E28" i="625"/>
  <c r="AT27" i="625"/>
  <c r="AJ27" i="625"/>
  <c r="X27" i="625"/>
  <c r="T27" i="625"/>
  <c r="L27" i="625"/>
  <c r="K27" i="625" s="1"/>
  <c r="H27" i="625"/>
  <c r="E27" i="625"/>
  <c r="AT26" i="625"/>
  <c r="AJ26" i="625"/>
  <c r="X26" i="625"/>
  <c r="T26" i="625"/>
  <c r="L26" i="625"/>
  <c r="K26" i="625" s="1"/>
  <c r="E26" i="625"/>
  <c r="AT25" i="625"/>
  <c r="AJ25" i="625"/>
  <c r="X25" i="625"/>
  <c r="T25" i="625"/>
  <c r="L25" i="625"/>
  <c r="K25" i="625" s="1"/>
  <c r="H25" i="625"/>
  <c r="E25" i="625"/>
  <c r="AT24" i="625"/>
  <c r="AJ24" i="625"/>
  <c r="X24" i="625"/>
  <c r="T24" i="625"/>
  <c r="L24" i="625"/>
  <c r="K24" i="625" s="1"/>
  <c r="H24" i="625"/>
  <c r="E24" i="625"/>
  <c r="AT23" i="625"/>
  <c r="AJ23" i="625"/>
  <c r="X23" i="625"/>
  <c r="T23" i="625"/>
  <c r="L23" i="625"/>
  <c r="K23" i="625" s="1"/>
  <c r="H23" i="625"/>
  <c r="E23" i="625"/>
  <c r="AT22" i="625"/>
  <c r="AJ22" i="625"/>
  <c r="X22" i="625"/>
  <c r="T22" i="625"/>
  <c r="L22" i="625"/>
  <c r="K22" i="625" s="1"/>
  <c r="H22" i="625"/>
  <c r="E22" i="625"/>
  <c r="AT21" i="625"/>
  <c r="AJ21" i="625"/>
  <c r="X21" i="625"/>
  <c r="T21" i="625"/>
  <c r="L21" i="625"/>
  <c r="K21" i="625" s="1"/>
  <c r="H21" i="625"/>
  <c r="E21" i="625"/>
  <c r="AT20" i="625"/>
  <c r="AJ20" i="625"/>
  <c r="X20" i="625"/>
  <c r="T20" i="625"/>
  <c r="L20" i="625"/>
  <c r="K20" i="625" s="1"/>
  <c r="H20" i="625"/>
  <c r="E20" i="625"/>
  <c r="AT19" i="625"/>
  <c r="AJ19" i="625"/>
  <c r="X19" i="625"/>
  <c r="T19" i="625"/>
  <c r="L19" i="625"/>
  <c r="K19" i="625" s="1"/>
  <c r="H19" i="625"/>
  <c r="E19" i="625"/>
  <c r="AT18" i="625"/>
  <c r="AJ18" i="625"/>
  <c r="X18" i="625"/>
  <c r="T18" i="625"/>
  <c r="L18" i="625"/>
  <c r="K18" i="625" s="1"/>
  <c r="H18" i="625"/>
  <c r="E18" i="625"/>
  <c r="AT17" i="625"/>
  <c r="AJ17" i="625"/>
  <c r="X17" i="625"/>
  <c r="T17" i="625"/>
  <c r="L17" i="625"/>
  <c r="K17" i="625" s="1"/>
  <c r="H17" i="625"/>
  <c r="E17" i="625"/>
  <c r="AT16" i="625"/>
  <c r="AJ16" i="625"/>
  <c r="X16" i="625"/>
  <c r="T16" i="625"/>
  <c r="L16" i="625"/>
  <c r="K16" i="625" s="1"/>
  <c r="H16" i="625"/>
  <c r="E16" i="625"/>
  <c r="AT15" i="625"/>
  <c r="AJ15" i="625"/>
  <c r="X15" i="625"/>
  <c r="T15" i="625"/>
  <c r="L15" i="625"/>
  <c r="K15" i="625" s="1"/>
  <c r="H15" i="625"/>
  <c r="E15" i="625"/>
  <c r="AT14" i="625"/>
  <c r="AJ14" i="625"/>
  <c r="X14" i="625"/>
  <c r="T14" i="625"/>
  <c r="L14" i="625"/>
  <c r="K14" i="625" s="1"/>
  <c r="H14" i="625"/>
  <c r="E14" i="625"/>
  <c r="AT13" i="625"/>
  <c r="X13" i="625"/>
  <c r="L13" i="625"/>
  <c r="K13" i="625" s="1"/>
  <c r="H13" i="625"/>
  <c r="E13" i="625"/>
  <c r="AI11" i="624"/>
  <c r="AJ13" i="624" s="1"/>
  <c r="S11" i="624"/>
  <c r="AU37" i="624"/>
  <c r="AS37" i="624"/>
  <c r="AT36" i="624"/>
  <c r="AJ36" i="624"/>
  <c r="X36" i="624"/>
  <c r="T36" i="624"/>
  <c r="L36" i="624"/>
  <c r="K36" i="624" s="1"/>
  <c r="H36" i="624"/>
  <c r="E36" i="624"/>
  <c r="AT35" i="624"/>
  <c r="AJ35" i="624"/>
  <c r="X35" i="624"/>
  <c r="T35" i="624"/>
  <c r="L35" i="624"/>
  <c r="K35" i="624" s="1"/>
  <c r="H35" i="624"/>
  <c r="E35" i="624"/>
  <c r="AZ34" i="624"/>
  <c r="AT34" i="624"/>
  <c r="AJ34" i="624"/>
  <c r="X34" i="624"/>
  <c r="T34" i="624"/>
  <c r="L34" i="624"/>
  <c r="K34" i="624" s="1"/>
  <c r="H34" i="624"/>
  <c r="E34" i="624"/>
  <c r="AJ33" i="624"/>
  <c r="X33" i="624"/>
  <c r="T33" i="624"/>
  <c r="L33" i="624"/>
  <c r="K33" i="624" s="1"/>
  <c r="H33" i="624"/>
  <c r="E33" i="624"/>
  <c r="AJ32" i="624"/>
  <c r="X32" i="624"/>
  <c r="T32" i="624"/>
  <c r="L32" i="624"/>
  <c r="M32" i="624" s="1"/>
  <c r="H32" i="624"/>
  <c r="E32" i="624"/>
  <c r="AT31" i="624"/>
  <c r="AJ31" i="624"/>
  <c r="X31" i="624"/>
  <c r="T31" i="624"/>
  <c r="L31" i="624"/>
  <c r="M31" i="624" s="1"/>
  <c r="H31" i="624"/>
  <c r="E31" i="624"/>
  <c r="AT30" i="624"/>
  <c r="AJ30" i="624"/>
  <c r="X30" i="624"/>
  <c r="T30" i="624"/>
  <c r="L30" i="624"/>
  <c r="M30" i="624" s="1"/>
  <c r="H30" i="624"/>
  <c r="E30" i="624"/>
  <c r="AT29" i="624"/>
  <c r="AJ29" i="624"/>
  <c r="X29" i="624"/>
  <c r="T29" i="624"/>
  <c r="L29" i="624"/>
  <c r="M29" i="624" s="1"/>
  <c r="H29" i="624"/>
  <c r="E29" i="624"/>
  <c r="AT28" i="624"/>
  <c r="AJ28" i="624"/>
  <c r="X28" i="624"/>
  <c r="T28" i="624"/>
  <c r="L28" i="624"/>
  <c r="M28" i="624" s="1"/>
  <c r="H28" i="624"/>
  <c r="E28" i="624"/>
  <c r="AT27" i="624"/>
  <c r="AJ27" i="624"/>
  <c r="X27" i="624"/>
  <c r="T27" i="624"/>
  <c r="L27" i="624"/>
  <c r="M27" i="624" s="1"/>
  <c r="H27" i="624"/>
  <c r="E27" i="624"/>
  <c r="AT26" i="624"/>
  <c r="AJ26" i="624"/>
  <c r="X26" i="624"/>
  <c r="T26" i="624"/>
  <c r="L26" i="624"/>
  <c r="M26" i="624" s="1"/>
  <c r="H26" i="624"/>
  <c r="E26" i="624"/>
  <c r="AT25" i="624"/>
  <c r="AJ25" i="624"/>
  <c r="X25" i="624"/>
  <c r="T25" i="624"/>
  <c r="L25" i="624"/>
  <c r="M25" i="624" s="1"/>
  <c r="H25" i="624"/>
  <c r="E25" i="624"/>
  <c r="AT24" i="624"/>
  <c r="AJ24" i="624"/>
  <c r="X24" i="624"/>
  <c r="T24" i="624"/>
  <c r="L24" i="624"/>
  <c r="M24" i="624" s="1"/>
  <c r="K24" i="624"/>
  <c r="H24" i="624"/>
  <c r="E24" i="624"/>
  <c r="AT23" i="624"/>
  <c r="AJ23" i="624"/>
  <c r="X23" i="624"/>
  <c r="T23" i="624"/>
  <c r="L23" i="624"/>
  <c r="M23" i="624" s="1"/>
  <c r="H23" i="624"/>
  <c r="E23" i="624"/>
  <c r="AT22" i="624"/>
  <c r="AJ22" i="624"/>
  <c r="X22" i="624"/>
  <c r="T22" i="624"/>
  <c r="L22" i="624"/>
  <c r="M22" i="624" s="1"/>
  <c r="H22" i="624"/>
  <c r="E22" i="624"/>
  <c r="AT21" i="624"/>
  <c r="AJ21" i="624"/>
  <c r="X21" i="624"/>
  <c r="T21" i="624"/>
  <c r="L21" i="624"/>
  <c r="M21" i="624" s="1"/>
  <c r="H21" i="624"/>
  <c r="E21" i="624"/>
  <c r="AT20" i="624"/>
  <c r="AJ20" i="624"/>
  <c r="X20" i="624"/>
  <c r="T20" i="624"/>
  <c r="L20" i="624"/>
  <c r="M20" i="624" s="1"/>
  <c r="H20" i="624"/>
  <c r="E20" i="624"/>
  <c r="AT19" i="624"/>
  <c r="AJ19" i="624"/>
  <c r="X19" i="624"/>
  <c r="T19" i="624"/>
  <c r="L19" i="624"/>
  <c r="M19" i="624" s="1"/>
  <c r="H19" i="624"/>
  <c r="E19" i="624"/>
  <c r="AT18" i="624"/>
  <c r="AJ18" i="624"/>
  <c r="X18" i="624"/>
  <c r="T18" i="624"/>
  <c r="L18" i="624"/>
  <c r="M18" i="624" s="1"/>
  <c r="H18" i="624"/>
  <c r="E18" i="624"/>
  <c r="AT17" i="624"/>
  <c r="AJ17" i="624"/>
  <c r="X17" i="624"/>
  <c r="T17" i="624"/>
  <c r="L17" i="624"/>
  <c r="M17" i="624" s="1"/>
  <c r="H17" i="624"/>
  <c r="E17" i="624"/>
  <c r="AT16" i="624"/>
  <c r="AJ16" i="624"/>
  <c r="X16" i="624"/>
  <c r="T16" i="624"/>
  <c r="L16" i="624"/>
  <c r="M16" i="624" s="1"/>
  <c r="H16" i="624"/>
  <c r="E16" i="624"/>
  <c r="AT15" i="624"/>
  <c r="AJ15" i="624"/>
  <c r="X15" i="624"/>
  <c r="T15" i="624"/>
  <c r="L15" i="624"/>
  <c r="M15" i="624" s="1"/>
  <c r="H15" i="624"/>
  <c r="E15" i="624"/>
  <c r="AT14" i="624"/>
  <c r="AJ14" i="624"/>
  <c r="X14" i="624"/>
  <c r="T14" i="624"/>
  <c r="L14" i="624"/>
  <c r="M14" i="624" s="1"/>
  <c r="H14" i="624"/>
  <c r="E14" i="624"/>
  <c r="AT13" i="624"/>
  <c r="X13" i="624"/>
  <c r="L13" i="624"/>
  <c r="M13" i="624" s="1"/>
  <c r="H13" i="624"/>
  <c r="E13" i="624"/>
  <c r="T13" i="624"/>
  <c r="K14" i="624" l="1"/>
  <c r="M35" i="625"/>
  <c r="AT37" i="624"/>
  <c r="K13" i="624"/>
  <c r="K26" i="624"/>
  <c r="K27" i="624"/>
  <c r="V17" i="624"/>
  <c r="V18" i="624"/>
  <c r="V19" i="624"/>
  <c r="V25" i="624"/>
  <c r="U26" i="624"/>
  <c r="V27" i="624"/>
  <c r="U13" i="625"/>
  <c r="U16" i="625"/>
  <c r="U20" i="625"/>
  <c r="U24" i="625"/>
  <c r="U27" i="625"/>
  <c r="U31" i="625"/>
  <c r="V16" i="624"/>
  <c r="V22" i="624"/>
  <c r="U23" i="624"/>
  <c r="V24" i="624"/>
  <c r="AK24" i="624" s="1"/>
  <c r="U30" i="624"/>
  <c r="V31" i="624"/>
  <c r="AK31" i="624" s="1"/>
  <c r="U32" i="624"/>
  <c r="V34" i="624"/>
  <c r="M35" i="624"/>
  <c r="U15" i="625"/>
  <c r="U19" i="625"/>
  <c r="U23" i="625"/>
  <c r="U26" i="625"/>
  <c r="U30" i="625"/>
  <c r="V33" i="625"/>
  <c r="V35" i="625"/>
  <c r="AK35" i="625" s="1"/>
  <c r="V15" i="624"/>
  <c r="K18" i="624"/>
  <c r="K19" i="624"/>
  <c r="V21" i="624"/>
  <c r="AK21" i="624" s="1"/>
  <c r="V29" i="624"/>
  <c r="AK29" i="624" s="1"/>
  <c r="U35" i="624"/>
  <c r="AT37" i="625"/>
  <c r="U14" i="625"/>
  <c r="U18" i="625"/>
  <c r="U22" i="625"/>
  <c r="U29" i="625"/>
  <c r="V36" i="625"/>
  <c r="AK36" i="625" s="1"/>
  <c r="V14" i="624"/>
  <c r="AK14" i="624" s="1"/>
  <c r="V20" i="624"/>
  <c r="K23" i="624"/>
  <c r="K31" i="624"/>
  <c r="K32" i="624"/>
  <c r="U33" i="624"/>
  <c r="U17" i="625"/>
  <c r="U21" i="625"/>
  <c r="U25" i="625"/>
  <c r="U28" i="625"/>
  <c r="U32" i="625"/>
  <c r="U34" i="625"/>
  <c r="U36" i="625"/>
  <c r="V37" i="626"/>
  <c r="AK37" i="626" s="1"/>
  <c r="U37" i="626"/>
  <c r="U33" i="625"/>
  <c r="AK33" i="625"/>
  <c r="U36" i="624"/>
  <c r="V36" i="624"/>
  <c r="V35" i="624"/>
  <c r="AJ13" i="625"/>
  <c r="V34" i="625"/>
  <c r="AK34" i="625" s="1"/>
  <c r="U35" i="625"/>
  <c r="M33" i="625"/>
  <c r="V13" i="625"/>
  <c r="V14" i="625"/>
  <c r="AK14" i="625" s="1"/>
  <c r="V15" i="625"/>
  <c r="AK15" i="625" s="1"/>
  <c r="V16" i="625"/>
  <c r="AK16" i="625" s="1"/>
  <c r="V17" i="625"/>
  <c r="AK17" i="625" s="1"/>
  <c r="V18" i="625"/>
  <c r="AK18" i="625" s="1"/>
  <c r="V19" i="625"/>
  <c r="AK19" i="625" s="1"/>
  <c r="V20" i="625"/>
  <c r="AK20" i="625" s="1"/>
  <c r="V21" i="625"/>
  <c r="AK21" i="625" s="1"/>
  <c r="V22" i="625"/>
  <c r="AK22" i="625" s="1"/>
  <c r="V23" i="625"/>
  <c r="AK23" i="625" s="1"/>
  <c r="V24" i="625"/>
  <c r="AK24" i="625" s="1"/>
  <c r="V25" i="625"/>
  <c r="AK25" i="625" s="1"/>
  <c r="V26" i="625"/>
  <c r="AK26" i="625" s="1"/>
  <c r="V27" i="625"/>
  <c r="AK27" i="625" s="1"/>
  <c r="V28" i="625"/>
  <c r="AK28" i="625" s="1"/>
  <c r="V29" i="625"/>
  <c r="AK29" i="625" s="1"/>
  <c r="V30" i="625"/>
  <c r="AK30" i="625" s="1"/>
  <c r="V31" i="625"/>
  <c r="AK31" i="625" s="1"/>
  <c r="V32" i="625"/>
  <c r="AK32" i="625" s="1"/>
  <c r="T37" i="625"/>
  <c r="M13" i="625"/>
  <c r="M14" i="625"/>
  <c r="M15" i="625"/>
  <c r="M16" i="625"/>
  <c r="M17" i="625"/>
  <c r="M18" i="625"/>
  <c r="M19" i="625"/>
  <c r="M20" i="625"/>
  <c r="M21" i="625"/>
  <c r="M22" i="625"/>
  <c r="M23" i="625"/>
  <c r="M24" i="625"/>
  <c r="M25" i="625"/>
  <c r="M26" i="625"/>
  <c r="M27" i="625"/>
  <c r="M28" i="625"/>
  <c r="M29" i="625"/>
  <c r="M30" i="625"/>
  <c r="M31" i="625"/>
  <c r="M32" i="625"/>
  <c r="K34" i="625"/>
  <c r="AK34" i="624"/>
  <c r="V33" i="624"/>
  <c r="AK33" i="624" s="1"/>
  <c r="V32" i="624"/>
  <c r="AK32" i="624" s="1"/>
  <c r="K30" i="624"/>
  <c r="U31" i="624"/>
  <c r="U28" i="624"/>
  <c r="V28" i="624"/>
  <c r="AK28" i="624" s="1"/>
  <c r="AK27" i="624"/>
  <c r="V26" i="624"/>
  <c r="AK26" i="624" s="1"/>
  <c r="AK25" i="624"/>
  <c r="U25" i="624"/>
  <c r="V23" i="624"/>
  <c r="AK23" i="624" s="1"/>
  <c r="K22" i="624"/>
  <c r="U22" i="624"/>
  <c r="AK22" i="624"/>
  <c r="K20" i="624"/>
  <c r="U19" i="624"/>
  <c r="K16" i="624"/>
  <c r="U14" i="624"/>
  <c r="K15" i="624"/>
  <c r="AK17" i="624"/>
  <c r="AK18" i="624"/>
  <c r="AK19" i="624"/>
  <c r="AK35" i="624"/>
  <c r="AK15" i="624"/>
  <c r="AK16" i="624"/>
  <c r="AK20" i="624"/>
  <c r="AK36" i="624"/>
  <c r="U20" i="624"/>
  <c r="U21" i="624"/>
  <c r="U16" i="624"/>
  <c r="U17" i="624"/>
  <c r="U24" i="624"/>
  <c r="U27" i="624"/>
  <c r="U29" i="624"/>
  <c r="V30" i="624"/>
  <c r="AK30" i="624" s="1"/>
  <c r="U18" i="624"/>
  <c r="U15" i="624"/>
  <c r="M36" i="624"/>
  <c r="K17" i="624"/>
  <c r="K21" i="624"/>
  <c r="K25" i="624"/>
  <c r="K29" i="624"/>
  <c r="M34" i="624"/>
  <c r="K28" i="624"/>
  <c r="AJ37" i="624"/>
  <c r="T37" i="624"/>
  <c r="V13" i="624"/>
  <c r="AK13" i="624" s="1"/>
  <c r="U13" i="624"/>
  <c r="M33" i="624"/>
  <c r="U34" i="624"/>
  <c r="AI8" i="624"/>
  <c r="AJ37" i="625" l="1"/>
  <c r="AK13" i="625"/>
  <c r="V37" i="625"/>
  <c r="U37" i="625"/>
  <c r="V37" i="624"/>
  <c r="AK37" i="624" s="1"/>
  <c r="U37" i="624"/>
  <c r="AK37" i="625" l="1"/>
  <c r="AI11" i="623"/>
  <c r="AJ13" i="623" s="1"/>
  <c r="S11" i="623"/>
  <c r="T13" i="623" s="1"/>
  <c r="AU37" i="623"/>
  <c r="AS37" i="623"/>
  <c r="AT36" i="623"/>
  <c r="AJ36" i="623"/>
  <c r="X36" i="623"/>
  <c r="T36" i="623"/>
  <c r="L36" i="623"/>
  <c r="M36" i="623" s="1"/>
  <c r="H36" i="623"/>
  <c r="E36" i="623"/>
  <c r="AT35" i="623"/>
  <c r="AJ35" i="623"/>
  <c r="X35" i="623"/>
  <c r="T35" i="623"/>
  <c r="L35" i="623"/>
  <c r="M35" i="623" s="1"/>
  <c r="H35" i="623"/>
  <c r="E35" i="623"/>
  <c r="AZ34" i="623"/>
  <c r="AT34" i="623"/>
  <c r="AJ34" i="623"/>
  <c r="X34" i="623"/>
  <c r="T34" i="623"/>
  <c r="L34" i="623"/>
  <c r="M34" i="623" s="1"/>
  <c r="H34" i="623"/>
  <c r="E34" i="623"/>
  <c r="AJ33" i="623"/>
  <c r="X33" i="623"/>
  <c r="T33" i="623"/>
  <c r="L33" i="623"/>
  <c r="M33" i="623" s="1"/>
  <c r="H33" i="623"/>
  <c r="E33" i="623"/>
  <c r="AJ32" i="623"/>
  <c r="X32" i="623"/>
  <c r="T32" i="623"/>
  <c r="L32" i="623"/>
  <c r="M32" i="623" s="1"/>
  <c r="H32" i="623"/>
  <c r="E32" i="623"/>
  <c r="AT31" i="623"/>
  <c r="AJ31" i="623"/>
  <c r="X31" i="623"/>
  <c r="T31" i="623"/>
  <c r="L31" i="623"/>
  <c r="K31" i="623" s="1"/>
  <c r="H31" i="623"/>
  <c r="E31" i="623"/>
  <c r="AT30" i="623"/>
  <c r="AJ30" i="623"/>
  <c r="X30" i="623"/>
  <c r="T30" i="623"/>
  <c r="L30" i="623"/>
  <c r="M30" i="623" s="1"/>
  <c r="H30" i="623"/>
  <c r="E30" i="623"/>
  <c r="AT29" i="623"/>
  <c r="AJ29" i="623"/>
  <c r="X29" i="623"/>
  <c r="T29" i="623"/>
  <c r="L29" i="623"/>
  <c r="M29" i="623" s="1"/>
  <c r="H29" i="623"/>
  <c r="E29" i="623"/>
  <c r="AT28" i="623"/>
  <c r="AJ28" i="623"/>
  <c r="X28" i="623"/>
  <c r="T28" i="623"/>
  <c r="L28" i="623"/>
  <c r="M28" i="623" s="1"/>
  <c r="H28" i="623"/>
  <c r="E28" i="623"/>
  <c r="AT27" i="623"/>
  <c r="AJ27" i="623"/>
  <c r="X27" i="623"/>
  <c r="T27" i="623"/>
  <c r="L27" i="623"/>
  <c r="K27" i="623" s="1"/>
  <c r="H27" i="623"/>
  <c r="E27" i="623"/>
  <c r="AT26" i="623"/>
  <c r="AJ26" i="623"/>
  <c r="X26" i="623"/>
  <c r="T26" i="623"/>
  <c r="L26" i="623"/>
  <c r="M26" i="623" s="1"/>
  <c r="H26" i="623"/>
  <c r="E26" i="623"/>
  <c r="AT25" i="623"/>
  <c r="AJ25" i="623"/>
  <c r="X25" i="623"/>
  <c r="T25" i="623"/>
  <c r="L25" i="623"/>
  <c r="M25" i="623" s="1"/>
  <c r="H25" i="623"/>
  <c r="E25" i="623"/>
  <c r="AT24" i="623"/>
  <c r="AJ24" i="623"/>
  <c r="X24" i="623"/>
  <c r="T24" i="623"/>
  <c r="L24" i="623"/>
  <c r="M24" i="623" s="1"/>
  <c r="H24" i="623"/>
  <c r="E24" i="623"/>
  <c r="AT23" i="623"/>
  <c r="AJ23" i="623"/>
  <c r="X23" i="623"/>
  <c r="T23" i="623"/>
  <c r="L23" i="623"/>
  <c r="K23" i="623" s="1"/>
  <c r="H23" i="623"/>
  <c r="E23" i="623"/>
  <c r="AT22" i="623"/>
  <c r="AJ22" i="623"/>
  <c r="X22" i="623"/>
  <c r="T22" i="623"/>
  <c r="L22" i="623"/>
  <c r="M22" i="623" s="1"/>
  <c r="H22" i="623"/>
  <c r="E22" i="623"/>
  <c r="AT21" i="623"/>
  <c r="AJ21" i="623"/>
  <c r="X21" i="623"/>
  <c r="T21" i="623"/>
  <c r="L21" i="623"/>
  <c r="M21" i="623" s="1"/>
  <c r="H21" i="623"/>
  <c r="E21" i="623"/>
  <c r="AT20" i="623"/>
  <c r="AJ20" i="623"/>
  <c r="X20" i="623"/>
  <c r="T20" i="623"/>
  <c r="L20" i="623"/>
  <c r="M20" i="623" s="1"/>
  <c r="H20" i="623"/>
  <c r="E20" i="623"/>
  <c r="AT19" i="623"/>
  <c r="AJ19" i="623"/>
  <c r="X19" i="623"/>
  <c r="T19" i="623"/>
  <c r="L19" i="623"/>
  <c r="K19" i="623" s="1"/>
  <c r="H19" i="623"/>
  <c r="E19" i="623"/>
  <c r="AT18" i="623"/>
  <c r="AJ18" i="623"/>
  <c r="X18" i="623"/>
  <c r="T18" i="623"/>
  <c r="L18" i="623"/>
  <c r="K18" i="623" s="1"/>
  <c r="H18" i="623"/>
  <c r="E18" i="623"/>
  <c r="AT17" i="623"/>
  <c r="AJ17" i="623"/>
  <c r="X17" i="623"/>
  <c r="T17" i="623"/>
  <c r="L17" i="623"/>
  <c r="M17" i="623" s="1"/>
  <c r="H17" i="623"/>
  <c r="E17" i="623"/>
  <c r="AT16" i="623"/>
  <c r="AJ16" i="623"/>
  <c r="X16" i="623"/>
  <c r="T16" i="623"/>
  <c r="L16" i="623"/>
  <c r="M16" i="623" s="1"/>
  <c r="K16" i="623"/>
  <c r="H16" i="623"/>
  <c r="E16" i="623"/>
  <c r="AT15" i="623"/>
  <c r="AJ15" i="623"/>
  <c r="X15" i="623"/>
  <c r="T15" i="623"/>
  <c r="L15" i="623"/>
  <c r="K15" i="623" s="1"/>
  <c r="H15" i="623"/>
  <c r="E15" i="623"/>
  <c r="AT14" i="623"/>
  <c r="AJ14" i="623"/>
  <c r="X14" i="623"/>
  <c r="T14" i="623"/>
  <c r="M14" i="623"/>
  <c r="L14" i="623"/>
  <c r="K14" i="623"/>
  <c r="H14" i="623"/>
  <c r="E14" i="623"/>
  <c r="AT13" i="623"/>
  <c r="X13" i="623"/>
  <c r="L13" i="623"/>
  <c r="M13" i="623" s="1"/>
  <c r="K13" i="623"/>
  <c r="H13" i="623"/>
  <c r="E13" i="623"/>
  <c r="AI8" i="623"/>
  <c r="AT16" i="622"/>
  <c r="U18" i="623" l="1"/>
  <c r="V22" i="623"/>
  <c r="U26" i="623"/>
  <c r="U30" i="623"/>
  <c r="V33" i="623"/>
  <c r="V17" i="623"/>
  <c r="AK17" i="623" s="1"/>
  <c r="K20" i="623"/>
  <c r="K21" i="623"/>
  <c r="K22" i="623"/>
  <c r="U25" i="623"/>
  <c r="U29" i="623"/>
  <c r="AT37" i="623"/>
  <c r="U36" i="623"/>
  <c r="U16" i="623"/>
  <c r="V24" i="623"/>
  <c r="U28" i="623"/>
  <c r="U32" i="623"/>
  <c r="V34" i="623"/>
  <c r="AK34" i="623" s="1"/>
  <c r="U35" i="623"/>
  <c r="V15" i="623"/>
  <c r="V14" i="623"/>
  <c r="V19" i="623"/>
  <c r="AK19" i="623" s="1"/>
  <c r="U20" i="623"/>
  <c r="U21" i="623"/>
  <c r="U23" i="623"/>
  <c r="U27" i="623"/>
  <c r="U31" i="623"/>
  <c r="U13" i="623"/>
  <c r="K36" i="623"/>
  <c r="K35" i="623"/>
  <c r="K33" i="623"/>
  <c r="K32" i="623"/>
  <c r="K30" i="623"/>
  <c r="K29" i="623"/>
  <c r="K28" i="623"/>
  <c r="K26" i="623"/>
  <c r="K25" i="623"/>
  <c r="K24" i="623"/>
  <c r="AK24" i="623"/>
  <c r="M18" i="623"/>
  <c r="K17" i="623"/>
  <c r="AJ37" i="623"/>
  <c r="AK33" i="623"/>
  <c r="AK15" i="623"/>
  <c r="U34" i="623"/>
  <c r="M15" i="623"/>
  <c r="M19" i="623"/>
  <c r="M23" i="623"/>
  <c r="M27" i="623"/>
  <c r="M31" i="623"/>
  <c r="K34" i="623"/>
  <c r="AK14" i="623"/>
  <c r="AK22" i="623"/>
  <c r="U14" i="623"/>
  <c r="U15" i="623"/>
  <c r="U17" i="623"/>
  <c r="U19" i="623"/>
  <c r="U22" i="623"/>
  <c r="U24" i="623"/>
  <c r="V35" i="623"/>
  <c r="AK35" i="623" s="1"/>
  <c r="V36" i="623"/>
  <c r="AK36" i="623" s="1"/>
  <c r="V13" i="623"/>
  <c r="AK13" i="623" s="1"/>
  <c r="V16" i="623"/>
  <c r="AK16" i="623" s="1"/>
  <c r="V18" i="623"/>
  <c r="AK18" i="623" s="1"/>
  <c r="V20" i="623"/>
  <c r="AK20" i="623" s="1"/>
  <c r="V21" i="623"/>
  <c r="AK21" i="623" s="1"/>
  <c r="V23" i="623"/>
  <c r="AK23" i="623" s="1"/>
  <c r="V25" i="623"/>
  <c r="AK25" i="623" s="1"/>
  <c r="V26" i="623"/>
  <c r="AK26" i="623" s="1"/>
  <c r="V27" i="623"/>
  <c r="AK27" i="623" s="1"/>
  <c r="V28" i="623"/>
  <c r="AK28" i="623" s="1"/>
  <c r="V29" i="623"/>
  <c r="AK29" i="623" s="1"/>
  <c r="V30" i="623"/>
  <c r="AK30" i="623" s="1"/>
  <c r="V31" i="623"/>
  <c r="AK31" i="623" s="1"/>
  <c r="V32" i="623"/>
  <c r="AK32" i="623" s="1"/>
  <c r="T37" i="623"/>
  <c r="U33" i="623"/>
  <c r="V37" i="623" l="1"/>
  <c r="AK37" i="623" s="1"/>
  <c r="U37" i="623"/>
  <c r="AI11" i="622" l="1"/>
  <c r="AI8" i="622" s="1"/>
  <c r="S11" i="622"/>
  <c r="AU37" i="622"/>
  <c r="AS37" i="622"/>
  <c r="AT36" i="622"/>
  <c r="AJ36" i="622"/>
  <c r="X36" i="622"/>
  <c r="T36" i="622"/>
  <c r="L36" i="622"/>
  <c r="K36" i="622" s="1"/>
  <c r="H36" i="622"/>
  <c r="E36" i="622"/>
  <c r="AT35" i="622"/>
  <c r="AJ35" i="622"/>
  <c r="X35" i="622"/>
  <c r="T35" i="622"/>
  <c r="L35" i="622"/>
  <c r="K35" i="622" s="1"/>
  <c r="H35" i="622"/>
  <c r="E35" i="622"/>
  <c r="AZ34" i="622"/>
  <c r="AT34" i="622"/>
  <c r="AJ34" i="622"/>
  <c r="X34" i="622"/>
  <c r="T34" i="622"/>
  <c r="L34" i="622"/>
  <c r="M34" i="622" s="1"/>
  <c r="H34" i="622"/>
  <c r="E34" i="622"/>
  <c r="AJ33" i="622"/>
  <c r="X33" i="622"/>
  <c r="T33" i="622"/>
  <c r="L33" i="622"/>
  <c r="K33" i="622" s="1"/>
  <c r="H33" i="622"/>
  <c r="E33" i="622"/>
  <c r="AJ32" i="622"/>
  <c r="X32" i="622"/>
  <c r="T32" i="622"/>
  <c r="L32" i="622"/>
  <c r="M32" i="622" s="1"/>
  <c r="H32" i="622"/>
  <c r="E32" i="622"/>
  <c r="AT31" i="622"/>
  <c r="AJ31" i="622"/>
  <c r="X31" i="622"/>
  <c r="T31" i="622"/>
  <c r="L31" i="622"/>
  <c r="M31" i="622" s="1"/>
  <c r="H31" i="622"/>
  <c r="E31" i="622"/>
  <c r="AT30" i="622"/>
  <c r="AJ30" i="622"/>
  <c r="X30" i="622"/>
  <c r="T30" i="622"/>
  <c r="L30" i="622"/>
  <c r="M30" i="622" s="1"/>
  <c r="H30" i="622"/>
  <c r="E30" i="622"/>
  <c r="AT29" i="622"/>
  <c r="AJ29" i="622"/>
  <c r="X29" i="622"/>
  <c r="T29" i="622"/>
  <c r="L29" i="622"/>
  <c r="M29" i="622" s="1"/>
  <c r="H29" i="622"/>
  <c r="E29" i="622"/>
  <c r="AT28" i="622"/>
  <c r="AJ28" i="622"/>
  <c r="X28" i="622"/>
  <c r="T28" i="622"/>
  <c r="L28" i="622"/>
  <c r="M28" i="622" s="1"/>
  <c r="H28" i="622"/>
  <c r="E28" i="622"/>
  <c r="AT27" i="622"/>
  <c r="AJ27" i="622"/>
  <c r="X27" i="622"/>
  <c r="T27" i="622"/>
  <c r="L27" i="622"/>
  <c r="M27" i="622" s="1"/>
  <c r="H27" i="622"/>
  <c r="E27" i="622"/>
  <c r="AT26" i="622"/>
  <c r="AJ26" i="622"/>
  <c r="X26" i="622"/>
  <c r="T26" i="622"/>
  <c r="L26" i="622"/>
  <c r="M26" i="622" s="1"/>
  <c r="H26" i="622"/>
  <c r="E26" i="622"/>
  <c r="AT25" i="622"/>
  <c r="AJ25" i="622"/>
  <c r="X25" i="622"/>
  <c r="T25" i="622"/>
  <c r="L25" i="622"/>
  <c r="M25" i="622" s="1"/>
  <c r="H25" i="622"/>
  <c r="E25" i="622"/>
  <c r="AT24" i="622"/>
  <c r="AJ24" i="622"/>
  <c r="X24" i="622"/>
  <c r="T24" i="622"/>
  <c r="L24" i="622"/>
  <c r="M24" i="622" s="1"/>
  <c r="H24" i="622"/>
  <c r="E24" i="622"/>
  <c r="AT23" i="622"/>
  <c r="AJ23" i="622"/>
  <c r="X23" i="622"/>
  <c r="T23" i="622"/>
  <c r="L23" i="622"/>
  <c r="M23" i="622" s="1"/>
  <c r="H23" i="622"/>
  <c r="E23" i="622"/>
  <c r="AT22" i="622"/>
  <c r="AJ22" i="622"/>
  <c r="X22" i="622"/>
  <c r="T22" i="622"/>
  <c r="L22" i="622"/>
  <c r="M22" i="622" s="1"/>
  <c r="H22" i="622"/>
  <c r="E22" i="622"/>
  <c r="AT21" i="622"/>
  <c r="AJ21" i="622"/>
  <c r="X21" i="622"/>
  <c r="T21" i="622"/>
  <c r="L21" i="622"/>
  <c r="K21" i="622" s="1"/>
  <c r="H21" i="622"/>
  <c r="E21" i="622"/>
  <c r="AT20" i="622"/>
  <c r="AJ20" i="622"/>
  <c r="X20" i="622"/>
  <c r="T20" i="622"/>
  <c r="L20" i="622"/>
  <c r="M20" i="622" s="1"/>
  <c r="H20" i="622"/>
  <c r="E20" i="622"/>
  <c r="AT19" i="622"/>
  <c r="AJ19" i="622"/>
  <c r="X19" i="622"/>
  <c r="T19" i="622"/>
  <c r="L19" i="622"/>
  <c r="M19" i="622" s="1"/>
  <c r="H19" i="622"/>
  <c r="E19" i="622"/>
  <c r="AT18" i="622"/>
  <c r="AJ18" i="622"/>
  <c r="X18" i="622"/>
  <c r="T18" i="622"/>
  <c r="L18" i="622"/>
  <c r="M18" i="622" s="1"/>
  <c r="H18" i="622"/>
  <c r="E18" i="622"/>
  <c r="AT17" i="622"/>
  <c r="AJ17" i="622"/>
  <c r="X17" i="622"/>
  <c r="T17" i="622"/>
  <c r="L17" i="622"/>
  <c r="K17" i="622" s="1"/>
  <c r="H17" i="622"/>
  <c r="E17" i="622"/>
  <c r="AJ16" i="622"/>
  <c r="X16" i="622"/>
  <c r="T16" i="622"/>
  <c r="L16" i="622"/>
  <c r="M16" i="622" s="1"/>
  <c r="H16" i="622"/>
  <c r="E16" i="622"/>
  <c r="AT15" i="622"/>
  <c r="AJ15" i="622"/>
  <c r="X15" i="622"/>
  <c r="T15" i="622"/>
  <c r="L15" i="622"/>
  <c r="M15" i="622" s="1"/>
  <c r="H15" i="622"/>
  <c r="E15" i="622"/>
  <c r="AT14" i="622"/>
  <c r="AJ14" i="622"/>
  <c r="X14" i="622"/>
  <c r="T14" i="622"/>
  <c r="L14" i="622"/>
  <c r="K14" i="622" s="1"/>
  <c r="H14" i="622"/>
  <c r="E14" i="622"/>
  <c r="AT13" i="622"/>
  <c r="AJ13" i="622"/>
  <c r="X13" i="622"/>
  <c r="L13" i="622"/>
  <c r="K13" i="622" s="1"/>
  <c r="H13" i="622"/>
  <c r="E13" i="622"/>
  <c r="T13" i="622"/>
  <c r="M13" i="622" l="1"/>
  <c r="K23" i="622"/>
  <c r="K25" i="622"/>
  <c r="V20" i="622"/>
  <c r="AK20" i="622" s="1"/>
  <c r="V21" i="622"/>
  <c r="V28" i="622"/>
  <c r="V32" i="622"/>
  <c r="AK32" i="622" s="1"/>
  <c r="U34" i="622"/>
  <c r="V35" i="622"/>
  <c r="V16" i="622"/>
  <c r="V19" i="622"/>
  <c r="V27" i="622"/>
  <c r="AK27" i="622" s="1"/>
  <c r="V31" i="622"/>
  <c r="AK31" i="622" s="1"/>
  <c r="U15" i="622"/>
  <c r="V18" i="622"/>
  <c r="AK18" i="622" s="1"/>
  <c r="V24" i="622"/>
  <c r="AK24" i="622" s="1"/>
  <c r="V26" i="622"/>
  <c r="AK26" i="622" s="1"/>
  <c r="V30" i="622"/>
  <c r="U33" i="622"/>
  <c r="AT37" i="622"/>
  <c r="V14" i="622"/>
  <c r="V17" i="622"/>
  <c r="AK17" i="622" s="1"/>
  <c r="M21" i="622"/>
  <c r="V22" i="622"/>
  <c r="AK22" i="622" s="1"/>
  <c r="V23" i="622"/>
  <c r="V25" i="622"/>
  <c r="V29" i="622"/>
  <c r="V36" i="622"/>
  <c r="K34" i="622"/>
  <c r="V34" i="622"/>
  <c r="AK34" i="622" s="1"/>
  <c r="V33" i="622"/>
  <c r="AK33" i="622" s="1"/>
  <c r="K32" i="622"/>
  <c r="K31" i="622"/>
  <c r="U31" i="622"/>
  <c r="K30" i="622"/>
  <c r="K29" i="622"/>
  <c r="K28" i="622"/>
  <c r="K27" i="622"/>
  <c r="K26" i="622"/>
  <c r="U26" i="622"/>
  <c r="AK25" i="622"/>
  <c r="K24" i="622"/>
  <c r="U23" i="622"/>
  <c r="K22" i="622"/>
  <c r="AK21" i="622"/>
  <c r="K20" i="622"/>
  <c r="K19" i="622"/>
  <c r="AK19" i="622"/>
  <c r="K18" i="622"/>
  <c r="U18" i="622"/>
  <c r="M17" i="622"/>
  <c r="K16" i="622"/>
  <c r="AK16" i="622"/>
  <c r="K15" i="622"/>
  <c r="AJ37" i="622"/>
  <c r="AK23" i="622"/>
  <c r="AK28" i="622"/>
  <c r="AK29" i="622"/>
  <c r="AK30" i="622"/>
  <c r="U22" i="622"/>
  <c r="U27" i="622"/>
  <c r="U30" i="622"/>
  <c r="AK14" i="622"/>
  <c r="U17" i="622"/>
  <c r="U20" i="622"/>
  <c r="U25" i="622"/>
  <c r="U28" i="622"/>
  <c r="AK35" i="622"/>
  <c r="U32" i="622"/>
  <c r="U21" i="622"/>
  <c r="U24" i="622"/>
  <c r="U29" i="622"/>
  <c r="U19" i="622"/>
  <c r="M14" i="622"/>
  <c r="U13" i="622"/>
  <c r="T37" i="622"/>
  <c r="V13" i="622"/>
  <c r="AK13" i="622" s="1"/>
  <c r="AK36" i="622"/>
  <c r="U14" i="622"/>
  <c r="U16" i="622"/>
  <c r="V15" i="622"/>
  <c r="AK15" i="622" s="1"/>
  <c r="M33" i="622"/>
  <c r="M35" i="622"/>
  <c r="M36" i="622"/>
  <c r="U35" i="622"/>
  <c r="U36" i="622"/>
  <c r="V37" i="622" l="1"/>
  <c r="AK37" i="622" s="1"/>
  <c r="U37" i="622"/>
  <c r="H17" i="621" l="1"/>
  <c r="AI11" i="621" l="1"/>
  <c r="AI8" i="621" s="1"/>
  <c r="S11" i="621"/>
  <c r="T13" i="621" s="1"/>
  <c r="AU37" i="621"/>
  <c r="AS37" i="621"/>
  <c r="AT36" i="621"/>
  <c r="AJ36" i="621"/>
  <c r="X36" i="621"/>
  <c r="T36" i="621"/>
  <c r="L36" i="621"/>
  <c r="K36" i="621" s="1"/>
  <c r="H36" i="621"/>
  <c r="E36" i="621"/>
  <c r="AT35" i="621"/>
  <c r="AJ35" i="621"/>
  <c r="X35" i="621"/>
  <c r="T35" i="621"/>
  <c r="L35" i="621"/>
  <c r="K35" i="621" s="1"/>
  <c r="H35" i="621"/>
  <c r="E35" i="621"/>
  <c r="AZ34" i="621"/>
  <c r="AT34" i="621"/>
  <c r="AJ34" i="621"/>
  <c r="X34" i="621"/>
  <c r="T34" i="621"/>
  <c r="L34" i="621"/>
  <c r="M34" i="621" s="1"/>
  <c r="H34" i="621"/>
  <c r="E34" i="621"/>
  <c r="AJ33" i="621"/>
  <c r="X33" i="621"/>
  <c r="T33" i="621"/>
  <c r="L33" i="621"/>
  <c r="K33" i="621" s="1"/>
  <c r="H33" i="621"/>
  <c r="E33" i="621"/>
  <c r="AJ32" i="621"/>
  <c r="X32" i="621"/>
  <c r="T32" i="621"/>
  <c r="L32" i="621"/>
  <c r="M32" i="621" s="1"/>
  <c r="H32" i="621"/>
  <c r="E32" i="621"/>
  <c r="AT31" i="621"/>
  <c r="AJ31" i="621"/>
  <c r="X31" i="621"/>
  <c r="T31" i="621"/>
  <c r="L31" i="621"/>
  <c r="K31" i="621" s="1"/>
  <c r="H31" i="621"/>
  <c r="E31" i="621"/>
  <c r="AT30" i="621"/>
  <c r="AJ30" i="621"/>
  <c r="X30" i="621"/>
  <c r="T30" i="621"/>
  <c r="L30" i="621"/>
  <c r="M30" i="621" s="1"/>
  <c r="H30" i="621"/>
  <c r="E30" i="621"/>
  <c r="AT29" i="621"/>
  <c r="AJ29" i="621"/>
  <c r="X29" i="621"/>
  <c r="T29" i="621"/>
  <c r="L29" i="621"/>
  <c r="M29" i="621" s="1"/>
  <c r="H29" i="621"/>
  <c r="E29" i="621"/>
  <c r="AT28" i="621"/>
  <c r="AJ28" i="621"/>
  <c r="X28" i="621"/>
  <c r="T28" i="621"/>
  <c r="L28" i="621"/>
  <c r="M28" i="621" s="1"/>
  <c r="H28" i="621"/>
  <c r="E28" i="621"/>
  <c r="AT27" i="621"/>
  <c r="AJ27" i="621"/>
  <c r="X27" i="621"/>
  <c r="T27" i="621"/>
  <c r="L27" i="621"/>
  <c r="K27" i="621" s="1"/>
  <c r="H27" i="621"/>
  <c r="E27" i="621"/>
  <c r="AT26" i="621"/>
  <c r="AJ26" i="621"/>
  <c r="X26" i="621"/>
  <c r="T26" i="621"/>
  <c r="L26" i="621"/>
  <c r="M26" i="621" s="1"/>
  <c r="H26" i="621"/>
  <c r="E26" i="621"/>
  <c r="AT25" i="621"/>
  <c r="AJ25" i="621"/>
  <c r="X25" i="621"/>
  <c r="T25" i="621"/>
  <c r="L25" i="621"/>
  <c r="M25" i="621" s="1"/>
  <c r="H25" i="621"/>
  <c r="E25" i="621"/>
  <c r="AT24" i="621"/>
  <c r="AJ24" i="621"/>
  <c r="X24" i="621"/>
  <c r="T24" i="621"/>
  <c r="L24" i="621"/>
  <c r="M24" i="621" s="1"/>
  <c r="H24" i="621"/>
  <c r="E24" i="621"/>
  <c r="AT23" i="621"/>
  <c r="AJ23" i="621"/>
  <c r="X23" i="621"/>
  <c r="T23" i="621"/>
  <c r="L23" i="621"/>
  <c r="M23" i="621" s="1"/>
  <c r="H23" i="621"/>
  <c r="E23" i="621"/>
  <c r="AT22" i="621"/>
  <c r="AJ22" i="621"/>
  <c r="X22" i="621"/>
  <c r="T22" i="621"/>
  <c r="L22" i="621"/>
  <c r="M22" i="621" s="1"/>
  <c r="H22" i="621"/>
  <c r="E22" i="621"/>
  <c r="AT21" i="621"/>
  <c r="AJ21" i="621"/>
  <c r="X21" i="621"/>
  <c r="T21" i="621"/>
  <c r="L21" i="621"/>
  <c r="K21" i="621" s="1"/>
  <c r="H21" i="621"/>
  <c r="E21" i="621"/>
  <c r="AT20" i="621"/>
  <c r="AJ20" i="621"/>
  <c r="X20" i="621"/>
  <c r="T20" i="621"/>
  <c r="L20" i="621"/>
  <c r="M20" i="621" s="1"/>
  <c r="H20" i="621"/>
  <c r="E20" i="621"/>
  <c r="AT19" i="621"/>
  <c r="AJ19" i="621"/>
  <c r="X19" i="621"/>
  <c r="T19" i="621"/>
  <c r="L19" i="621"/>
  <c r="M19" i="621" s="1"/>
  <c r="H19" i="621"/>
  <c r="E19" i="621"/>
  <c r="AT18" i="621"/>
  <c r="AJ18" i="621"/>
  <c r="X18" i="621"/>
  <c r="T18" i="621"/>
  <c r="L18" i="621"/>
  <c r="M18" i="621" s="1"/>
  <c r="H18" i="621"/>
  <c r="E18" i="621"/>
  <c r="AT17" i="621"/>
  <c r="AJ17" i="621"/>
  <c r="X17" i="621"/>
  <c r="T17" i="621"/>
  <c r="L17" i="621"/>
  <c r="K17" i="621" s="1"/>
  <c r="E17" i="621"/>
  <c r="AT16" i="621"/>
  <c r="AJ16" i="621"/>
  <c r="X16" i="621"/>
  <c r="T16" i="621"/>
  <c r="L16" i="621"/>
  <c r="M16" i="621" s="1"/>
  <c r="H16" i="621"/>
  <c r="E16" i="621"/>
  <c r="AT15" i="621"/>
  <c r="AJ15" i="621"/>
  <c r="X15" i="621"/>
  <c r="T15" i="621"/>
  <c r="L15" i="621"/>
  <c r="M15" i="621" s="1"/>
  <c r="H15" i="621"/>
  <c r="E15" i="621"/>
  <c r="AT14" i="621"/>
  <c r="AJ14" i="621"/>
  <c r="X14" i="621"/>
  <c r="T14" i="621"/>
  <c r="L14" i="621"/>
  <c r="M14" i="621" s="1"/>
  <c r="H14" i="621"/>
  <c r="E14" i="621"/>
  <c r="AT13" i="621"/>
  <c r="AJ13" i="621"/>
  <c r="X13" i="621"/>
  <c r="L13" i="621"/>
  <c r="M13" i="621" s="1"/>
  <c r="H13" i="621"/>
  <c r="E13" i="621"/>
  <c r="V16" i="621" l="1"/>
  <c r="V19" i="621"/>
  <c r="V23" i="621"/>
  <c r="V27" i="621"/>
  <c r="AK27" i="621" s="1"/>
  <c r="V31" i="621"/>
  <c r="V15" i="621"/>
  <c r="V18" i="621"/>
  <c r="AK18" i="621" s="1"/>
  <c r="V22" i="621"/>
  <c r="AK22" i="621" s="1"/>
  <c r="V26" i="621"/>
  <c r="V30" i="621"/>
  <c r="AK30" i="621" s="1"/>
  <c r="U33" i="621"/>
  <c r="AT37" i="621"/>
  <c r="V14" i="621"/>
  <c r="V17" i="621"/>
  <c r="AK17" i="621" s="1"/>
  <c r="V21" i="621"/>
  <c r="AK21" i="621" s="1"/>
  <c r="V25" i="621"/>
  <c r="AK25" i="621" s="1"/>
  <c r="V29" i="621"/>
  <c r="V36" i="621"/>
  <c r="AK36" i="621" s="1"/>
  <c r="V20" i="621"/>
  <c r="AK20" i="621" s="1"/>
  <c r="V24" i="621"/>
  <c r="AK24" i="621" s="1"/>
  <c r="V28" i="621"/>
  <c r="AK28" i="621" s="1"/>
  <c r="V32" i="621"/>
  <c r="AK32" i="621" s="1"/>
  <c r="V34" i="621"/>
  <c r="AK34" i="621" s="1"/>
  <c r="V35" i="621"/>
  <c r="AK35" i="621" s="1"/>
  <c r="V33" i="621"/>
  <c r="AK33" i="621" s="1"/>
  <c r="U32" i="621"/>
  <c r="M31" i="621"/>
  <c r="AK31" i="621"/>
  <c r="U31" i="621"/>
  <c r="K29" i="621"/>
  <c r="AK29" i="621"/>
  <c r="U28" i="621"/>
  <c r="M27" i="621"/>
  <c r="U27" i="621"/>
  <c r="K25" i="621"/>
  <c r="U24" i="621"/>
  <c r="K23" i="621"/>
  <c r="AK23" i="621"/>
  <c r="U23" i="621"/>
  <c r="M21" i="621"/>
  <c r="U20" i="621"/>
  <c r="K19" i="621"/>
  <c r="AK19" i="621"/>
  <c r="U19" i="621"/>
  <c r="M17" i="621"/>
  <c r="AK15" i="621"/>
  <c r="AK16" i="621"/>
  <c r="U15" i="621"/>
  <c r="U16" i="621"/>
  <c r="K15" i="621"/>
  <c r="AK14" i="621"/>
  <c r="AK26" i="621"/>
  <c r="AJ37" i="621"/>
  <c r="U14" i="621"/>
  <c r="U17" i="621"/>
  <c r="U18" i="621"/>
  <c r="U21" i="621"/>
  <c r="U22" i="621"/>
  <c r="U25" i="621"/>
  <c r="U26" i="621"/>
  <c r="U29" i="621"/>
  <c r="U30" i="621"/>
  <c r="U34" i="621"/>
  <c r="K13" i="621"/>
  <c r="K14" i="621"/>
  <c r="K16" i="621"/>
  <c r="K18" i="621"/>
  <c r="K20" i="621"/>
  <c r="K22" i="621"/>
  <c r="K24" i="621"/>
  <c r="K26" i="621"/>
  <c r="K28" i="621"/>
  <c r="K30" i="621"/>
  <c r="K32" i="621"/>
  <c r="K34" i="621"/>
  <c r="U13" i="621"/>
  <c r="T37" i="621"/>
  <c r="V13" i="621"/>
  <c r="AK13" i="621" s="1"/>
  <c r="M33" i="621"/>
  <c r="M35" i="621"/>
  <c r="M36" i="621"/>
  <c r="U35" i="621"/>
  <c r="U36" i="621"/>
  <c r="V37" i="621" l="1"/>
  <c r="AK37" i="621" s="1"/>
  <c r="U37" i="621"/>
  <c r="AI11" i="620" l="1"/>
  <c r="AJ13" i="620" s="1"/>
  <c r="S11" i="620"/>
  <c r="T13" i="620" s="1"/>
  <c r="AU37" i="620"/>
  <c r="AS37" i="620"/>
  <c r="AT36" i="620"/>
  <c r="AJ36" i="620"/>
  <c r="X36" i="620"/>
  <c r="T36" i="620"/>
  <c r="L36" i="620"/>
  <c r="M36" i="620" s="1"/>
  <c r="H36" i="620"/>
  <c r="E36" i="620"/>
  <c r="AT35" i="620"/>
  <c r="AJ35" i="620"/>
  <c r="X35" i="620"/>
  <c r="T35" i="620"/>
  <c r="L35" i="620"/>
  <c r="M35" i="620" s="1"/>
  <c r="H35" i="620"/>
  <c r="E35" i="620"/>
  <c r="AZ34" i="620"/>
  <c r="AT34" i="620"/>
  <c r="AJ34" i="620"/>
  <c r="X34" i="620"/>
  <c r="T34" i="620"/>
  <c r="L34" i="620"/>
  <c r="M34" i="620" s="1"/>
  <c r="H34" i="620"/>
  <c r="E34" i="620"/>
  <c r="AJ33" i="620"/>
  <c r="X33" i="620"/>
  <c r="T33" i="620"/>
  <c r="L33" i="620"/>
  <c r="K33" i="620" s="1"/>
  <c r="H33" i="620"/>
  <c r="E33" i="620"/>
  <c r="AJ32" i="620"/>
  <c r="X32" i="620"/>
  <c r="T32" i="620"/>
  <c r="L32" i="620"/>
  <c r="K32" i="620" s="1"/>
  <c r="H32" i="620"/>
  <c r="E32" i="620"/>
  <c r="AT31" i="620"/>
  <c r="AJ31" i="620"/>
  <c r="X31" i="620"/>
  <c r="T31" i="620"/>
  <c r="L31" i="620"/>
  <c r="K31" i="620" s="1"/>
  <c r="H31" i="620"/>
  <c r="E31" i="620"/>
  <c r="AT30" i="620"/>
  <c r="AJ30" i="620"/>
  <c r="X30" i="620"/>
  <c r="T30" i="620"/>
  <c r="L30" i="620"/>
  <c r="K30" i="620" s="1"/>
  <c r="H30" i="620"/>
  <c r="E30" i="620"/>
  <c r="AT29" i="620"/>
  <c r="AJ29" i="620"/>
  <c r="X29" i="620"/>
  <c r="T29" i="620"/>
  <c r="L29" i="620"/>
  <c r="K29" i="620" s="1"/>
  <c r="H29" i="620"/>
  <c r="E29" i="620"/>
  <c r="AT28" i="620"/>
  <c r="AJ28" i="620"/>
  <c r="X28" i="620"/>
  <c r="T28" i="620"/>
  <c r="L28" i="620"/>
  <c r="K28" i="620" s="1"/>
  <c r="H28" i="620"/>
  <c r="E28" i="620"/>
  <c r="AT27" i="620"/>
  <c r="AJ27" i="620"/>
  <c r="X27" i="620"/>
  <c r="T27" i="620"/>
  <c r="L27" i="620"/>
  <c r="K27" i="620" s="1"/>
  <c r="H27" i="620"/>
  <c r="E27" i="620"/>
  <c r="AT26" i="620"/>
  <c r="AJ26" i="620"/>
  <c r="X26" i="620"/>
  <c r="T26" i="620"/>
  <c r="L26" i="620"/>
  <c r="K26" i="620" s="1"/>
  <c r="H26" i="620"/>
  <c r="E26" i="620"/>
  <c r="AT25" i="620"/>
  <c r="AJ25" i="620"/>
  <c r="X25" i="620"/>
  <c r="T25" i="620"/>
  <c r="L25" i="620"/>
  <c r="K25" i="620" s="1"/>
  <c r="H25" i="620"/>
  <c r="E25" i="620"/>
  <c r="AT24" i="620"/>
  <c r="AJ24" i="620"/>
  <c r="X24" i="620"/>
  <c r="T24" i="620"/>
  <c r="L24" i="620"/>
  <c r="K24" i="620" s="1"/>
  <c r="H24" i="620"/>
  <c r="E24" i="620"/>
  <c r="AT23" i="620"/>
  <c r="AJ23" i="620"/>
  <c r="X23" i="620"/>
  <c r="T23" i="620"/>
  <c r="L23" i="620"/>
  <c r="K23" i="620" s="1"/>
  <c r="H23" i="620"/>
  <c r="E23" i="620"/>
  <c r="AT22" i="620"/>
  <c r="AJ22" i="620"/>
  <c r="X22" i="620"/>
  <c r="T22" i="620"/>
  <c r="L22" i="620"/>
  <c r="K22" i="620" s="1"/>
  <c r="H22" i="620"/>
  <c r="E22" i="620"/>
  <c r="AT21" i="620"/>
  <c r="AJ21" i="620"/>
  <c r="X21" i="620"/>
  <c r="T21" i="620"/>
  <c r="L21" i="620"/>
  <c r="K21" i="620" s="1"/>
  <c r="H21" i="620"/>
  <c r="E21" i="620"/>
  <c r="AT20" i="620"/>
  <c r="AJ20" i="620"/>
  <c r="X20" i="620"/>
  <c r="T20" i="620"/>
  <c r="L20" i="620"/>
  <c r="K20" i="620" s="1"/>
  <c r="H20" i="620"/>
  <c r="E20" i="620"/>
  <c r="AT19" i="620"/>
  <c r="AJ19" i="620"/>
  <c r="X19" i="620"/>
  <c r="T19" i="620"/>
  <c r="L19" i="620"/>
  <c r="K19" i="620" s="1"/>
  <c r="H19" i="620"/>
  <c r="E19" i="620"/>
  <c r="AT18" i="620"/>
  <c r="AJ18" i="620"/>
  <c r="X18" i="620"/>
  <c r="T18" i="620"/>
  <c r="L18" i="620"/>
  <c r="K18" i="620" s="1"/>
  <c r="H18" i="620"/>
  <c r="E18" i="620"/>
  <c r="AT17" i="620"/>
  <c r="AJ17" i="620"/>
  <c r="X17" i="620"/>
  <c r="T17" i="620"/>
  <c r="L17" i="620"/>
  <c r="K17" i="620" s="1"/>
  <c r="H17" i="620"/>
  <c r="E17" i="620"/>
  <c r="AT16" i="620"/>
  <c r="AJ16" i="620"/>
  <c r="X16" i="620"/>
  <c r="T16" i="620"/>
  <c r="L16" i="620"/>
  <c r="K16" i="620" s="1"/>
  <c r="H16" i="620"/>
  <c r="E16" i="620"/>
  <c r="AT15" i="620"/>
  <c r="AJ15" i="620"/>
  <c r="X15" i="620"/>
  <c r="T15" i="620"/>
  <c r="L15" i="620"/>
  <c r="K15" i="620" s="1"/>
  <c r="H15" i="620"/>
  <c r="E15" i="620"/>
  <c r="AT14" i="620"/>
  <c r="AJ14" i="620"/>
  <c r="X14" i="620"/>
  <c r="T14" i="620"/>
  <c r="L14" i="620"/>
  <c r="K14" i="620" s="1"/>
  <c r="H14" i="620"/>
  <c r="E14" i="620"/>
  <c r="AT13" i="620"/>
  <c r="X13" i="620"/>
  <c r="L13" i="620"/>
  <c r="K13" i="620" s="1"/>
  <c r="H13" i="620"/>
  <c r="E13" i="620"/>
  <c r="AI8" i="620"/>
  <c r="M28" i="620" l="1"/>
  <c r="M29" i="620"/>
  <c r="M30" i="620"/>
  <c r="AT37" i="620"/>
  <c r="M32" i="620"/>
  <c r="K35" i="620"/>
  <c r="K36" i="620"/>
  <c r="V36" i="620"/>
  <c r="AK36" i="620" s="1"/>
  <c r="V35" i="620"/>
  <c r="AK35" i="620" s="1"/>
  <c r="K34" i="620"/>
  <c r="V34" i="620"/>
  <c r="AK34" i="620" s="1"/>
  <c r="U34" i="620"/>
  <c r="M33" i="620"/>
  <c r="V33" i="620"/>
  <c r="AK33" i="620" s="1"/>
  <c r="U32" i="620"/>
  <c r="M31" i="620"/>
  <c r="U31" i="620"/>
  <c r="U30" i="620"/>
  <c r="U29" i="620"/>
  <c r="U28" i="620"/>
  <c r="M27" i="620"/>
  <c r="U27" i="620"/>
  <c r="U26" i="620"/>
  <c r="U25" i="620"/>
  <c r="U24" i="620"/>
  <c r="U23" i="620"/>
  <c r="U22" i="620"/>
  <c r="U21" i="620"/>
  <c r="U20" i="620"/>
  <c r="U19" i="620"/>
  <c r="U18" i="620"/>
  <c r="U17" i="620"/>
  <c r="U16" i="620"/>
  <c r="U15" i="620"/>
  <c r="U14" i="620"/>
  <c r="U13" i="620"/>
  <c r="M14" i="620"/>
  <c r="M15" i="620"/>
  <c r="M16" i="620"/>
  <c r="M17" i="620"/>
  <c r="M18" i="620"/>
  <c r="M19" i="620"/>
  <c r="M20" i="620"/>
  <c r="M21" i="620"/>
  <c r="M22" i="620"/>
  <c r="M23" i="620"/>
  <c r="M24" i="620"/>
  <c r="M25" i="620"/>
  <c r="M26" i="620"/>
  <c r="M13" i="620"/>
  <c r="AJ37" i="620"/>
  <c r="V13" i="620"/>
  <c r="AK13" i="620" s="1"/>
  <c r="V14" i="620"/>
  <c r="AK14" i="620" s="1"/>
  <c r="V15" i="620"/>
  <c r="AK15" i="620" s="1"/>
  <c r="V16" i="620"/>
  <c r="AK16" i="620" s="1"/>
  <c r="V17" i="620"/>
  <c r="AK17" i="620" s="1"/>
  <c r="V18" i="620"/>
  <c r="AK18" i="620" s="1"/>
  <c r="V19" i="620"/>
  <c r="AK19" i="620" s="1"/>
  <c r="V20" i="620"/>
  <c r="AK20" i="620" s="1"/>
  <c r="V21" i="620"/>
  <c r="AK21" i="620" s="1"/>
  <c r="V22" i="620"/>
  <c r="AK22" i="620" s="1"/>
  <c r="V23" i="620"/>
  <c r="AK23" i="620" s="1"/>
  <c r="V24" i="620"/>
  <c r="AK24" i="620" s="1"/>
  <c r="V25" i="620"/>
  <c r="AK25" i="620" s="1"/>
  <c r="V26" i="620"/>
  <c r="AK26" i="620" s="1"/>
  <c r="V27" i="620"/>
  <c r="AK27" i="620" s="1"/>
  <c r="V28" i="620"/>
  <c r="AK28" i="620" s="1"/>
  <c r="V29" i="620"/>
  <c r="AK29" i="620" s="1"/>
  <c r="V30" i="620"/>
  <c r="AK30" i="620" s="1"/>
  <c r="V31" i="620"/>
  <c r="AK31" i="620" s="1"/>
  <c r="V32" i="620"/>
  <c r="AK32" i="620" s="1"/>
  <c r="T37" i="620"/>
  <c r="U33" i="620"/>
  <c r="U35" i="620"/>
  <c r="U36" i="620"/>
  <c r="V37" i="620" l="1"/>
  <c r="AK37" i="620" s="1"/>
  <c r="U37" i="620"/>
  <c r="AI11" i="619"/>
  <c r="AI8" i="619" s="1"/>
  <c r="S11" i="619"/>
  <c r="T13" i="619" s="1"/>
  <c r="AU37" i="619"/>
  <c r="AS37" i="619"/>
  <c r="AT36" i="619"/>
  <c r="AJ36" i="619"/>
  <c r="X36" i="619"/>
  <c r="T36" i="619"/>
  <c r="L36" i="619"/>
  <c r="K36" i="619" s="1"/>
  <c r="H36" i="619"/>
  <c r="E36" i="619"/>
  <c r="AT35" i="619"/>
  <c r="AJ35" i="619"/>
  <c r="X35" i="619"/>
  <c r="T35" i="619"/>
  <c r="L35" i="619"/>
  <c r="K35" i="619" s="1"/>
  <c r="H35" i="619"/>
  <c r="E35" i="619"/>
  <c r="AZ34" i="619"/>
  <c r="AT34" i="619"/>
  <c r="AJ34" i="619"/>
  <c r="X34" i="619"/>
  <c r="T34" i="619"/>
  <c r="L34" i="619"/>
  <c r="M34" i="619" s="1"/>
  <c r="H34" i="619"/>
  <c r="E34" i="619"/>
  <c r="AJ33" i="619"/>
  <c r="X33" i="619"/>
  <c r="T33" i="619"/>
  <c r="L33" i="619"/>
  <c r="K33" i="619" s="1"/>
  <c r="H33" i="619"/>
  <c r="E33" i="619"/>
  <c r="AJ32" i="619"/>
  <c r="X32" i="619"/>
  <c r="T32" i="619"/>
  <c r="L32" i="619"/>
  <c r="M32" i="619" s="1"/>
  <c r="H32" i="619"/>
  <c r="E32" i="619"/>
  <c r="AT31" i="619"/>
  <c r="AJ31" i="619"/>
  <c r="X31" i="619"/>
  <c r="T31" i="619"/>
  <c r="L31" i="619"/>
  <c r="K31" i="619" s="1"/>
  <c r="H31" i="619"/>
  <c r="E31" i="619"/>
  <c r="AT30" i="619"/>
  <c r="AJ30" i="619"/>
  <c r="X30" i="619"/>
  <c r="T30" i="619"/>
  <c r="L30" i="619"/>
  <c r="M30" i="619" s="1"/>
  <c r="H30" i="619"/>
  <c r="E30" i="619"/>
  <c r="AT29" i="619"/>
  <c r="AJ29" i="619"/>
  <c r="X29" i="619"/>
  <c r="T29" i="619"/>
  <c r="L29" i="619"/>
  <c r="K29" i="619" s="1"/>
  <c r="H29" i="619"/>
  <c r="E29" i="619"/>
  <c r="AT28" i="619"/>
  <c r="AJ28" i="619"/>
  <c r="X28" i="619"/>
  <c r="T28" i="619"/>
  <c r="L28" i="619"/>
  <c r="M28" i="619" s="1"/>
  <c r="H28" i="619"/>
  <c r="E28" i="619"/>
  <c r="AT27" i="619"/>
  <c r="AJ27" i="619"/>
  <c r="X27" i="619"/>
  <c r="T27" i="619"/>
  <c r="L27" i="619"/>
  <c r="M27" i="619" s="1"/>
  <c r="H27" i="619"/>
  <c r="E27" i="619"/>
  <c r="AT26" i="619"/>
  <c r="AJ26" i="619"/>
  <c r="X26" i="619"/>
  <c r="T26" i="619"/>
  <c r="L26" i="619"/>
  <c r="M26" i="619" s="1"/>
  <c r="H26" i="619"/>
  <c r="E26" i="619"/>
  <c r="AT25" i="619"/>
  <c r="AJ25" i="619"/>
  <c r="X25" i="619"/>
  <c r="T25" i="619"/>
  <c r="L25" i="619"/>
  <c r="K25" i="619" s="1"/>
  <c r="H25" i="619"/>
  <c r="E25" i="619"/>
  <c r="AT24" i="619"/>
  <c r="AJ24" i="619"/>
  <c r="X24" i="619"/>
  <c r="T24" i="619"/>
  <c r="L24" i="619"/>
  <c r="M24" i="619" s="1"/>
  <c r="H24" i="619"/>
  <c r="E24" i="619"/>
  <c r="AT23" i="619"/>
  <c r="AJ23" i="619"/>
  <c r="X23" i="619"/>
  <c r="T23" i="619"/>
  <c r="L23" i="619"/>
  <c r="M23" i="619" s="1"/>
  <c r="H23" i="619"/>
  <c r="E23" i="619"/>
  <c r="AT22" i="619"/>
  <c r="AJ22" i="619"/>
  <c r="X22" i="619"/>
  <c r="T22" i="619"/>
  <c r="L22" i="619"/>
  <c r="M22" i="619" s="1"/>
  <c r="H22" i="619"/>
  <c r="E22" i="619"/>
  <c r="AT21" i="619"/>
  <c r="AJ21" i="619"/>
  <c r="X21" i="619"/>
  <c r="T21" i="619"/>
  <c r="L21" i="619"/>
  <c r="K21" i="619" s="1"/>
  <c r="H21" i="619"/>
  <c r="E21" i="619"/>
  <c r="AT20" i="619"/>
  <c r="AJ20" i="619"/>
  <c r="X20" i="619"/>
  <c r="T20" i="619"/>
  <c r="L20" i="619"/>
  <c r="M20" i="619" s="1"/>
  <c r="H20" i="619"/>
  <c r="E20" i="619"/>
  <c r="AT19" i="619"/>
  <c r="AJ19" i="619"/>
  <c r="X19" i="619"/>
  <c r="T19" i="619"/>
  <c r="L19" i="619"/>
  <c r="M19" i="619" s="1"/>
  <c r="H19" i="619"/>
  <c r="E19" i="619"/>
  <c r="AT18" i="619"/>
  <c r="AJ18" i="619"/>
  <c r="X18" i="619"/>
  <c r="T18" i="619"/>
  <c r="L18" i="619"/>
  <c r="M18" i="619" s="1"/>
  <c r="H18" i="619"/>
  <c r="E18" i="619"/>
  <c r="AT17" i="619"/>
  <c r="AJ17" i="619"/>
  <c r="X17" i="619"/>
  <c r="T17" i="619"/>
  <c r="L17" i="619"/>
  <c r="K17" i="619" s="1"/>
  <c r="H17" i="619"/>
  <c r="E17" i="619"/>
  <c r="AT16" i="619"/>
  <c r="AJ16" i="619"/>
  <c r="X16" i="619"/>
  <c r="T16" i="619"/>
  <c r="L16" i="619"/>
  <c r="M16" i="619" s="1"/>
  <c r="H16" i="619"/>
  <c r="E16" i="619"/>
  <c r="AT15" i="619"/>
  <c r="AJ15" i="619"/>
  <c r="X15" i="619"/>
  <c r="T15" i="619"/>
  <c r="L15" i="619"/>
  <c r="M15" i="619" s="1"/>
  <c r="H15" i="619"/>
  <c r="E15" i="619"/>
  <c r="AT14" i="619"/>
  <c r="AJ14" i="619"/>
  <c r="X14" i="619"/>
  <c r="T14" i="619"/>
  <c r="L14" i="619"/>
  <c r="M14" i="619" s="1"/>
  <c r="H14" i="619"/>
  <c r="E14" i="619"/>
  <c r="AT13" i="619"/>
  <c r="X13" i="619"/>
  <c r="L13" i="619"/>
  <c r="K13" i="619" s="1"/>
  <c r="H13" i="619"/>
  <c r="E13" i="619"/>
  <c r="K18" i="619" l="1"/>
  <c r="K23" i="619"/>
  <c r="U16" i="619"/>
  <c r="U21" i="619"/>
  <c r="U24" i="619"/>
  <c r="U28" i="619"/>
  <c r="V32" i="619"/>
  <c r="U34" i="619"/>
  <c r="V35" i="619"/>
  <c r="U15" i="619"/>
  <c r="U20" i="619"/>
  <c r="K24" i="619"/>
  <c r="U27" i="619"/>
  <c r="V31" i="619"/>
  <c r="AK31" i="619" s="1"/>
  <c r="U19" i="619"/>
  <c r="U26" i="619"/>
  <c r="V30" i="619"/>
  <c r="V33" i="619"/>
  <c r="U13" i="619"/>
  <c r="AT37" i="619"/>
  <c r="U14" i="619"/>
  <c r="U17" i="619"/>
  <c r="U18" i="619"/>
  <c r="U22" i="619"/>
  <c r="U23" i="619"/>
  <c r="U25" i="619"/>
  <c r="V29" i="619"/>
  <c r="AK29" i="619" s="1"/>
  <c r="V36" i="619"/>
  <c r="AK36" i="619" s="1"/>
  <c r="K34" i="619"/>
  <c r="V34" i="619"/>
  <c r="AK34" i="619" s="1"/>
  <c r="AK33" i="619"/>
  <c r="K32" i="619"/>
  <c r="U31" i="619"/>
  <c r="K30" i="619"/>
  <c r="U30" i="619"/>
  <c r="K28" i="619"/>
  <c r="K27" i="619"/>
  <c r="K26" i="619"/>
  <c r="K22" i="619"/>
  <c r="K20" i="619"/>
  <c r="K19" i="619"/>
  <c r="K16" i="619"/>
  <c r="K15" i="619"/>
  <c r="K14" i="619"/>
  <c r="AK32" i="619"/>
  <c r="AJ13" i="619"/>
  <c r="U29" i="619"/>
  <c r="AK35" i="619"/>
  <c r="U32" i="619"/>
  <c r="M17" i="619"/>
  <c r="M21" i="619"/>
  <c r="M25" i="619"/>
  <c r="M29" i="619"/>
  <c r="M31" i="619"/>
  <c r="M13" i="619"/>
  <c r="AK30" i="619"/>
  <c r="V13" i="619"/>
  <c r="V14" i="619"/>
  <c r="AK14" i="619" s="1"/>
  <c r="V15" i="619"/>
  <c r="AK15" i="619" s="1"/>
  <c r="V16" i="619"/>
  <c r="AK16" i="619" s="1"/>
  <c r="V17" i="619"/>
  <c r="AK17" i="619" s="1"/>
  <c r="V18" i="619"/>
  <c r="AK18" i="619" s="1"/>
  <c r="V19" i="619"/>
  <c r="AK19" i="619" s="1"/>
  <c r="V20" i="619"/>
  <c r="AK20" i="619" s="1"/>
  <c r="V21" i="619"/>
  <c r="AK21" i="619" s="1"/>
  <c r="V22" i="619"/>
  <c r="AK22" i="619" s="1"/>
  <c r="V23" i="619"/>
  <c r="AK23" i="619" s="1"/>
  <c r="V24" i="619"/>
  <c r="AK24" i="619" s="1"/>
  <c r="V25" i="619"/>
  <c r="AK25" i="619" s="1"/>
  <c r="V26" i="619"/>
  <c r="AK26" i="619" s="1"/>
  <c r="V27" i="619"/>
  <c r="AK27" i="619" s="1"/>
  <c r="V28" i="619"/>
  <c r="AK28" i="619" s="1"/>
  <c r="M33" i="619"/>
  <c r="M35" i="619"/>
  <c r="M36" i="619"/>
  <c r="T37" i="619"/>
  <c r="U33" i="619"/>
  <c r="U35" i="619"/>
  <c r="U36" i="619"/>
  <c r="AK13" i="619" l="1"/>
  <c r="AJ37" i="619"/>
  <c r="V37" i="619"/>
  <c r="U37" i="619"/>
  <c r="AK37" i="619" l="1"/>
  <c r="AI11" i="618" l="1"/>
  <c r="S11" i="618"/>
  <c r="AU37" i="618"/>
  <c r="AS37" i="618"/>
  <c r="AT36" i="618"/>
  <c r="AJ36" i="618"/>
  <c r="X36" i="618"/>
  <c r="T36" i="618"/>
  <c r="L36" i="618"/>
  <c r="M36" i="618" s="1"/>
  <c r="H36" i="618"/>
  <c r="E36" i="618"/>
  <c r="AT35" i="618"/>
  <c r="AJ35" i="618"/>
  <c r="X35" i="618"/>
  <c r="T35" i="618"/>
  <c r="L35" i="618"/>
  <c r="M35" i="618" s="1"/>
  <c r="H35" i="618"/>
  <c r="E35" i="618"/>
  <c r="AZ34" i="618"/>
  <c r="AT34" i="618"/>
  <c r="AJ34" i="618"/>
  <c r="X34" i="618"/>
  <c r="T34" i="618"/>
  <c r="L34" i="618"/>
  <c r="M34" i="618" s="1"/>
  <c r="H34" i="618"/>
  <c r="E34" i="618"/>
  <c r="AJ33" i="618"/>
  <c r="X33" i="618"/>
  <c r="T33" i="618"/>
  <c r="L33" i="618"/>
  <c r="M33" i="618" s="1"/>
  <c r="H33" i="618"/>
  <c r="E33" i="618"/>
  <c r="AJ32" i="618"/>
  <c r="X32" i="618"/>
  <c r="T32" i="618"/>
  <c r="L32" i="618"/>
  <c r="M32" i="618" s="1"/>
  <c r="H32" i="618"/>
  <c r="E32" i="618"/>
  <c r="AT31" i="618"/>
  <c r="AJ31" i="618"/>
  <c r="X31" i="618"/>
  <c r="T31" i="618"/>
  <c r="L31" i="618"/>
  <c r="K31" i="618" s="1"/>
  <c r="H31" i="618"/>
  <c r="E31" i="618"/>
  <c r="AT30" i="618"/>
  <c r="AJ30" i="618"/>
  <c r="X30" i="618"/>
  <c r="T30" i="618"/>
  <c r="L30" i="618"/>
  <c r="M30" i="618" s="1"/>
  <c r="H30" i="618"/>
  <c r="E30" i="618"/>
  <c r="AT29" i="618"/>
  <c r="AJ29" i="618"/>
  <c r="X29" i="618"/>
  <c r="T29" i="618"/>
  <c r="L29" i="618"/>
  <c r="M29" i="618" s="1"/>
  <c r="H29" i="618"/>
  <c r="E29" i="618"/>
  <c r="AT28" i="618"/>
  <c r="AJ28" i="618"/>
  <c r="X28" i="618"/>
  <c r="T28" i="618"/>
  <c r="L28" i="618"/>
  <c r="M28" i="618" s="1"/>
  <c r="H28" i="618"/>
  <c r="E28" i="618"/>
  <c r="AT27" i="618"/>
  <c r="AJ27" i="618"/>
  <c r="X27" i="618"/>
  <c r="T27" i="618"/>
  <c r="L27" i="618"/>
  <c r="K27" i="618" s="1"/>
  <c r="H27" i="618"/>
  <c r="E27" i="618"/>
  <c r="AT26" i="618"/>
  <c r="AJ26" i="618"/>
  <c r="X26" i="618"/>
  <c r="T26" i="618"/>
  <c r="L26" i="618"/>
  <c r="M26" i="618" s="1"/>
  <c r="H26" i="618"/>
  <c r="E26" i="618"/>
  <c r="AT25" i="618"/>
  <c r="AJ25" i="618"/>
  <c r="X25" i="618"/>
  <c r="T25" i="618"/>
  <c r="L25" i="618"/>
  <c r="M25" i="618" s="1"/>
  <c r="H25" i="618"/>
  <c r="E25" i="618"/>
  <c r="AT24" i="618"/>
  <c r="AJ24" i="618"/>
  <c r="X24" i="618"/>
  <c r="T24" i="618"/>
  <c r="L24" i="618"/>
  <c r="M24" i="618" s="1"/>
  <c r="H24" i="618"/>
  <c r="E24" i="618"/>
  <c r="AT23" i="618"/>
  <c r="AJ23" i="618"/>
  <c r="X23" i="618"/>
  <c r="T23" i="618"/>
  <c r="L23" i="618"/>
  <c r="K23" i="618" s="1"/>
  <c r="H23" i="618"/>
  <c r="E23" i="618"/>
  <c r="AT22" i="618"/>
  <c r="AJ22" i="618"/>
  <c r="X22" i="618"/>
  <c r="T22" i="618"/>
  <c r="L22" i="618"/>
  <c r="M22" i="618" s="1"/>
  <c r="H22" i="618"/>
  <c r="E22" i="618"/>
  <c r="AT21" i="618"/>
  <c r="AJ21" i="618"/>
  <c r="X21" i="618"/>
  <c r="T21" i="618"/>
  <c r="L21" i="618"/>
  <c r="M21" i="618" s="1"/>
  <c r="H21" i="618"/>
  <c r="E21" i="618"/>
  <c r="AT20" i="618"/>
  <c r="AJ20" i="618"/>
  <c r="X20" i="618"/>
  <c r="T20" i="618"/>
  <c r="L20" i="618"/>
  <c r="M20" i="618" s="1"/>
  <c r="H20" i="618"/>
  <c r="E20" i="618"/>
  <c r="AT19" i="618"/>
  <c r="AJ19" i="618"/>
  <c r="X19" i="618"/>
  <c r="T19" i="618"/>
  <c r="L19" i="618"/>
  <c r="K19" i="618" s="1"/>
  <c r="H19" i="618"/>
  <c r="E19" i="618"/>
  <c r="AT18" i="618"/>
  <c r="AJ18" i="618"/>
  <c r="X18" i="618"/>
  <c r="T18" i="618"/>
  <c r="L18" i="618"/>
  <c r="M18" i="618" s="1"/>
  <c r="H18" i="618"/>
  <c r="E18" i="618"/>
  <c r="AT17" i="618"/>
  <c r="AJ17" i="618"/>
  <c r="X17" i="618"/>
  <c r="T17" i="618"/>
  <c r="L17" i="618"/>
  <c r="M17" i="618" s="1"/>
  <c r="H17" i="618"/>
  <c r="E17" i="618"/>
  <c r="AT16" i="618"/>
  <c r="AJ16" i="618"/>
  <c r="X16" i="618"/>
  <c r="T16" i="618"/>
  <c r="L16" i="618"/>
  <c r="M16" i="618" s="1"/>
  <c r="H16" i="618"/>
  <c r="E16" i="618"/>
  <c r="AT15" i="618"/>
  <c r="AJ15" i="618"/>
  <c r="X15" i="618"/>
  <c r="T15" i="618"/>
  <c r="L15" i="618"/>
  <c r="M15" i="618" s="1"/>
  <c r="H15" i="618"/>
  <c r="E15" i="618"/>
  <c r="AT14" i="618"/>
  <c r="AJ14" i="618"/>
  <c r="X14" i="618"/>
  <c r="T14" i="618"/>
  <c r="L14" i="618"/>
  <c r="M14" i="618" s="1"/>
  <c r="H14" i="618"/>
  <c r="E14" i="618"/>
  <c r="AT13" i="618"/>
  <c r="AJ13" i="618"/>
  <c r="X13" i="618"/>
  <c r="T13" i="618"/>
  <c r="L13" i="618"/>
  <c r="M13" i="618" s="1"/>
  <c r="H13" i="618"/>
  <c r="E13" i="618"/>
  <c r="AI8" i="618"/>
  <c r="AT37" i="618" l="1"/>
  <c r="U36" i="618"/>
  <c r="U35" i="618"/>
  <c r="U34" i="618"/>
  <c r="V34" i="618"/>
  <c r="AK34" i="618" s="1"/>
  <c r="K33" i="618"/>
  <c r="U33" i="618"/>
  <c r="K32" i="618"/>
  <c r="V32" i="618"/>
  <c r="AK32" i="618" s="1"/>
  <c r="V31" i="618"/>
  <c r="AK31" i="618" s="1"/>
  <c r="K30" i="618"/>
  <c r="V30" i="618"/>
  <c r="AK30" i="618" s="1"/>
  <c r="K29" i="618"/>
  <c r="V29" i="618"/>
  <c r="AK29" i="618" s="1"/>
  <c r="K28" i="618"/>
  <c r="V28" i="618"/>
  <c r="AK28" i="618" s="1"/>
  <c r="V27" i="618"/>
  <c r="AK27" i="618" s="1"/>
  <c r="K26" i="618"/>
  <c r="V26" i="618"/>
  <c r="AK26" i="618" s="1"/>
  <c r="K25" i="618"/>
  <c r="V25" i="618"/>
  <c r="AK25" i="618" s="1"/>
  <c r="K24" i="618"/>
  <c r="V24" i="618"/>
  <c r="AK24" i="618" s="1"/>
  <c r="V23" i="618"/>
  <c r="AK23" i="618" s="1"/>
  <c r="K22" i="618"/>
  <c r="V22" i="618"/>
  <c r="AK22" i="618" s="1"/>
  <c r="K21" i="618"/>
  <c r="V21" i="618"/>
  <c r="AK21" i="618" s="1"/>
  <c r="K20" i="618"/>
  <c r="V20" i="618"/>
  <c r="AK20" i="618" s="1"/>
  <c r="V19" i="618"/>
  <c r="AK19" i="618" s="1"/>
  <c r="K18" i="618"/>
  <c r="V18" i="618"/>
  <c r="AK18" i="618" s="1"/>
  <c r="K17" i="618"/>
  <c r="V17" i="618"/>
  <c r="AK17" i="618" s="1"/>
  <c r="K16" i="618"/>
  <c r="AJ37" i="618"/>
  <c r="V14" i="618"/>
  <c r="AK14" i="618" s="1"/>
  <c r="T37" i="618"/>
  <c r="V15" i="618"/>
  <c r="AK15" i="618" s="1"/>
  <c r="V16" i="618"/>
  <c r="AK16" i="618" s="1"/>
  <c r="K14" i="618"/>
  <c r="K13" i="618"/>
  <c r="M19" i="618"/>
  <c r="M23" i="618"/>
  <c r="M27" i="618"/>
  <c r="M31" i="618"/>
  <c r="K15" i="618"/>
  <c r="K34" i="618"/>
  <c r="K35" i="618"/>
  <c r="K36" i="618"/>
  <c r="U13" i="618"/>
  <c r="U14" i="618"/>
  <c r="U15" i="618"/>
  <c r="U16" i="618"/>
  <c r="U17" i="618"/>
  <c r="U18" i="618"/>
  <c r="U19" i="618"/>
  <c r="U20" i="618"/>
  <c r="U21" i="618"/>
  <c r="U22" i="618"/>
  <c r="U23" i="618"/>
  <c r="U24" i="618"/>
  <c r="U25" i="618"/>
  <c r="U26" i="618"/>
  <c r="U27" i="618"/>
  <c r="U28" i="618"/>
  <c r="U29" i="618"/>
  <c r="U30" i="618"/>
  <c r="U31" i="618"/>
  <c r="U32" i="618"/>
  <c r="V33" i="618"/>
  <c r="AK33" i="618" s="1"/>
  <c r="V35" i="618"/>
  <c r="AK35" i="618" s="1"/>
  <c r="V36" i="618"/>
  <c r="AK36" i="618" s="1"/>
  <c r="V13" i="618"/>
  <c r="AK13" i="618" s="1"/>
  <c r="V37" i="618" l="1"/>
  <c r="AK37" i="618" s="1"/>
  <c r="U37" i="618"/>
  <c r="AI11" i="617"/>
  <c r="AJ13" i="617" s="1"/>
  <c r="S11" i="617"/>
  <c r="T13" i="617" s="1"/>
  <c r="AU37" i="617"/>
  <c r="AS37" i="617"/>
  <c r="AT36" i="617"/>
  <c r="AJ36" i="617"/>
  <c r="X36" i="617"/>
  <c r="T36" i="617"/>
  <c r="L36" i="617"/>
  <c r="K36" i="617" s="1"/>
  <c r="H36" i="617"/>
  <c r="E36" i="617"/>
  <c r="AT35" i="617"/>
  <c r="AJ35" i="617"/>
  <c r="X35" i="617"/>
  <c r="T35" i="617"/>
  <c r="L35" i="617"/>
  <c r="K35" i="617" s="1"/>
  <c r="H35" i="617"/>
  <c r="E35" i="617"/>
  <c r="AZ34" i="617"/>
  <c r="AT34" i="617"/>
  <c r="AJ34" i="617"/>
  <c r="X34" i="617"/>
  <c r="T34" i="617"/>
  <c r="L34" i="617"/>
  <c r="M34" i="617" s="1"/>
  <c r="H34" i="617"/>
  <c r="E34" i="617"/>
  <c r="AJ33" i="617"/>
  <c r="X33" i="617"/>
  <c r="T33" i="617"/>
  <c r="L33" i="617"/>
  <c r="M33" i="617" s="1"/>
  <c r="H33" i="617"/>
  <c r="E33" i="617"/>
  <c r="AJ32" i="617"/>
  <c r="X32" i="617"/>
  <c r="T32" i="617"/>
  <c r="L32" i="617"/>
  <c r="K32" i="617" s="1"/>
  <c r="H32" i="617"/>
  <c r="E32" i="617"/>
  <c r="AT31" i="617"/>
  <c r="AJ31" i="617"/>
  <c r="X31" i="617"/>
  <c r="T31" i="617"/>
  <c r="L31" i="617"/>
  <c r="K31" i="617" s="1"/>
  <c r="H31" i="617"/>
  <c r="E31" i="617"/>
  <c r="AT30" i="617"/>
  <c r="AJ30" i="617"/>
  <c r="X30" i="617"/>
  <c r="T30" i="617"/>
  <c r="L30" i="617"/>
  <c r="K30" i="617" s="1"/>
  <c r="H30" i="617"/>
  <c r="E30" i="617"/>
  <c r="AT29" i="617"/>
  <c r="AJ29" i="617"/>
  <c r="X29" i="617"/>
  <c r="T29" i="617"/>
  <c r="L29" i="617"/>
  <c r="K29" i="617" s="1"/>
  <c r="H29" i="617"/>
  <c r="E29" i="617"/>
  <c r="AT28" i="617"/>
  <c r="AJ28" i="617"/>
  <c r="X28" i="617"/>
  <c r="T28" i="617"/>
  <c r="L28" i="617"/>
  <c r="K28" i="617" s="1"/>
  <c r="H28" i="617"/>
  <c r="E28" i="617"/>
  <c r="AT27" i="617"/>
  <c r="AJ27" i="617"/>
  <c r="X27" i="617"/>
  <c r="T27" i="617"/>
  <c r="L27" i="617"/>
  <c r="K27" i="617" s="1"/>
  <c r="H27" i="617"/>
  <c r="E27" i="617"/>
  <c r="AT26" i="617"/>
  <c r="AJ26" i="617"/>
  <c r="X26" i="617"/>
  <c r="T26" i="617"/>
  <c r="L26" i="617"/>
  <c r="K26" i="617" s="1"/>
  <c r="H26" i="617"/>
  <c r="E26" i="617"/>
  <c r="AT25" i="617"/>
  <c r="AJ25" i="617"/>
  <c r="X25" i="617"/>
  <c r="T25" i="617"/>
  <c r="L25" i="617"/>
  <c r="K25" i="617" s="1"/>
  <c r="H25" i="617"/>
  <c r="E25" i="617"/>
  <c r="AT24" i="617"/>
  <c r="AJ24" i="617"/>
  <c r="X24" i="617"/>
  <c r="T24" i="617"/>
  <c r="L24" i="617"/>
  <c r="K24" i="617" s="1"/>
  <c r="H24" i="617"/>
  <c r="E24" i="617"/>
  <c r="AT23" i="617"/>
  <c r="AJ23" i="617"/>
  <c r="X23" i="617"/>
  <c r="T23" i="617"/>
  <c r="L23" i="617"/>
  <c r="K23" i="617" s="1"/>
  <c r="H23" i="617"/>
  <c r="E23" i="617"/>
  <c r="AT22" i="617"/>
  <c r="AJ22" i="617"/>
  <c r="X22" i="617"/>
  <c r="T22" i="617"/>
  <c r="L22" i="617"/>
  <c r="K22" i="617" s="1"/>
  <c r="H22" i="617"/>
  <c r="E22" i="617"/>
  <c r="AT21" i="617"/>
  <c r="AJ21" i="617"/>
  <c r="X21" i="617"/>
  <c r="T21" i="617"/>
  <c r="L21" i="617"/>
  <c r="K21" i="617" s="1"/>
  <c r="H21" i="617"/>
  <c r="E21" i="617"/>
  <c r="AT20" i="617"/>
  <c r="AJ20" i="617"/>
  <c r="X20" i="617"/>
  <c r="T20" i="617"/>
  <c r="L20" i="617"/>
  <c r="K20" i="617" s="1"/>
  <c r="H20" i="617"/>
  <c r="E20" i="617"/>
  <c r="AT19" i="617"/>
  <c r="AJ19" i="617"/>
  <c r="X19" i="617"/>
  <c r="T19" i="617"/>
  <c r="L19" i="617"/>
  <c r="K19" i="617" s="1"/>
  <c r="H19" i="617"/>
  <c r="E19" i="617"/>
  <c r="AT18" i="617"/>
  <c r="AJ18" i="617"/>
  <c r="X18" i="617"/>
  <c r="T18" i="617"/>
  <c r="L18" i="617"/>
  <c r="K18" i="617" s="1"/>
  <c r="H18" i="617"/>
  <c r="E18" i="617"/>
  <c r="AT17" i="617"/>
  <c r="AJ17" i="617"/>
  <c r="X17" i="617"/>
  <c r="T17" i="617"/>
  <c r="L17" i="617"/>
  <c r="K17" i="617" s="1"/>
  <c r="H17" i="617"/>
  <c r="E17" i="617"/>
  <c r="AT16" i="617"/>
  <c r="AJ16" i="617"/>
  <c r="X16" i="617"/>
  <c r="T16" i="617"/>
  <c r="L16" i="617"/>
  <c r="K16" i="617" s="1"/>
  <c r="H16" i="617"/>
  <c r="E16" i="617"/>
  <c r="AT15" i="617"/>
  <c r="AJ15" i="617"/>
  <c r="X15" i="617"/>
  <c r="T15" i="617"/>
  <c r="L15" i="617"/>
  <c r="K15" i="617" s="1"/>
  <c r="H15" i="617"/>
  <c r="E15" i="617"/>
  <c r="AT14" i="617"/>
  <c r="AJ14" i="617"/>
  <c r="X14" i="617"/>
  <c r="T14" i="617"/>
  <c r="L14" i="617"/>
  <c r="K14" i="617" s="1"/>
  <c r="H14" i="617"/>
  <c r="E14" i="617"/>
  <c r="AT13" i="617"/>
  <c r="X13" i="617"/>
  <c r="L13" i="617"/>
  <c r="K13" i="617" s="1"/>
  <c r="H13" i="617"/>
  <c r="E13" i="617"/>
  <c r="AI8" i="617" l="1"/>
  <c r="U16" i="617"/>
  <c r="U20" i="617"/>
  <c r="U24" i="617"/>
  <c r="U28" i="617"/>
  <c r="U32" i="617"/>
  <c r="V34" i="617"/>
  <c r="V35" i="617"/>
  <c r="V36" i="617"/>
  <c r="U19" i="617"/>
  <c r="U23" i="617"/>
  <c r="U27" i="617"/>
  <c r="U31" i="617"/>
  <c r="AT37" i="617"/>
  <c r="U14" i="617"/>
  <c r="U18" i="617"/>
  <c r="U22" i="617"/>
  <c r="U26" i="617"/>
  <c r="U30" i="617"/>
  <c r="V33" i="617"/>
  <c r="U13" i="617"/>
  <c r="U15" i="617"/>
  <c r="M13" i="617"/>
  <c r="U17" i="617"/>
  <c r="U21" i="617"/>
  <c r="U25" i="617"/>
  <c r="U29" i="617"/>
  <c r="M36" i="617"/>
  <c r="M32" i="617"/>
  <c r="V32" i="617"/>
  <c r="AK32" i="617" s="1"/>
  <c r="M30" i="617"/>
  <c r="V29" i="617"/>
  <c r="AK29" i="617" s="1"/>
  <c r="M28" i="617"/>
  <c r="V28" i="617"/>
  <c r="AK28" i="617" s="1"/>
  <c r="M26" i="617"/>
  <c r="V25" i="617"/>
  <c r="AK25" i="617" s="1"/>
  <c r="M24" i="617"/>
  <c r="V24" i="617"/>
  <c r="AK24" i="617" s="1"/>
  <c r="AK34" i="617"/>
  <c r="V26" i="617"/>
  <c r="AK26" i="617" s="1"/>
  <c r="V27" i="617"/>
  <c r="AK27" i="617" s="1"/>
  <c r="U34" i="617"/>
  <c r="V23" i="617"/>
  <c r="AK23" i="617" s="1"/>
  <c r="V30" i="617"/>
  <c r="AK30" i="617" s="1"/>
  <c r="V31" i="617"/>
  <c r="AK31" i="617" s="1"/>
  <c r="AK33" i="617"/>
  <c r="M14" i="617"/>
  <c r="M15" i="617"/>
  <c r="M16" i="617"/>
  <c r="M17" i="617"/>
  <c r="M18" i="617"/>
  <c r="M19" i="617"/>
  <c r="M20" i="617"/>
  <c r="M21" i="617"/>
  <c r="M22" i="617"/>
  <c r="M23" i="617"/>
  <c r="M27" i="617"/>
  <c r="M31" i="617"/>
  <c r="K33" i="617"/>
  <c r="K34" i="617"/>
  <c r="M35" i="617"/>
  <c r="M25" i="617"/>
  <c r="M29" i="617"/>
  <c r="AK36" i="617"/>
  <c r="AJ37" i="617"/>
  <c r="AK35" i="617"/>
  <c r="V13" i="617"/>
  <c r="AK13" i="617" s="1"/>
  <c r="V14" i="617"/>
  <c r="AK14" i="617" s="1"/>
  <c r="V15" i="617"/>
  <c r="AK15" i="617" s="1"/>
  <c r="V16" i="617"/>
  <c r="AK16" i="617" s="1"/>
  <c r="V17" i="617"/>
  <c r="AK17" i="617" s="1"/>
  <c r="V18" i="617"/>
  <c r="AK18" i="617" s="1"/>
  <c r="V19" i="617"/>
  <c r="AK19" i="617" s="1"/>
  <c r="V20" i="617"/>
  <c r="AK20" i="617" s="1"/>
  <c r="V21" i="617"/>
  <c r="AK21" i="617" s="1"/>
  <c r="V22" i="617"/>
  <c r="AK22" i="617" s="1"/>
  <c r="T37" i="617"/>
  <c r="U33" i="617"/>
  <c r="U35" i="617"/>
  <c r="U36" i="617"/>
  <c r="V37" i="617" l="1"/>
  <c r="AK37" i="617" s="1"/>
  <c r="U37" i="617"/>
  <c r="AI11" i="616" l="1"/>
  <c r="S11" i="616"/>
  <c r="T13" i="616" s="1"/>
  <c r="AU37" i="616"/>
  <c r="AS37" i="616"/>
  <c r="AT36" i="616"/>
  <c r="AJ36" i="616"/>
  <c r="X36" i="616"/>
  <c r="T36" i="616"/>
  <c r="L36" i="616"/>
  <c r="K36" i="616" s="1"/>
  <c r="H36" i="616"/>
  <c r="E36" i="616"/>
  <c r="AT35" i="616"/>
  <c r="AJ35" i="616"/>
  <c r="X35" i="616"/>
  <c r="T35" i="616"/>
  <c r="L35" i="616"/>
  <c r="K35" i="616" s="1"/>
  <c r="H35" i="616"/>
  <c r="E35" i="616"/>
  <c r="AZ34" i="616"/>
  <c r="AT34" i="616"/>
  <c r="AJ34" i="616"/>
  <c r="X34" i="616"/>
  <c r="T34" i="616"/>
  <c r="L34" i="616"/>
  <c r="K34" i="616" s="1"/>
  <c r="H34" i="616"/>
  <c r="E34" i="616"/>
  <c r="AJ33" i="616"/>
  <c r="X33" i="616"/>
  <c r="T33" i="616"/>
  <c r="L33" i="616"/>
  <c r="K33" i="616" s="1"/>
  <c r="H33" i="616"/>
  <c r="E33" i="616"/>
  <c r="AJ32" i="616"/>
  <c r="X32" i="616"/>
  <c r="T32" i="616"/>
  <c r="L32" i="616"/>
  <c r="M32" i="616" s="1"/>
  <c r="H32" i="616"/>
  <c r="E32" i="616"/>
  <c r="AT31" i="616"/>
  <c r="AJ31" i="616"/>
  <c r="X31" i="616"/>
  <c r="T31" i="616"/>
  <c r="L31" i="616"/>
  <c r="M31" i="616" s="1"/>
  <c r="H31" i="616"/>
  <c r="E31" i="616"/>
  <c r="AT30" i="616"/>
  <c r="AJ30" i="616"/>
  <c r="X30" i="616"/>
  <c r="T30" i="616"/>
  <c r="L30" i="616"/>
  <c r="M30" i="616" s="1"/>
  <c r="H30" i="616"/>
  <c r="E30" i="616"/>
  <c r="AT29" i="616"/>
  <c r="AJ29" i="616"/>
  <c r="X29" i="616"/>
  <c r="T29" i="616"/>
  <c r="L29" i="616"/>
  <c r="M29" i="616" s="1"/>
  <c r="H29" i="616"/>
  <c r="E29" i="616"/>
  <c r="AT28" i="616"/>
  <c r="AJ28" i="616"/>
  <c r="X28" i="616"/>
  <c r="T28" i="616"/>
  <c r="L28" i="616"/>
  <c r="M28" i="616" s="1"/>
  <c r="H28" i="616"/>
  <c r="E28" i="616"/>
  <c r="AT27" i="616"/>
  <c r="AJ27" i="616"/>
  <c r="X27" i="616"/>
  <c r="T27" i="616"/>
  <c r="L27" i="616"/>
  <c r="M27" i="616" s="1"/>
  <c r="H27" i="616"/>
  <c r="E27" i="616"/>
  <c r="AT26" i="616"/>
  <c r="AJ26" i="616"/>
  <c r="X26" i="616"/>
  <c r="T26" i="616"/>
  <c r="L26" i="616"/>
  <c r="M26" i="616" s="1"/>
  <c r="H26" i="616"/>
  <c r="E26" i="616"/>
  <c r="AT25" i="616"/>
  <c r="AJ25" i="616"/>
  <c r="X25" i="616"/>
  <c r="T25" i="616"/>
  <c r="L25" i="616"/>
  <c r="M25" i="616" s="1"/>
  <c r="H25" i="616"/>
  <c r="E25" i="616"/>
  <c r="AT24" i="616"/>
  <c r="AJ24" i="616"/>
  <c r="X24" i="616"/>
  <c r="T24" i="616"/>
  <c r="L24" i="616"/>
  <c r="M24" i="616" s="1"/>
  <c r="H24" i="616"/>
  <c r="E24" i="616"/>
  <c r="AT23" i="616"/>
  <c r="AJ23" i="616"/>
  <c r="X23" i="616"/>
  <c r="T23" i="616"/>
  <c r="L23" i="616"/>
  <c r="M23" i="616" s="1"/>
  <c r="H23" i="616"/>
  <c r="E23" i="616"/>
  <c r="AT22" i="616"/>
  <c r="AJ22" i="616"/>
  <c r="X22" i="616"/>
  <c r="T22" i="616"/>
  <c r="L22" i="616"/>
  <c r="M22" i="616" s="1"/>
  <c r="H22" i="616"/>
  <c r="E22" i="616"/>
  <c r="AT21" i="616"/>
  <c r="AJ21" i="616"/>
  <c r="X21" i="616"/>
  <c r="T21" i="616"/>
  <c r="L21" i="616"/>
  <c r="M21" i="616" s="1"/>
  <c r="H21" i="616"/>
  <c r="E21" i="616"/>
  <c r="AT20" i="616"/>
  <c r="AJ20" i="616"/>
  <c r="X20" i="616"/>
  <c r="T20" i="616"/>
  <c r="L20" i="616"/>
  <c r="M20" i="616" s="1"/>
  <c r="H20" i="616"/>
  <c r="E20" i="616"/>
  <c r="AT19" i="616"/>
  <c r="AJ19" i="616"/>
  <c r="X19" i="616"/>
  <c r="T19" i="616"/>
  <c r="L19" i="616"/>
  <c r="M19" i="616" s="1"/>
  <c r="H19" i="616"/>
  <c r="E19" i="616"/>
  <c r="AT18" i="616"/>
  <c r="AJ18" i="616"/>
  <c r="X18" i="616"/>
  <c r="T18" i="616"/>
  <c r="L18" i="616"/>
  <c r="M18" i="616" s="1"/>
  <c r="H18" i="616"/>
  <c r="E18" i="616"/>
  <c r="AT17" i="616"/>
  <c r="AJ17" i="616"/>
  <c r="X17" i="616"/>
  <c r="T17" i="616"/>
  <c r="L17" i="616"/>
  <c r="M17" i="616" s="1"/>
  <c r="H17" i="616"/>
  <c r="E17" i="616"/>
  <c r="AT16" i="616"/>
  <c r="AJ16" i="616"/>
  <c r="X16" i="616"/>
  <c r="T16" i="616"/>
  <c r="L16" i="616"/>
  <c r="M16" i="616" s="1"/>
  <c r="H16" i="616"/>
  <c r="E16" i="616"/>
  <c r="AT15" i="616"/>
  <c r="AJ15" i="616"/>
  <c r="X15" i="616"/>
  <c r="T15" i="616"/>
  <c r="L15" i="616"/>
  <c r="M15" i="616" s="1"/>
  <c r="H15" i="616"/>
  <c r="E15" i="616"/>
  <c r="AT14" i="616"/>
  <c r="AJ14" i="616"/>
  <c r="X14" i="616"/>
  <c r="T14" i="616"/>
  <c r="L14" i="616"/>
  <c r="M14" i="616" s="1"/>
  <c r="H14" i="616"/>
  <c r="E14" i="616"/>
  <c r="AT13" i="616"/>
  <c r="AJ13" i="616"/>
  <c r="X13" i="616"/>
  <c r="L13" i="616"/>
  <c r="M13" i="616" s="1"/>
  <c r="H13" i="616"/>
  <c r="E13" i="616"/>
  <c r="AI8" i="616"/>
  <c r="V16" i="616" l="1"/>
  <c r="K15" i="616"/>
  <c r="V17" i="616"/>
  <c r="V21" i="616"/>
  <c r="V25" i="616"/>
  <c r="AK25" i="616" s="1"/>
  <c r="V29" i="616"/>
  <c r="AK29" i="616" s="1"/>
  <c r="V36" i="616"/>
  <c r="AK36" i="616" s="1"/>
  <c r="V20" i="616"/>
  <c r="V24" i="616"/>
  <c r="V28" i="616"/>
  <c r="V32" i="616"/>
  <c r="U34" i="616"/>
  <c r="U35" i="616"/>
  <c r="AT37" i="616"/>
  <c r="V14" i="616"/>
  <c r="AK14" i="616" s="1"/>
  <c r="V15" i="616"/>
  <c r="V19" i="616"/>
  <c r="V23" i="616"/>
  <c r="V27" i="616"/>
  <c r="AK27" i="616" s="1"/>
  <c r="V31" i="616"/>
  <c r="AK31" i="616" s="1"/>
  <c r="V18" i="616"/>
  <c r="V22" i="616"/>
  <c r="AK22" i="616" s="1"/>
  <c r="V26" i="616"/>
  <c r="V30" i="616"/>
  <c r="AK30" i="616" s="1"/>
  <c r="U33" i="616"/>
  <c r="U36" i="616"/>
  <c r="V35" i="616"/>
  <c r="AK35" i="616" s="1"/>
  <c r="M34" i="616"/>
  <c r="V34" i="616"/>
  <c r="AK34" i="616" s="1"/>
  <c r="U32" i="616"/>
  <c r="K31" i="616"/>
  <c r="K30" i="616"/>
  <c r="K29" i="616"/>
  <c r="U29" i="616"/>
  <c r="K27" i="616"/>
  <c r="K26" i="616"/>
  <c r="U26" i="616"/>
  <c r="K25" i="616"/>
  <c r="U24" i="616"/>
  <c r="K23" i="616"/>
  <c r="U23" i="616"/>
  <c r="K22" i="616"/>
  <c r="K21" i="616"/>
  <c r="K19" i="616"/>
  <c r="K18" i="616"/>
  <c r="U18" i="616"/>
  <c r="K17" i="616"/>
  <c r="K14" i="616"/>
  <c r="K13" i="616"/>
  <c r="AJ37" i="616"/>
  <c r="AK16" i="616"/>
  <c r="AK17" i="616"/>
  <c r="AK18" i="616"/>
  <c r="AK20" i="616"/>
  <c r="AK21" i="616"/>
  <c r="AK23" i="616"/>
  <c r="AK24" i="616"/>
  <c r="AK15" i="616"/>
  <c r="AK19" i="616"/>
  <c r="AK26" i="616"/>
  <c r="AK28" i="616"/>
  <c r="AK32" i="616"/>
  <c r="U14" i="616"/>
  <c r="U31" i="616"/>
  <c r="V33" i="616"/>
  <c r="AK33" i="616" s="1"/>
  <c r="U17" i="616"/>
  <c r="U22" i="616"/>
  <c r="U27" i="616"/>
  <c r="U28" i="616"/>
  <c r="U19" i="616"/>
  <c r="U20" i="616"/>
  <c r="U25" i="616"/>
  <c r="U30" i="616"/>
  <c r="U15" i="616"/>
  <c r="U16" i="616"/>
  <c r="U21" i="616"/>
  <c r="K16" i="616"/>
  <c r="K20" i="616"/>
  <c r="K24" i="616"/>
  <c r="K28" i="616"/>
  <c r="K32" i="616"/>
  <c r="U13" i="616"/>
  <c r="V13" i="616"/>
  <c r="AK13" i="616" s="1"/>
  <c r="T37" i="616"/>
  <c r="M33" i="616"/>
  <c r="M35" i="616"/>
  <c r="M36" i="616"/>
  <c r="V37" i="616" l="1"/>
  <c r="AK37" i="616" s="1"/>
  <c r="U37" i="616"/>
  <c r="AT18" i="615" l="1"/>
  <c r="AI11" i="615"/>
  <c r="S11" i="615"/>
  <c r="AU37" i="615"/>
  <c r="AS37" i="615"/>
  <c r="AT36" i="615"/>
  <c r="AJ36" i="615"/>
  <c r="X36" i="615"/>
  <c r="T36" i="615"/>
  <c r="L36" i="615"/>
  <c r="K36" i="615" s="1"/>
  <c r="H36" i="615"/>
  <c r="E36" i="615"/>
  <c r="AT35" i="615"/>
  <c r="AJ35" i="615"/>
  <c r="X35" i="615"/>
  <c r="T35" i="615"/>
  <c r="L35" i="615"/>
  <c r="M35" i="615" s="1"/>
  <c r="H35" i="615"/>
  <c r="E35" i="615"/>
  <c r="AZ34" i="615"/>
  <c r="AT34" i="615"/>
  <c r="AJ34" i="615"/>
  <c r="X34" i="615"/>
  <c r="T34" i="615"/>
  <c r="L34" i="615"/>
  <c r="K34" i="615" s="1"/>
  <c r="H34" i="615"/>
  <c r="E34" i="615"/>
  <c r="AJ33" i="615"/>
  <c r="X33" i="615"/>
  <c r="T33" i="615"/>
  <c r="L33" i="615"/>
  <c r="K33" i="615" s="1"/>
  <c r="H33" i="615"/>
  <c r="E33" i="615"/>
  <c r="AJ32" i="615"/>
  <c r="X32" i="615"/>
  <c r="T32" i="615"/>
  <c r="L32" i="615"/>
  <c r="K32" i="615" s="1"/>
  <c r="H32" i="615"/>
  <c r="E32" i="615"/>
  <c r="AT31" i="615"/>
  <c r="AJ31" i="615"/>
  <c r="X31" i="615"/>
  <c r="T31" i="615"/>
  <c r="L31" i="615"/>
  <c r="K31" i="615" s="1"/>
  <c r="H31" i="615"/>
  <c r="E31" i="615"/>
  <c r="AT30" i="615"/>
  <c r="AJ30" i="615"/>
  <c r="X30" i="615"/>
  <c r="T30" i="615"/>
  <c r="L30" i="615"/>
  <c r="K30" i="615" s="1"/>
  <c r="H30" i="615"/>
  <c r="E30" i="615"/>
  <c r="AT29" i="615"/>
  <c r="AJ29" i="615"/>
  <c r="X29" i="615"/>
  <c r="T29" i="615"/>
  <c r="L29" i="615"/>
  <c r="K29" i="615" s="1"/>
  <c r="H29" i="615"/>
  <c r="E29" i="615"/>
  <c r="AT28" i="615"/>
  <c r="AJ28" i="615"/>
  <c r="X28" i="615"/>
  <c r="T28" i="615"/>
  <c r="L28" i="615"/>
  <c r="K28" i="615" s="1"/>
  <c r="H28" i="615"/>
  <c r="E28" i="615"/>
  <c r="AT27" i="615"/>
  <c r="AJ27" i="615"/>
  <c r="X27" i="615"/>
  <c r="T27" i="615"/>
  <c r="L27" i="615"/>
  <c r="K27" i="615" s="1"/>
  <c r="H27" i="615"/>
  <c r="E27" i="615"/>
  <c r="AT26" i="615"/>
  <c r="AJ26" i="615"/>
  <c r="X26" i="615"/>
  <c r="T26" i="615"/>
  <c r="L26" i="615"/>
  <c r="K26" i="615" s="1"/>
  <c r="H26" i="615"/>
  <c r="E26" i="615"/>
  <c r="AT25" i="615"/>
  <c r="AJ25" i="615"/>
  <c r="X25" i="615"/>
  <c r="T25" i="615"/>
  <c r="L25" i="615"/>
  <c r="K25" i="615" s="1"/>
  <c r="H25" i="615"/>
  <c r="E25" i="615"/>
  <c r="AT24" i="615"/>
  <c r="AJ24" i="615"/>
  <c r="X24" i="615"/>
  <c r="T24" i="615"/>
  <c r="L24" i="615"/>
  <c r="K24" i="615" s="1"/>
  <c r="H24" i="615"/>
  <c r="E24" i="615"/>
  <c r="AT23" i="615"/>
  <c r="AJ23" i="615"/>
  <c r="X23" i="615"/>
  <c r="T23" i="615"/>
  <c r="L23" i="615"/>
  <c r="K23" i="615" s="1"/>
  <c r="H23" i="615"/>
  <c r="E23" i="615"/>
  <c r="AT22" i="615"/>
  <c r="AJ22" i="615"/>
  <c r="X22" i="615"/>
  <c r="T22" i="615"/>
  <c r="L22" i="615"/>
  <c r="K22" i="615" s="1"/>
  <c r="H22" i="615"/>
  <c r="E22" i="615"/>
  <c r="AT21" i="615"/>
  <c r="AJ21" i="615"/>
  <c r="X21" i="615"/>
  <c r="T21" i="615"/>
  <c r="L21" i="615"/>
  <c r="K21" i="615" s="1"/>
  <c r="H21" i="615"/>
  <c r="E21" i="615"/>
  <c r="AT20" i="615"/>
  <c r="AJ20" i="615"/>
  <c r="X20" i="615"/>
  <c r="T20" i="615"/>
  <c r="L20" i="615"/>
  <c r="K20" i="615" s="1"/>
  <c r="H20" i="615"/>
  <c r="E20" i="615"/>
  <c r="AT19" i="615"/>
  <c r="AJ19" i="615"/>
  <c r="X19" i="615"/>
  <c r="T19" i="615"/>
  <c r="L19" i="615"/>
  <c r="K19" i="615" s="1"/>
  <c r="H19" i="615"/>
  <c r="E19" i="615"/>
  <c r="AJ18" i="615"/>
  <c r="X18" i="615"/>
  <c r="T18" i="615"/>
  <c r="L18" i="615"/>
  <c r="K18" i="615" s="1"/>
  <c r="H18" i="615"/>
  <c r="E18" i="615"/>
  <c r="AT17" i="615"/>
  <c r="AJ17" i="615"/>
  <c r="X17" i="615"/>
  <c r="T17" i="615"/>
  <c r="L17" i="615"/>
  <c r="K17" i="615" s="1"/>
  <c r="H17" i="615"/>
  <c r="E17" i="615"/>
  <c r="AT16" i="615"/>
  <c r="AJ16" i="615"/>
  <c r="X16" i="615"/>
  <c r="T16" i="615"/>
  <c r="L16" i="615"/>
  <c r="K16" i="615" s="1"/>
  <c r="H16" i="615"/>
  <c r="E16" i="615"/>
  <c r="AT15" i="615"/>
  <c r="AJ15" i="615"/>
  <c r="X15" i="615"/>
  <c r="T15" i="615"/>
  <c r="L15" i="615"/>
  <c r="K15" i="615" s="1"/>
  <c r="H15" i="615"/>
  <c r="E15" i="615"/>
  <c r="AT14" i="615"/>
  <c r="AJ14" i="615"/>
  <c r="X14" i="615"/>
  <c r="T14" i="615"/>
  <c r="L14" i="615"/>
  <c r="K14" i="615" s="1"/>
  <c r="H14" i="615"/>
  <c r="E14" i="615"/>
  <c r="AT13" i="615"/>
  <c r="X13" i="615"/>
  <c r="L13" i="615"/>
  <c r="K13" i="615" s="1"/>
  <c r="H13" i="615"/>
  <c r="E13" i="615"/>
  <c r="AJ13" i="615"/>
  <c r="T13" i="615"/>
  <c r="U25" i="615" l="1"/>
  <c r="U14" i="615"/>
  <c r="V18" i="615"/>
  <c r="U21" i="615"/>
  <c r="V25" i="615"/>
  <c r="AK25" i="615" s="1"/>
  <c r="V26" i="615"/>
  <c r="AK26" i="615" s="1"/>
  <c r="V30" i="615"/>
  <c r="U33" i="615"/>
  <c r="U20" i="615"/>
  <c r="U24" i="615"/>
  <c r="U29" i="615"/>
  <c r="U16" i="615"/>
  <c r="U19" i="615"/>
  <c r="U23" i="615"/>
  <c r="U28" i="615"/>
  <c r="U32" i="615"/>
  <c r="U15" i="615"/>
  <c r="U22" i="615"/>
  <c r="V27" i="615"/>
  <c r="AK27" i="615" s="1"/>
  <c r="V31" i="615"/>
  <c r="AK31" i="615" s="1"/>
  <c r="V36" i="615"/>
  <c r="AK36" i="615" s="1"/>
  <c r="K35" i="615"/>
  <c r="U35" i="615"/>
  <c r="V34" i="615"/>
  <c r="M34" i="615"/>
  <c r="M33" i="615"/>
  <c r="V33" i="615"/>
  <c r="AK33" i="615" s="1"/>
  <c r="V32" i="615"/>
  <c r="AK32" i="615" s="1"/>
  <c r="V29" i="615"/>
  <c r="AK29" i="615" s="1"/>
  <c r="AK30" i="615"/>
  <c r="V28" i="615"/>
  <c r="AK28" i="615" s="1"/>
  <c r="V24" i="615"/>
  <c r="AK24" i="615" s="1"/>
  <c r="V21" i="615"/>
  <c r="AK21" i="615" s="1"/>
  <c r="V20" i="615"/>
  <c r="AK20" i="615" s="1"/>
  <c r="U17" i="615"/>
  <c r="V17" i="615"/>
  <c r="AK17" i="615" s="1"/>
  <c r="V16" i="615"/>
  <c r="AK16" i="615" s="1"/>
  <c r="AT37" i="615"/>
  <c r="AK18" i="615"/>
  <c r="U18" i="615"/>
  <c r="U26" i="615"/>
  <c r="U30" i="615"/>
  <c r="V22" i="615"/>
  <c r="AK22" i="615" s="1"/>
  <c r="U27" i="615"/>
  <c r="U31" i="615"/>
  <c r="V15" i="615"/>
  <c r="AK15" i="615" s="1"/>
  <c r="V19" i="615"/>
  <c r="AK19" i="615" s="1"/>
  <c r="V23" i="615"/>
  <c r="AK23" i="615" s="1"/>
  <c r="V35" i="615"/>
  <c r="AK35" i="615" s="1"/>
  <c r="U36" i="615"/>
  <c r="V14" i="615"/>
  <c r="AK14" i="615" s="1"/>
  <c r="M36" i="615"/>
  <c r="U13" i="615"/>
  <c r="V13" i="615"/>
  <c r="AK13" i="615" s="1"/>
  <c r="T37" i="615"/>
  <c r="AJ37" i="615"/>
  <c r="AK34" i="615"/>
  <c r="M13" i="615"/>
  <c r="M14" i="615"/>
  <c r="M15" i="615"/>
  <c r="M16" i="615"/>
  <c r="M17" i="615"/>
  <c r="M18" i="615"/>
  <c r="M19" i="615"/>
  <c r="M20" i="615"/>
  <c r="M21" i="615"/>
  <c r="M22" i="615"/>
  <c r="M23" i="615"/>
  <c r="M24" i="615"/>
  <c r="M25" i="615"/>
  <c r="M26" i="615"/>
  <c r="M27" i="615"/>
  <c r="M28" i="615"/>
  <c r="M29" i="615"/>
  <c r="M30" i="615"/>
  <c r="M31" i="615"/>
  <c r="M32" i="615"/>
  <c r="U34" i="615"/>
  <c r="AI8" i="615"/>
  <c r="V37" i="615" l="1"/>
  <c r="AK37" i="615" s="1"/>
  <c r="U37" i="615"/>
  <c r="AI11" i="614" l="1"/>
  <c r="S11" i="614"/>
  <c r="T13" i="614" s="1"/>
  <c r="AU37" i="614"/>
  <c r="AS37" i="614"/>
  <c r="AT36" i="614"/>
  <c r="AJ36" i="614"/>
  <c r="X36" i="614"/>
  <c r="T36" i="614"/>
  <c r="L36" i="614"/>
  <c r="K36" i="614" s="1"/>
  <c r="H36" i="614"/>
  <c r="E36" i="614"/>
  <c r="AT35" i="614"/>
  <c r="AJ35" i="614"/>
  <c r="X35" i="614"/>
  <c r="T35" i="614"/>
  <c r="L35" i="614"/>
  <c r="K35" i="614" s="1"/>
  <c r="H35" i="614"/>
  <c r="E35" i="614"/>
  <c r="AZ34" i="614"/>
  <c r="AT34" i="614"/>
  <c r="AJ34" i="614"/>
  <c r="X34" i="614"/>
  <c r="T34" i="614"/>
  <c r="L34" i="614"/>
  <c r="M34" i="614" s="1"/>
  <c r="H34" i="614"/>
  <c r="E34" i="614"/>
  <c r="AJ33" i="614"/>
  <c r="X33" i="614"/>
  <c r="T33" i="614"/>
  <c r="L33" i="614"/>
  <c r="M33" i="614" s="1"/>
  <c r="H33" i="614"/>
  <c r="E33" i="614"/>
  <c r="AJ32" i="614"/>
  <c r="X32" i="614"/>
  <c r="T32" i="614"/>
  <c r="L32" i="614"/>
  <c r="K32" i="614" s="1"/>
  <c r="H32" i="614"/>
  <c r="E32" i="614"/>
  <c r="AT31" i="614"/>
  <c r="AJ31" i="614"/>
  <c r="X31" i="614"/>
  <c r="T31" i="614"/>
  <c r="L31" i="614"/>
  <c r="K31" i="614" s="1"/>
  <c r="H31" i="614"/>
  <c r="E31" i="614"/>
  <c r="AT30" i="614"/>
  <c r="AJ30" i="614"/>
  <c r="X30" i="614"/>
  <c r="T30" i="614"/>
  <c r="L30" i="614"/>
  <c r="K30" i="614" s="1"/>
  <c r="H30" i="614"/>
  <c r="E30" i="614"/>
  <c r="AT29" i="614"/>
  <c r="AJ29" i="614"/>
  <c r="X29" i="614"/>
  <c r="T29" i="614"/>
  <c r="L29" i="614"/>
  <c r="K29" i="614" s="1"/>
  <c r="H29" i="614"/>
  <c r="E29" i="614"/>
  <c r="AT28" i="614"/>
  <c r="AJ28" i="614"/>
  <c r="X28" i="614"/>
  <c r="T28" i="614"/>
  <c r="L28" i="614"/>
  <c r="K28" i="614" s="1"/>
  <c r="H28" i="614"/>
  <c r="E28" i="614"/>
  <c r="AT27" i="614"/>
  <c r="AJ27" i="614"/>
  <c r="X27" i="614"/>
  <c r="T27" i="614"/>
  <c r="L27" i="614"/>
  <c r="K27" i="614" s="1"/>
  <c r="H27" i="614"/>
  <c r="E27" i="614"/>
  <c r="AT26" i="614"/>
  <c r="AJ26" i="614"/>
  <c r="X26" i="614"/>
  <c r="T26" i="614"/>
  <c r="L26" i="614"/>
  <c r="K26" i="614" s="1"/>
  <c r="H26" i="614"/>
  <c r="E26" i="614"/>
  <c r="AT25" i="614"/>
  <c r="AJ25" i="614"/>
  <c r="X25" i="614"/>
  <c r="T25" i="614"/>
  <c r="L25" i="614"/>
  <c r="K25" i="614" s="1"/>
  <c r="H25" i="614"/>
  <c r="E25" i="614"/>
  <c r="AT24" i="614"/>
  <c r="AJ24" i="614"/>
  <c r="X24" i="614"/>
  <c r="T24" i="614"/>
  <c r="L24" i="614"/>
  <c r="K24" i="614" s="1"/>
  <c r="H24" i="614"/>
  <c r="E24" i="614"/>
  <c r="AT23" i="614"/>
  <c r="AJ23" i="614"/>
  <c r="X23" i="614"/>
  <c r="T23" i="614"/>
  <c r="L23" i="614"/>
  <c r="K23" i="614" s="1"/>
  <c r="H23" i="614"/>
  <c r="E23" i="614"/>
  <c r="AT22" i="614"/>
  <c r="AJ22" i="614"/>
  <c r="X22" i="614"/>
  <c r="T22" i="614"/>
  <c r="L22" i="614"/>
  <c r="K22" i="614" s="1"/>
  <c r="H22" i="614"/>
  <c r="E22" i="614"/>
  <c r="AT21" i="614"/>
  <c r="AJ21" i="614"/>
  <c r="X21" i="614"/>
  <c r="T21" i="614"/>
  <c r="L21" i="614"/>
  <c r="K21" i="614" s="1"/>
  <c r="H21" i="614"/>
  <c r="E21" i="614"/>
  <c r="AT20" i="614"/>
  <c r="AJ20" i="614"/>
  <c r="X20" i="614"/>
  <c r="T20" i="614"/>
  <c r="L20" i="614"/>
  <c r="K20" i="614" s="1"/>
  <c r="H20" i="614"/>
  <c r="E20" i="614"/>
  <c r="AT19" i="614"/>
  <c r="AJ19" i="614"/>
  <c r="X19" i="614"/>
  <c r="T19" i="614"/>
  <c r="L19" i="614"/>
  <c r="K19" i="614" s="1"/>
  <c r="H19" i="614"/>
  <c r="E19" i="614"/>
  <c r="AT18" i="614"/>
  <c r="AJ18" i="614"/>
  <c r="X18" i="614"/>
  <c r="T18" i="614"/>
  <c r="L18" i="614"/>
  <c r="K18" i="614" s="1"/>
  <c r="H18" i="614"/>
  <c r="E18" i="614"/>
  <c r="AT17" i="614"/>
  <c r="AJ17" i="614"/>
  <c r="X17" i="614"/>
  <c r="T17" i="614"/>
  <c r="L17" i="614"/>
  <c r="K17" i="614" s="1"/>
  <c r="H17" i="614"/>
  <c r="E17" i="614"/>
  <c r="AT16" i="614"/>
  <c r="AJ16" i="614"/>
  <c r="X16" i="614"/>
  <c r="T16" i="614"/>
  <c r="L16" i="614"/>
  <c r="K16" i="614" s="1"/>
  <c r="H16" i="614"/>
  <c r="E16" i="614"/>
  <c r="AT15" i="614"/>
  <c r="AJ15" i="614"/>
  <c r="X15" i="614"/>
  <c r="T15" i="614"/>
  <c r="L15" i="614"/>
  <c r="K15" i="614" s="1"/>
  <c r="H15" i="614"/>
  <c r="E15" i="614"/>
  <c r="AT14" i="614"/>
  <c r="AJ14" i="614"/>
  <c r="X14" i="614"/>
  <c r="T14" i="614"/>
  <c r="L14" i="614"/>
  <c r="K14" i="614" s="1"/>
  <c r="H14" i="614"/>
  <c r="E14" i="614"/>
  <c r="AT13" i="614"/>
  <c r="AJ13" i="614"/>
  <c r="X13" i="614"/>
  <c r="L13" i="614"/>
  <c r="K13" i="614" s="1"/>
  <c r="H13" i="614"/>
  <c r="E13" i="614"/>
  <c r="AI8" i="614"/>
  <c r="E20" i="613"/>
  <c r="AI11" i="613"/>
  <c r="AI8" i="613" s="1"/>
  <c r="X35" i="613"/>
  <c r="X36" i="613"/>
  <c r="S11" i="613"/>
  <c r="T13" i="613" s="1"/>
  <c r="AU37" i="613"/>
  <c r="AS37" i="613"/>
  <c r="AT36" i="613"/>
  <c r="AJ36" i="613"/>
  <c r="T36" i="613"/>
  <c r="L36" i="613"/>
  <c r="K36" i="613" s="1"/>
  <c r="H36" i="613"/>
  <c r="E36" i="613"/>
  <c r="AT35" i="613"/>
  <c r="AJ35" i="613"/>
  <c r="T35" i="613"/>
  <c r="L35" i="613"/>
  <c r="K35" i="613" s="1"/>
  <c r="H35" i="613"/>
  <c r="E35" i="613"/>
  <c r="AZ34" i="613"/>
  <c r="AT34" i="613"/>
  <c r="AJ34" i="613"/>
  <c r="X34" i="613"/>
  <c r="T34" i="613"/>
  <c r="L34" i="613"/>
  <c r="K34" i="613" s="1"/>
  <c r="H34" i="613"/>
  <c r="E34" i="613"/>
  <c r="AJ33" i="613"/>
  <c r="X33" i="613"/>
  <c r="T33" i="613"/>
  <c r="L33" i="613"/>
  <c r="K33" i="613" s="1"/>
  <c r="H33" i="613"/>
  <c r="E33" i="613"/>
  <c r="AJ32" i="613"/>
  <c r="X32" i="613"/>
  <c r="T32" i="613"/>
  <c r="L32" i="613"/>
  <c r="M32" i="613" s="1"/>
  <c r="H32" i="613"/>
  <c r="E32" i="613"/>
  <c r="AT31" i="613"/>
  <c r="AJ31" i="613"/>
  <c r="X31" i="613"/>
  <c r="T31" i="613"/>
  <c r="L31" i="613"/>
  <c r="M31" i="613" s="1"/>
  <c r="H31" i="613"/>
  <c r="E31" i="613"/>
  <c r="AT30" i="613"/>
  <c r="AJ30" i="613"/>
  <c r="X30" i="613"/>
  <c r="T30" i="613"/>
  <c r="L30" i="613"/>
  <c r="M30" i="613" s="1"/>
  <c r="H30" i="613"/>
  <c r="E30" i="613"/>
  <c r="AT29" i="613"/>
  <c r="AJ29" i="613"/>
  <c r="X29" i="613"/>
  <c r="T29" i="613"/>
  <c r="L29" i="613"/>
  <c r="M29" i="613" s="1"/>
  <c r="H29" i="613"/>
  <c r="E29" i="613"/>
  <c r="AT28" i="613"/>
  <c r="AJ28" i="613"/>
  <c r="X28" i="613"/>
  <c r="T28" i="613"/>
  <c r="L28" i="613"/>
  <c r="M28" i="613" s="1"/>
  <c r="H28" i="613"/>
  <c r="E28" i="613"/>
  <c r="AT27" i="613"/>
  <c r="AJ27" i="613"/>
  <c r="X27" i="613"/>
  <c r="T27" i="613"/>
  <c r="L27" i="613"/>
  <c r="M27" i="613" s="1"/>
  <c r="H27" i="613"/>
  <c r="E27" i="613"/>
  <c r="AT26" i="613"/>
  <c r="AJ26" i="613"/>
  <c r="X26" i="613"/>
  <c r="T26" i="613"/>
  <c r="L26" i="613"/>
  <c r="M26" i="613" s="1"/>
  <c r="H26" i="613"/>
  <c r="E26" i="613"/>
  <c r="AT25" i="613"/>
  <c r="AJ25" i="613"/>
  <c r="X25" i="613"/>
  <c r="T25" i="613"/>
  <c r="L25" i="613"/>
  <c r="M25" i="613" s="1"/>
  <c r="H25" i="613"/>
  <c r="E25" i="613"/>
  <c r="AT24" i="613"/>
  <c r="AJ24" i="613"/>
  <c r="X24" i="613"/>
  <c r="T24" i="613"/>
  <c r="L24" i="613"/>
  <c r="M24" i="613" s="1"/>
  <c r="H24" i="613"/>
  <c r="E24" i="613"/>
  <c r="AT23" i="613"/>
  <c r="AJ23" i="613"/>
  <c r="X23" i="613"/>
  <c r="T23" i="613"/>
  <c r="L23" i="613"/>
  <c r="M23" i="613" s="1"/>
  <c r="H23" i="613"/>
  <c r="E23" i="613"/>
  <c r="AT22" i="613"/>
  <c r="AJ22" i="613"/>
  <c r="X22" i="613"/>
  <c r="T22" i="613"/>
  <c r="L22" i="613"/>
  <c r="M22" i="613" s="1"/>
  <c r="H22" i="613"/>
  <c r="E22" i="613"/>
  <c r="AT21" i="613"/>
  <c r="AJ21" i="613"/>
  <c r="X21" i="613"/>
  <c r="T21" i="613"/>
  <c r="L21" i="613"/>
  <c r="M21" i="613" s="1"/>
  <c r="H21" i="613"/>
  <c r="E21" i="613"/>
  <c r="AT20" i="613"/>
  <c r="AJ20" i="613"/>
  <c r="X20" i="613"/>
  <c r="T20" i="613"/>
  <c r="L20" i="613"/>
  <c r="M20" i="613" s="1"/>
  <c r="H20" i="613"/>
  <c r="AT19" i="613"/>
  <c r="AJ19" i="613"/>
  <c r="X19" i="613"/>
  <c r="T19" i="613"/>
  <c r="L19" i="613"/>
  <c r="M19" i="613" s="1"/>
  <c r="H19" i="613"/>
  <c r="E19" i="613"/>
  <c r="AT18" i="613"/>
  <c r="AJ18" i="613"/>
  <c r="X18" i="613"/>
  <c r="T18" i="613"/>
  <c r="L18" i="613"/>
  <c r="M18" i="613" s="1"/>
  <c r="H18" i="613"/>
  <c r="E18" i="613"/>
  <c r="AT17" i="613"/>
  <c r="AJ17" i="613"/>
  <c r="X17" i="613"/>
  <c r="T17" i="613"/>
  <c r="L17" i="613"/>
  <c r="M17" i="613" s="1"/>
  <c r="H17" i="613"/>
  <c r="E17" i="613"/>
  <c r="AT16" i="613"/>
  <c r="AJ16" i="613"/>
  <c r="X16" i="613"/>
  <c r="T16" i="613"/>
  <c r="L16" i="613"/>
  <c r="M16" i="613" s="1"/>
  <c r="H16" i="613"/>
  <c r="E16" i="613"/>
  <c r="AT15" i="613"/>
  <c r="AJ15" i="613"/>
  <c r="X15" i="613"/>
  <c r="T15" i="613"/>
  <c r="L15" i="613"/>
  <c r="M15" i="613" s="1"/>
  <c r="H15" i="613"/>
  <c r="E15" i="613"/>
  <c r="AT14" i="613"/>
  <c r="AJ14" i="613"/>
  <c r="X14" i="613"/>
  <c r="T14" i="613"/>
  <c r="L14" i="613"/>
  <c r="M14" i="613" s="1"/>
  <c r="H14" i="613"/>
  <c r="E14" i="613"/>
  <c r="AT13" i="613"/>
  <c r="X13" i="613"/>
  <c r="L13" i="613"/>
  <c r="M13" i="613" s="1"/>
  <c r="H13" i="613"/>
  <c r="E13" i="613"/>
  <c r="AJ13" i="613" l="1"/>
  <c r="AT37" i="613"/>
  <c r="K14" i="613"/>
  <c r="K15" i="613"/>
  <c r="K16" i="613"/>
  <c r="K34" i="614"/>
  <c r="K13" i="613"/>
  <c r="K22" i="613"/>
  <c r="U25" i="613"/>
  <c r="U31" i="613"/>
  <c r="U32" i="613"/>
  <c r="U34" i="613"/>
  <c r="V35" i="613"/>
  <c r="U16" i="614"/>
  <c r="U20" i="614"/>
  <c r="U24" i="614"/>
  <c r="U29" i="614"/>
  <c r="V33" i="614"/>
  <c r="U13" i="614"/>
  <c r="U17" i="613"/>
  <c r="U18" i="613"/>
  <c r="U19" i="613"/>
  <c r="U23" i="613"/>
  <c r="U24" i="613"/>
  <c r="U28" i="613"/>
  <c r="U29" i="613"/>
  <c r="U30" i="613"/>
  <c r="U15" i="614"/>
  <c r="U19" i="614"/>
  <c r="U23" i="614"/>
  <c r="M27" i="614"/>
  <c r="U28" i="614"/>
  <c r="U13" i="613"/>
  <c r="U14" i="613"/>
  <c r="U15" i="613"/>
  <c r="U16" i="613"/>
  <c r="U21" i="613"/>
  <c r="U22" i="613"/>
  <c r="U27" i="613"/>
  <c r="K32" i="613"/>
  <c r="U33" i="613"/>
  <c r="U36" i="613"/>
  <c r="AT37" i="614"/>
  <c r="U14" i="614"/>
  <c r="U18" i="614"/>
  <c r="U22" i="614"/>
  <c r="U26" i="614"/>
  <c r="U27" i="614"/>
  <c r="M31" i="614"/>
  <c r="U32" i="614"/>
  <c r="V36" i="614"/>
  <c r="K18" i="613"/>
  <c r="K19" i="613"/>
  <c r="U20" i="613"/>
  <c r="K24" i="613"/>
  <c r="U26" i="613"/>
  <c r="K29" i="613"/>
  <c r="K30" i="613"/>
  <c r="U17" i="614"/>
  <c r="U21" i="614"/>
  <c r="U25" i="614"/>
  <c r="U30" i="614"/>
  <c r="U31" i="614"/>
  <c r="V34" i="614"/>
  <c r="AK34" i="614" s="1"/>
  <c r="V35" i="614"/>
  <c r="M35" i="614"/>
  <c r="U34" i="614"/>
  <c r="K33" i="614"/>
  <c r="M32" i="614"/>
  <c r="M30" i="614"/>
  <c r="M29" i="614"/>
  <c r="M28" i="614"/>
  <c r="M26" i="614"/>
  <c r="M25" i="614"/>
  <c r="M24" i="614"/>
  <c r="M23" i="614"/>
  <c r="M22" i="614"/>
  <c r="M21" i="614"/>
  <c r="M20" i="614"/>
  <c r="M19" i="614"/>
  <c r="V36" i="613"/>
  <c r="AJ37" i="614"/>
  <c r="AK33" i="614"/>
  <c r="M36" i="614"/>
  <c r="M14" i="614"/>
  <c r="M15" i="614"/>
  <c r="M16" i="614"/>
  <c r="M17" i="614"/>
  <c r="M18" i="614"/>
  <c r="M13" i="614"/>
  <c r="AK36" i="614"/>
  <c r="AK35" i="614"/>
  <c r="V13" i="614"/>
  <c r="AK13" i="614" s="1"/>
  <c r="V14" i="614"/>
  <c r="AK14" i="614" s="1"/>
  <c r="V15" i="614"/>
  <c r="AK15" i="614" s="1"/>
  <c r="V16" i="614"/>
  <c r="AK16" i="614" s="1"/>
  <c r="V17" i="614"/>
  <c r="AK17" i="614" s="1"/>
  <c r="V18" i="614"/>
  <c r="AK18" i="614" s="1"/>
  <c r="V19" i="614"/>
  <c r="AK19" i="614" s="1"/>
  <c r="V20" i="614"/>
  <c r="AK20" i="614" s="1"/>
  <c r="V21" i="614"/>
  <c r="AK21" i="614" s="1"/>
  <c r="V22" i="614"/>
  <c r="AK22" i="614" s="1"/>
  <c r="V23" i="614"/>
  <c r="AK23" i="614" s="1"/>
  <c r="V24" i="614"/>
  <c r="AK24" i="614" s="1"/>
  <c r="V25" i="614"/>
  <c r="AK25" i="614" s="1"/>
  <c r="V26" i="614"/>
  <c r="AK26" i="614" s="1"/>
  <c r="V27" i="614"/>
  <c r="AK27" i="614" s="1"/>
  <c r="V28" i="614"/>
  <c r="AK28" i="614" s="1"/>
  <c r="V29" i="614"/>
  <c r="AK29" i="614" s="1"/>
  <c r="V30" i="614"/>
  <c r="AK30" i="614" s="1"/>
  <c r="V31" i="614"/>
  <c r="AK31" i="614" s="1"/>
  <c r="V32" i="614"/>
  <c r="AK32" i="614" s="1"/>
  <c r="T37" i="614"/>
  <c r="U33" i="614"/>
  <c r="U35" i="614"/>
  <c r="U36" i="614"/>
  <c r="U35" i="613"/>
  <c r="V33" i="613"/>
  <c r="AK33" i="613" s="1"/>
  <c r="K31" i="613"/>
  <c r="K28" i="613"/>
  <c r="K27" i="613"/>
  <c r="K26" i="613"/>
  <c r="K25" i="613"/>
  <c r="K23" i="613"/>
  <c r="K21" i="613"/>
  <c r="K20" i="613"/>
  <c r="K17" i="613"/>
  <c r="AJ37" i="613"/>
  <c r="V34" i="613"/>
  <c r="AK34" i="613" s="1"/>
  <c r="AK35" i="613"/>
  <c r="AK36" i="613"/>
  <c r="M36" i="613"/>
  <c r="M34" i="613"/>
  <c r="T37" i="613"/>
  <c r="V13" i="613"/>
  <c r="AK13" i="613" s="1"/>
  <c r="V14" i="613"/>
  <c r="AK14" i="613" s="1"/>
  <c r="V15" i="613"/>
  <c r="AK15" i="613" s="1"/>
  <c r="V16" i="613"/>
  <c r="AK16" i="613" s="1"/>
  <c r="V17" i="613"/>
  <c r="AK17" i="613" s="1"/>
  <c r="V18" i="613"/>
  <c r="AK18" i="613" s="1"/>
  <c r="V19" i="613"/>
  <c r="AK19" i="613" s="1"/>
  <c r="V20" i="613"/>
  <c r="AK20" i="613" s="1"/>
  <c r="V21" i="613"/>
  <c r="AK21" i="613" s="1"/>
  <c r="V22" i="613"/>
  <c r="AK22" i="613" s="1"/>
  <c r="V23" i="613"/>
  <c r="AK23" i="613" s="1"/>
  <c r="V24" i="613"/>
  <c r="AK24" i="613" s="1"/>
  <c r="V25" i="613"/>
  <c r="AK25" i="613" s="1"/>
  <c r="V26" i="613"/>
  <c r="AK26" i="613" s="1"/>
  <c r="V27" i="613"/>
  <c r="AK27" i="613" s="1"/>
  <c r="V28" i="613"/>
  <c r="AK28" i="613" s="1"/>
  <c r="V29" i="613"/>
  <c r="AK29" i="613" s="1"/>
  <c r="V30" i="613"/>
  <c r="AK30" i="613" s="1"/>
  <c r="V31" i="613"/>
  <c r="AK31" i="613" s="1"/>
  <c r="V32" i="613"/>
  <c r="AK32" i="613" s="1"/>
  <c r="M33" i="613"/>
  <c r="M35" i="613"/>
  <c r="V37" i="614" l="1"/>
  <c r="AK37" i="614" s="1"/>
  <c r="U37" i="614"/>
  <c r="V37" i="613"/>
  <c r="AK37" i="613" s="1"/>
  <c r="U37" i="613"/>
  <c r="T15" i="612" l="1"/>
  <c r="AI11" i="612" l="1"/>
  <c r="AI8" i="612" s="1"/>
  <c r="X13" i="612"/>
  <c r="X14" i="612"/>
  <c r="S11" i="612"/>
  <c r="AU37" i="612"/>
  <c r="AS37" i="612"/>
  <c r="AT36" i="612"/>
  <c r="AJ36" i="612"/>
  <c r="X36" i="612"/>
  <c r="T36" i="612"/>
  <c r="L36" i="612"/>
  <c r="K36" i="612" s="1"/>
  <c r="H36" i="612"/>
  <c r="E36" i="612"/>
  <c r="AT35" i="612"/>
  <c r="AJ35" i="612"/>
  <c r="T35" i="612"/>
  <c r="L35" i="612"/>
  <c r="K35" i="612" s="1"/>
  <c r="H35" i="612"/>
  <c r="E35" i="612"/>
  <c r="AZ34" i="612"/>
  <c r="AT34" i="612"/>
  <c r="AJ34" i="612"/>
  <c r="X34" i="612"/>
  <c r="T34" i="612"/>
  <c r="L34" i="612"/>
  <c r="M34" i="612" s="1"/>
  <c r="H34" i="612"/>
  <c r="E34" i="612"/>
  <c r="AJ33" i="612"/>
  <c r="X33" i="612"/>
  <c r="T33" i="612"/>
  <c r="L33" i="612"/>
  <c r="M33" i="612" s="1"/>
  <c r="H33" i="612"/>
  <c r="E33" i="612"/>
  <c r="AJ32" i="612"/>
  <c r="X32" i="612"/>
  <c r="T32" i="612"/>
  <c r="L32" i="612"/>
  <c r="K32" i="612" s="1"/>
  <c r="H32" i="612"/>
  <c r="E32" i="612"/>
  <c r="AT31" i="612"/>
  <c r="AJ31" i="612"/>
  <c r="X31" i="612"/>
  <c r="T31" i="612"/>
  <c r="L31" i="612"/>
  <c r="K31" i="612" s="1"/>
  <c r="H31" i="612"/>
  <c r="E31" i="612"/>
  <c r="AT30" i="612"/>
  <c r="AJ30" i="612"/>
  <c r="X30" i="612"/>
  <c r="T30" i="612"/>
  <c r="L30" i="612"/>
  <c r="K30" i="612" s="1"/>
  <c r="H30" i="612"/>
  <c r="E30" i="612"/>
  <c r="AT29" i="612"/>
  <c r="AJ29" i="612"/>
  <c r="X29" i="612"/>
  <c r="T29" i="612"/>
  <c r="L29" i="612"/>
  <c r="K29" i="612" s="1"/>
  <c r="H29" i="612"/>
  <c r="E29" i="612"/>
  <c r="AT28" i="612"/>
  <c r="AJ28" i="612"/>
  <c r="X28" i="612"/>
  <c r="T28" i="612"/>
  <c r="M28" i="612"/>
  <c r="L28" i="612"/>
  <c r="K28" i="612" s="1"/>
  <c r="H28" i="612"/>
  <c r="E28" i="612"/>
  <c r="AT27" i="612"/>
  <c r="AJ27" i="612"/>
  <c r="X27" i="612"/>
  <c r="T27" i="612"/>
  <c r="L27" i="612"/>
  <c r="K27" i="612" s="1"/>
  <c r="H27" i="612"/>
  <c r="E27" i="612"/>
  <c r="AT26" i="612"/>
  <c r="AJ26" i="612"/>
  <c r="X26" i="612"/>
  <c r="T26" i="612"/>
  <c r="L26" i="612"/>
  <c r="K26" i="612" s="1"/>
  <c r="H26" i="612"/>
  <c r="E26" i="612"/>
  <c r="AT25" i="612"/>
  <c r="AJ25" i="612"/>
  <c r="X25" i="612"/>
  <c r="T25" i="612"/>
  <c r="L25" i="612"/>
  <c r="K25" i="612" s="1"/>
  <c r="H25" i="612"/>
  <c r="E25" i="612"/>
  <c r="AT24" i="612"/>
  <c r="AJ24" i="612"/>
  <c r="X24" i="612"/>
  <c r="T24" i="612"/>
  <c r="L24" i="612"/>
  <c r="K24" i="612" s="1"/>
  <c r="H24" i="612"/>
  <c r="E24" i="612"/>
  <c r="AT23" i="612"/>
  <c r="AJ23" i="612"/>
  <c r="X23" i="612"/>
  <c r="T23" i="612"/>
  <c r="L23" i="612"/>
  <c r="K23" i="612" s="1"/>
  <c r="H23" i="612"/>
  <c r="E23" i="612"/>
  <c r="AT22" i="612"/>
  <c r="AJ22" i="612"/>
  <c r="X22" i="612"/>
  <c r="T22" i="612"/>
  <c r="L22" i="612"/>
  <c r="K22" i="612" s="1"/>
  <c r="H22" i="612"/>
  <c r="E22" i="612"/>
  <c r="AT21" i="612"/>
  <c r="AJ21" i="612"/>
  <c r="X21" i="612"/>
  <c r="T21" i="612"/>
  <c r="L21" i="612"/>
  <c r="K21" i="612" s="1"/>
  <c r="H21" i="612"/>
  <c r="E21" i="612"/>
  <c r="AT20" i="612"/>
  <c r="AJ20" i="612"/>
  <c r="X20" i="612"/>
  <c r="T20" i="612"/>
  <c r="L20" i="612"/>
  <c r="K20" i="612" s="1"/>
  <c r="H20" i="612"/>
  <c r="E20" i="612"/>
  <c r="AT19" i="612"/>
  <c r="AJ19" i="612"/>
  <c r="X19" i="612"/>
  <c r="T19" i="612"/>
  <c r="L19" i="612"/>
  <c r="K19" i="612" s="1"/>
  <c r="H19" i="612"/>
  <c r="E19" i="612"/>
  <c r="AT18" i="612"/>
  <c r="AJ18" i="612"/>
  <c r="X18" i="612"/>
  <c r="T18" i="612"/>
  <c r="L18" i="612"/>
  <c r="K18" i="612" s="1"/>
  <c r="H18" i="612"/>
  <c r="E18" i="612"/>
  <c r="AT17" i="612"/>
  <c r="AJ17" i="612"/>
  <c r="X17" i="612"/>
  <c r="T17" i="612"/>
  <c r="L17" i="612"/>
  <c r="K17" i="612" s="1"/>
  <c r="H17" i="612"/>
  <c r="E17" i="612"/>
  <c r="AT16" i="612"/>
  <c r="AJ16" i="612"/>
  <c r="X16" i="612"/>
  <c r="T16" i="612"/>
  <c r="L16" i="612"/>
  <c r="K16" i="612" s="1"/>
  <c r="H16" i="612"/>
  <c r="E16" i="612"/>
  <c r="AT15" i="612"/>
  <c r="AJ15" i="612"/>
  <c r="X15" i="612"/>
  <c r="U15" i="612"/>
  <c r="L15" i="612"/>
  <c r="K15" i="612" s="1"/>
  <c r="H15" i="612"/>
  <c r="E15" i="612"/>
  <c r="AT14" i="612"/>
  <c r="AJ14" i="612"/>
  <c r="T14" i="612"/>
  <c r="L14" i="612"/>
  <c r="K14" i="612" s="1"/>
  <c r="H14" i="612"/>
  <c r="E14" i="612"/>
  <c r="AT13" i="612"/>
  <c r="T13" i="612"/>
  <c r="L13" i="612"/>
  <c r="K13" i="612" s="1"/>
  <c r="H13" i="612"/>
  <c r="E13" i="612"/>
  <c r="U19" i="612" l="1"/>
  <c r="U23" i="612"/>
  <c r="U27" i="612"/>
  <c r="U28" i="612"/>
  <c r="U32" i="612"/>
  <c r="V34" i="612"/>
  <c r="AK34" i="612" s="1"/>
  <c r="V35" i="612"/>
  <c r="U13" i="612"/>
  <c r="U18" i="612"/>
  <c r="U22" i="612"/>
  <c r="U26" i="612"/>
  <c r="U31" i="612"/>
  <c r="AT37" i="612"/>
  <c r="U14" i="612"/>
  <c r="U17" i="612"/>
  <c r="U21" i="612"/>
  <c r="U25" i="612"/>
  <c r="U30" i="612"/>
  <c r="V33" i="612"/>
  <c r="V36" i="612"/>
  <c r="U16" i="612"/>
  <c r="U20" i="612"/>
  <c r="U24" i="612"/>
  <c r="U29" i="612"/>
  <c r="K34" i="612"/>
  <c r="U34" i="612"/>
  <c r="M31" i="612"/>
  <c r="M26" i="612"/>
  <c r="V25" i="612"/>
  <c r="AK25" i="612" s="1"/>
  <c r="V24" i="612"/>
  <c r="AK24" i="612" s="1"/>
  <c r="V23" i="612"/>
  <c r="AK23" i="612" s="1"/>
  <c r="M24" i="612"/>
  <c r="M22" i="612"/>
  <c r="V22" i="612"/>
  <c r="AK22" i="612" s="1"/>
  <c r="M20" i="612"/>
  <c r="M19" i="612"/>
  <c r="M18" i="612"/>
  <c r="V18" i="612"/>
  <c r="AK18" i="612" s="1"/>
  <c r="M15" i="612"/>
  <c r="M14" i="612"/>
  <c r="V15" i="612"/>
  <c r="AK15" i="612" s="1"/>
  <c r="V16" i="612"/>
  <c r="AK16" i="612" s="1"/>
  <c r="V17" i="612"/>
  <c r="AK17" i="612" s="1"/>
  <c r="V27" i="612"/>
  <c r="AK27" i="612" s="1"/>
  <c r="V30" i="612"/>
  <c r="AK30" i="612" s="1"/>
  <c r="V20" i="612"/>
  <c r="AK20" i="612" s="1"/>
  <c r="V21" i="612"/>
  <c r="AK21" i="612" s="1"/>
  <c r="V28" i="612"/>
  <c r="AK28" i="612" s="1"/>
  <c r="V31" i="612"/>
  <c r="AK31" i="612" s="1"/>
  <c r="V32" i="612"/>
  <c r="AK33" i="612"/>
  <c r="V19" i="612"/>
  <c r="AK19" i="612" s="1"/>
  <c r="V26" i="612"/>
  <c r="AK26" i="612" s="1"/>
  <c r="AK32" i="612"/>
  <c r="V14" i="612"/>
  <c r="AK14" i="612" s="1"/>
  <c r="V13" i="612"/>
  <c r="K33" i="612"/>
  <c r="M35" i="612"/>
  <c r="M23" i="612"/>
  <c r="M27" i="612"/>
  <c r="M32" i="612"/>
  <c r="M36" i="612"/>
  <c r="M16" i="612"/>
  <c r="M17" i="612"/>
  <c r="M21" i="612"/>
  <c r="M25" i="612"/>
  <c r="M29" i="612"/>
  <c r="M30" i="612"/>
  <c r="M13" i="612"/>
  <c r="AK35" i="612"/>
  <c r="AK36" i="612"/>
  <c r="V29" i="612"/>
  <c r="AK29" i="612" s="1"/>
  <c r="T37" i="612"/>
  <c r="AJ13" i="612"/>
  <c r="U33" i="612"/>
  <c r="U35" i="612"/>
  <c r="U36" i="612"/>
  <c r="AI11" i="611"/>
  <c r="AJ13" i="611" s="1"/>
  <c r="S11" i="611"/>
  <c r="T13" i="611" s="1"/>
  <c r="AU37" i="611"/>
  <c r="AS37" i="611"/>
  <c r="AT36" i="611"/>
  <c r="AJ36" i="611"/>
  <c r="X36" i="611"/>
  <c r="T36" i="611"/>
  <c r="L36" i="611"/>
  <c r="M36" i="611" s="1"/>
  <c r="H36" i="611"/>
  <c r="E36" i="611"/>
  <c r="AT35" i="611"/>
  <c r="AJ35" i="611"/>
  <c r="X35" i="611"/>
  <c r="T35" i="611"/>
  <c r="L35" i="611"/>
  <c r="M35" i="611" s="1"/>
  <c r="H35" i="611"/>
  <c r="E35" i="611"/>
  <c r="AZ34" i="611"/>
  <c r="AT34" i="611"/>
  <c r="AJ34" i="611"/>
  <c r="X34" i="611"/>
  <c r="T34" i="611"/>
  <c r="L34" i="611"/>
  <c r="M34" i="611" s="1"/>
  <c r="H34" i="611"/>
  <c r="E34" i="611"/>
  <c r="AJ33" i="611"/>
  <c r="X33" i="611"/>
  <c r="T33" i="611"/>
  <c r="L33" i="611"/>
  <c r="M33" i="611" s="1"/>
  <c r="H33" i="611"/>
  <c r="E33" i="611"/>
  <c r="AJ32" i="611"/>
  <c r="X32" i="611"/>
  <c r="T32" i="611"/>
  <c r="L32" i="611"/>
  <c r="K32" i="611" s="1"/>
  <c r="H32" i="611"/>
  <c r="E32" i="611"/>
  <c r="AT31" i="611"/>
  <c r="AJ31" i="611"/>
  <c r="X31" i="611"/>
  <c r="T31" i="611"/>
  <c r="L31" i="611"/>
  <c r="K31" i="611" s="1"/>
  <c r="H31" i="611"/>
  <c r="E31" i="611"/>
  <c r="AT30" i="611"/>
  <c r="AJ30" i="611"/>
  <c r="X30" i="611"/>
  <c r="T30" i="611"/>
  <c r="L30" i="611"/>
  <c r="K30" i="611" s="1"/>
  <c r="H30" i="611"/>
  <c r="E30" i="611"/>
  <c r="AT29" i="611"/>
  <c r="AJ29" i="611"/>
  <c r="X29" i="611"/>
  <c r="T29" i="611"/>
  <c r="L29" i="611"/>
  <c r="K29" i="611" s="1"/>
  <c r="H29" i="611"/>
  <c r="E29" i="611"/>
  <c r="AT28" i="611"/>
  <c r="AJ28" i="611"/>
  <c r="X28" i="611"/>
  <c r="T28" i="611"/>
  <c r="L28" i="611"/>
  <c r="K28" i="611" s="1"/>
  <c r="H28" i="611"/>
  <c r="E28" i="611"/>
  <c r="AT27" i="611"/>
  <c r="AJ27" i="611"/>
  <c r="X27" i="611"/>
  <c r="T27" i="611"/>
  <c r="L27" i="611"/>
  <c r="K27" i="611" s="1"/>
  <c r="H27" i="611"/>
  <c r="E27" i="611"/>
  <c r="AT26" i="611"/>
  <c r="AJ26" i="611"/>
  <c r="X26" i="611"/>
  <c r="T26" i="611"/>
  <c r="L26" i="611"/>
  <c r="K26" i="611" s="1"/>
  <c r="H26" i="611"/>
  <c r="E26" i="611"/>
  <c r="AT25" i="611"/>
  <c r="AJ25" i="611"/>
  <c r="X25" i="611"/>
  <c r="T25" i="611"/>
  <c r="L25" i="611"/>
  <c r="K25" i="611" s="1"/>
  <c r="H25" i="611"/>
  <c r="E25" i="611"/>
  <c r="AT24" i="611"/>
  <c r="AJ24" i="611"/>
  <c r="X24" i="611"/>
  <c r="T24" i="611"/>
  <c r="L24" i="611"/>
  <c r="K24" i="611" s="1"/>
  <c r="H24" i="611"/>
  <c r="E24" i="611"/>
  <c r="AT23" i="611"/>
  <c r="AJ23" i="611"/>
  <c r="X23" i="611"/>
  <c r="T23" i="611"/>
  <c r="L23" i="611"/>
  <c r="K23" i="611" s="1"/>
  <c r="H23" i="611"/>
  <c r="E23" i="611"/>
  <c r="AT22" i="611"/>
  <c r="AJ22" i="611"/>
  <c r="X22" i="611"/>
  <c r="T22" i="611"/>
  <c r="L22" i="611"/>
  <c r="K22" i="611" s="1"/>
  <c r="H22" i="611"/>
  <c r="E22" i="611"/>
  <c r="AT21" i="611"/>
  <c r="AJ21" i="611"/>
  <c r="X21" i="611"/>
  <c r="T21" i="611"/>
  <c r="L21" i="611"/>
  <c r="K21" i="611" s="1"/>
  <c r="H21" i="611"/>
  <c r="E21" i="611"/>
  <c r="AT20" i="611"/>
  <c r="AJ20" i="611"/>
  <c r="X20" i="611"/>
  <c r="T20" i="611"/>
  <c r="L20" i="611"/>
  <c r="K20" i="611" s="1"/>
  <c r="H20" i="611"/>
  <c r="E20" i="611"/>
  <c r="AT19" i="611"/>
  <c r="AJ19" i="611"/>
  <c r="X19" i="611"/>
  <c r="T19" i="611"/>
  <c r="L19" i="611"/>
  <c r="K19" i="611" s="1"/>
  <c r="H19" i="611"/>
  <c r="E19" i="611"/>
  <c r="AT18" i="611"/>
  <c r="AJ18" i="611"/>
  <c r="X18" i="611"/>
  <c r="T18" i="611"/>
  <c r="L18" i="611"/>
  <c r="K18" i="611" s="1"/>
  <c r="H18" i="611"/>
  <c r="E18" i="611"/>
  <c r="AT17" i="611"/>
  <c r="AJ17" i="611"/>
  <c r="X17" i="611"/>
  <c r="T17" i="611"/>
  <c r="L17" i="611"/>
  <c r="K17" i="611" s="1"/>
  <c r="H17" i="611"/>
  <c r="E17" i="611"/>
  <c r="AT16" i="611"/>
  <c r="AJ16" i="611"/>
  <c r="X16" i="611"/>
  <c r="T16" i="611"/>
  <c r="L16" i="611"/>
  <c r="K16" i="611" s="1"/>
  <c r="H16" i="611"/>
  <c r="E16" i="611"/>
  <c r="AT15" i="611"/>
  <c r="AJ15" i="611"/>
  <c r="X15" i="611"/>
  <c r="T15" i="611"/>
  <c r="L15" i="611"/>
  <c r="K15" i="611" s="1"/>
  <c r="H15" i="611"/>
  <c r="E15" i="611"/>
  <c r="AT14" i="611"/>
  <c r="AJ14" i="611"/>
  <c r="X14" i="611"/>
  <c r="T14" i="611"/>
  <c r="L14" i="611"/>
  <c r="K14" i="611" s="1"/>
  <c r="H14" i="611"/>
  <c r="E14" i="611"/>
  <c r="AT13" i="611"/>
  <c r="X13" i="611"/>
  <c r="L13" i="611"/>
  <c r="K13" i="611" s="1"/>
  <c r="H13" i="611"/>
  <c r="E13" i="611"/>
  <c r="U15" i="611" l="1"/>
  <c r="U19" i="611"/>
  <c r="U23" i="611"/>
  <c r="U27" i="611"/>
  <c r="U31" i="611"/>
  <c r="K33" i="611"/>
  <c r="U34" i="611"/>
  <c r="V35" i="611"/>
  <c r="U18" i="611"/>
  <c r="U22" i="611"/>
  <c r="U26" i="611"/>
  <c r="U30" i="611"/>
  <c r="U13" i="611"/>
  <c r="U14" i="611"/>
  <c r="U17" i="611"/>
  <c r="U21" i="611"/>
  <c r="U25" i="611"/>
  <c r="U29" i="611"/>
  <c r="U33" i="611"/>
  <c r="U16" i="611"/>
  <c r="U20" i="611"/>
  <c r="U24" i="611"/>
  <c r="U28" i="611"/>
  <c r="U32" i="611"/>
  <c r="AT37" i="611"/>
  <c r="V36" i="611"/>
  <c r="AK36" i="611" s="1"/>
  <c r="K36" i="611"/>
  <c r="K35" i="611"/>
  <c r="V37" i="612"/>
  <c r="U37" i="612"/>
  <c r="AJ37" i="612"/>
  <c r="AK13" i="612"/>
  <c r="V34" i="611"/>
  <c r="AK34" i="611" s="1"/>
  <c r="V33" i="611"/>
  <c r="AK33" i="611" s="1"/>
  <c r="AI8" i="611"/>
  <c r="AJ37" i="611"/>
  <c r="AK35" i="611"/>
  <c r="U36" i="611"/>
  <c r="U35" i="611"/>
  <c r="T37" i="611"/>
  <c r="V13" i="611"/>
  <c r="AK13" i="611" s="1"/>
  <c r="V14" i="611"/>
  <c r="AK14" i="611" s="1"/>
  <c r="V15" i="611"/>
  <c r="AK15" i="611" s="1"/>
  <c r="V16" i="611"/>
  <c r="AK16" i="611" s="1"/>
  <c r="V17" i="611"/>
  <c r="AK17" i="611" s="1"/>
  <c r="V18" i="611"/>
  <c r="AK18" i="611" s="1"/>
  <c r="V19" i="611"/>
  <c r="AK19" i="611" s="1"/>
  <c r="V20" i="611"/>
  <c r="AK20" i="611" s="1"/>
  <c r="V21" i="611"/>
  <c r="AK21" i="611" s="1"/>
  <c r="V22" i="611"/>
  <c r="AK22" i="611" s="1"/>
  <c r="V23" i="611"/>
  <c r="AK23" i="611" s="1"/>
  <c r="V24" i="611"/>
  <c r="AK24" i="611" s="1"/>
  <c r="V25" i="611"/>
  <c r="AK25" i="611" s="1"/>
  <c r="V26" i="611"/>
  <c r="AK26" i="611" s="1"/>
  <c r="V27" i="611"/>
  <c r="AK27" i="611" s="1"/>
  <c r="V28" i="611"/>
  <c r="AK28" i="611" s="1"/>
  <c r="V29" i="611"/>
  <c r="AK29" i="611" s="1"/>
  <c r="V30" i="611"/>
  <c r="AK30" i="611" s="1"/>
  <c r="V31" i="611"/>
  <c r="AK31" i="611" s="1"/>
  <c r="V32" i="611"/>
  <c r="AK32" i="611" s="1"/>
  <c r="M13" i="611"/>
  <c r="M14" i="611"/>
  <c r="M15" i="611"/>
  <c r="M16" i="611"/>
  <c r="M17" i="611"/>
  <c r="M18" i="611"/>
  <c r="M19" i="611"/>
  <c r="M20" i="611"/>
  <c r="M21" i="611"/>
  <c r="M22" i="611"/>
  <c r="M23" i="611"/>
  <c r="M24" i="611"/>
  <c r="M25" i="611"/>
  <c r="M26" i="611"/>
  <c r="M27" i="611"/>
  <c r="M28" i="611"/>
  <c r="M29" i="611"/>
  <c r="M30" i="611"/>
  <c r="M31" i="611"/>
  <c r="M32" i="611"/>
  <c r="K34" i="611"/>
  <c r="AK37" i="612" l="1"/>
  <c r="U37" i="611"/>
  <c r="V37" i="611"/>
  <c r="AK37" i="611" s="1"/>
  <c r="AI11" i="610" l="1"/>
  <c r="S11" i="610"/>
  <c r="AU37" i="610"/>
  <c r="AS37" i="610"/>
  <c r="AT36" i="610"/>
  <c r="AJ36" i="610"/>
  <c r="X36" i="610"/>
  <c r="T36" i="610"/>
  <c r="L36" i="610"/>
  <c r="K36" i="610" s="1"/>
  <c r="H36" i="610"/>
  <c r="E36" i="610"/>
  <c r="AT35" i="610"/>
  <c r="AJ35" i="610"/>
  <c r="X35" i="610"/>
  <c r="T35" i="610"/>
  <c r="L35" i="610"/>
  <c r="K35" i="610" s="1"/>
  <c r="H35" i="610"/>
  <c r="E35" i="610"/>
  <c r="AZ34" i="610"/>
  <c r="AT34" i="610"/>
  <c r="AJ34" i="610"/>
  <c r="X34" i="610"/>
  <c r="T34" i="610"/>
  <c r="L34" i="610"/>
  <c r="M34" i="610" s="1"/>
  <c r="H34" i="610"/>
  <c r="E34" i="610"/>
  <c r="AJ33" i="610"/>
  <c r="X33" i="610"/>
  <c r="T33" i="610"/>
  <c r="L33" i="610"/>
  <c r="K33" i="610" s="1"/>
  <c r="H33" i="610"/>
  <c r="E33" i="610"/>
  <c r="AJ32" i="610"/>
  <c r="X32" i="610"/>
  <c r="T32" i="610"/>
  <c r="L32" i="610"/>
  <c r="M32" i="610" s="1"/>
  <c r="H32" i="610"/>
  <c r="E32" i="610"/>
  <c r="AT31" i="610"/>
  <c r="AJ31" i="610"/>
  <c r="X31" i="610"/>
  <c r="T31" i="610"/>
  <c r="L31" i="610"/>
  <c r="M31" i="610" s="1"/>
  <c r="H31" i="610"/>
  <c r="E31" i="610"/>
  <c r="AT30" i="610"/>
  <c r="AJ30" i="610"/>
  <c r="X30" i="610"/>
  <c r="T30" i="610"/>
  <c r="L30" i="610"/>
  <c r="M30" i="610" s="1"/>
  <c r="H30" i="610"/>
  <c r="E30" i="610"/>
  <c r="AT29" i="610"/>
  <c r="AJ29" i="610"/>
  <c r="X29" i="610"/>
  <c r="T29" i="610"/>
  <c r="L29" i="610"/>
  <c r="M29" i="610" s="1"/>
  <c r="H29" i="610"/>
  <c r="E29" i="610"/>
  <c r="AT28" i="610"/>
  <c r="AJ28" i="610"/>
  <c r="X28" i="610"/>
  <c r="T28" i="610"/>
  <c r="L28" i="610"/>
  <c r="M28" i="610" s="1"/>
  <c r="H28" i="610"/>
  <c r="E28" i="610"/>
  <c r="AT27" i="610"/>
  <c r="AJ27" i="610"/>
  <c r="X27" i="610"/>
  <c r="T27" i="610"/>
  <c r="L27" i="610"/>
  <c r="M27" i="610" s="1"/>
  <c r="H27" i="610"/>
  <c r="E27" i="610"/>
  <c r="AT26" i="610"/>
  <c r="AJ26" i="610"/>
  <c r="X26" i="610"/>
  <c r="T26" i="610"/>
  <c r="L26" i="610"/>
  <c r="M26" i="610" s="1"/>
  <c r="H26" i="610"/>
  <c r="E26" i="610"/>
  <c r="AT25" i="610"/>
  <c r="AJ25" i="610"/>
  <c r="X25" i="610"/>
  <c r="T25" i="610"/>
  <c r="L25" i="610"/>
  <c r="M25" i="610" s="1"/>
  <c r="H25" i="610"/>
  <c r="E25" i="610"/>
  <c r="AT24" i="610"/>
  <c r="AJ24" i="610"/>
  <c r="X24" i="610"/>
  <c r="T24" i="610"/>
  <c r="L24" i="610"/>
  <c r="M24" i="610" s="1"/>
  <c r="K24" i="610"/>
  <c r="H24" i="610"/>
  <c r="E24" i="610"/>
  <c r="AT23" i="610"/>
  <c r="AJ23" i="610"/>
  <c r="X23" i="610"/>
  <c r="T23" i="610"/>
  <c r="L23" i="610"/>
  <c r="M23" i="610" s="1"/>
  <c r="K23" i="610"/>
  <c r="H23" i="610"/>
  <c r="E23" i="610"/>
  <c r="AT22" i="610"/>
  <c r="AJ22" i="610"/>
  <c r="X22" i="610"/>
  <c r="T22" i="610"/>
  <c r="L22" i="610"/>
  <c r="M22" i="610" s="1"/>
  <c r="H22" i="610"/>
  <c r="E22" i="610"/>
  <c r="AT21" i="610"/>
  <c r="AJ21" i="610"/>
  <c r="X21" i="610"/>
  <c r="T21" i="610"/>
  <c r="L21" i="610"/>
  <c r="M21" i="610" s="1"/>
  <c r="H21" i="610"/>
  <c r="E21" i="610"/>
  <c r="AT20" i="610"/>
  <c r="AJ20" i="610"/>
  <c r="X20" i="610"/>
  <c r="T20" i="610"/>
  <c r="L20" i="610"/>
  <c r="M20" i="610" s="1"/>
  <c r="H20" i="610"/>
  <c r="E20" i="610"/>
  <c r="AT19" i="610"/>
  <c r="AJ19" i="610"/>
  <c r="X19" i="610"/>
  <c r="T19" i="610"/>
  <c r="L19" i="610"/>
  <c r="M19" i="610" s="1"/>
  <c r="H19" i="610"/>
  <c r="E19" i="610"/>
  <c r="AT18" i="610"/>
  <c r="AJ18" i="610"/>
  <c r="X18" i="610"/>
  <c r="T18" i="610"/>
  <c r="L18" i="610"/>
  <c r="M18" i="610" s="1"/>
  <c r="H18" i="610"/>
  <c r="E18" i="610"/>
  <c r="AT17" i="610"/>
  <c r="AJ17" i="610"/>
  <c r="X17" i="610"/>
  <c r="T17" i="610"/>
  <c r="L17" i="610"/>
  <c r="M17" i="610" s="1"/>
  <c r="H17" i="610"/>
  <c r="E17" i="610"/>
  <c r="AT16" i="610"/>
  <c r="AJ16" i="610"/>
  <c r="X16" i="610"/>
  <c r="T16" i="610"/>
  <c r="L16" i="610"/>
  <c r="M16" i="610" s="1"/>
  <c r="H16" i="610"/>
  <c r="E16" i="610"/>
  <c r="AT15" i="610"/>
  <c r="AJ15" i="610"/>
  <c r="X15" i="610"/>
  <c r="T15" i="610"/>
  <c r="L15" i="610"/>
  <c r="M15" i="610" s="1"/>
  <c r="H15" i="610"/>
  <c r="E15" i="610"/>
  <c r="AT14" i="610"/>
  <c r="AJ14" i="610"/>
  <c r="X14" i="610"/>
  <c r="T14" i="610"/>
  <c r="L14" i="610"/>
  <c r="M14" i="610" s="1"/>
  <c r="H14" i="610"/>
  <c r="E14" i="610"/>
  <c r="AT13" i="610"/>
  <c r="X13" i="610"/>
  <c r="L13" i="610"/>
  <c r="M13" i="610" s="1"/>
  <c r="H13" i="610"/>
  <c r="E13" i="610"/>
  <c r="AJ13" i="610"/>
  <c r="T13" i="610"/>
  <c r="K18" i="610" l="1"/>
  <c r="U21" i="610"/>
  <c r="U28" i="610"/>
  <c r="U32" i="610"/>
  <c r="V34" i="610"/>
  <c r="U35" i="610"/>
  <c r="V20" i="610"/>
  <c r="V26" i="610"/>
  <c r="AK26" i="610" s="1"/>
  <c r="V27" i="610"/>
  <c r="V31" i="610"/>
  <c r="AT37" i="610"/>
  <c r="U14" i="610"/>
  <c r="U19" i="610"/>
  <c r="U25" i="610"/>
  <c r="V30" i="610"/>
  <c r="U33" i="610"/>
  <c r="U16" i="610"/>
  <c r="K13" i="610"/>
  <c r="V17" i="610"/>
  <c r="V18" i="610"/>
  <c r="U22" i="610"/>
  <c r="V23" i="610"/>
  <c r="AK23" i="610" s="1"/>
  <c r="V24" i="610"/>
  <c r="AK24" i="610" s="1"/>
  <c r="K27" i="610"/>
  <c r="V29" i="610"/>
  <c r="AK29" i="610" s="1"/>
  <c r="U36" i="610"/>
  <c r="V36" i="610"/>
  <c r="AK36" i="610" s="1"/>
  <c r="V35" i="610"/>
  <c r="AK35" i="610" s="1"/>
  <c r="K34" i="610"/>
  <c r="V33" i="610"/>
  <c r="AK33" i="610" s="1"/>
  <c r="K32" i="610"/>
  <c r="V32" i="610"/>
  <c r="AK32" i="610" s="1"/>
  <c r="K31" i="610"/>
  <c r="U31" i="610"/>
  <c r="K30" i="610"/>
  <c r="AK30" i="610"/>
  <c r="U29" i="610"/>
  <c r="K28" i="610"/>
  <c r="V28" i="610"/>
  <c r="AK28" i="610" s="1"/>
  <c r="K26" i="610"/>
  <c r="V25" i="610"/>
  <c r="K22" i="610"/>
  <c r="V21" i="610"/>
  <c r="AK21" i="610" s="1"/>
  <c r="V22" i="610"/>
  <c r="AK22" i="610" s="1"/>
  <c r="K20" i="610"/>
  <c r="K19" i="610"/>
  <c r="V19" i="610"/>
  <c r="AK19" i="610" s="1"/>
  <c r="AK18" i="610"/>
  <c r="U18" i="610"/>
  <c r="U15" i="610"/>
  <c r="V15" i="610"/>
  <c r="AK15" i="610" s="1"/>
  <c r="V16" i="610"/>
  <c r="AK16" i="610" s="1"/>
  <c r="K16" i="610"/>
  <c r="K15" i="610"/>
  <c r="K14" i="610"/>
  <c r="AK31" i="610"/>
  <c r="AK25" i="610"/>
  <c r="AK27" i="610"/>
  <c r="AK17" i="610"/>
  <c r="AK20" i="610"/>
  <c r="U17" i="610"/>
  <c r="U24" i="610"/>
  <c r="U27" i="610"/>
  <c r="V14" i="610"/>
  <c r="AK14" i="610" s="1"/>
  <c r="U20" i="610"/>
  <c r="U23" i="610"/>
  <c r="U26" i="610"/>
  <c r="U30" i="610"/>
  <c r="K17" i="610"/>
  <c r="K21" i="610"/>
  <c r="K25" i="610"/>
  <c r="K29" i="610"/>
  <c r="V13" i="610"/>
  <c r="AK13" i="610" s="1"/>
  <c r="U13" i="610"/>
  <c r="T37" i="610"/>
  <c r="AJ37" i="610"/>
  <c r="AK34" i="610"/>
  <c r="M33" i="610"/>
  <c r="M35" i="610"/>
  <c r="M36" i="610"/>
  <c r="U34" i="610"/>
  <c r="AI8" i="610"/>
  <c r="V37" i="610" l="1"/>
  <c r="AK37" i="610" s="1"/>
  <c r="U37" i="610"/>
  <c r="AI11" i="609" l="1"/>
  <c r="AI8" i="609" s="1"/>
  <c r="S11" i="609"/>
  <c r="T13" i="609" s="1"/>
  <c r="AU37" i="609"/>
  <c r="AS37" i="609"/>
  <c r="AT36" i="609"/>
  <c r="AJ36" i="609"/>
  <c r="X36" i="609"/>
  <c r="T36" i="609"/>
  <c r="L36" i="609"/>
  <c r="K36" i="609" s="1"/>
  <c r="H36" i="609"/>
  <c r="E36" i="609"/>
  <c r="AT35" i="609"/>
  <c r="AJ35" i="609"/>
  <c r="X35" i="609"/>
  <c r="T35" i="609"/>
  <c r="L35" i="609"/>
  <c r="K35" i="609" s="1"/>
  <c r="H35" i="609"/>
  <c r="E35" i="609"/>
  <c r="AZ34" i="609"/>
  <c r="AT34" i="609"/>
  <c r="AJ34" i="609"/>
  <c r="X34" i="609"/>
  <c r="T34" i="609"/>
  <c r="L34" i="609"/>
  <c r="K34" i="609" s="1"/>
  <c r="H34" i="609"/>
  <c r="E34" i="609"/>
  <c r="AJ33" i="609"/>
  <c r="X33" i="609"/>
  <c r="T33" i="609"/>
  <c r="L33" i="609"/>
  <c r="K33" i="609" s="1"/>
  <c r="H33" i="609"/>
  <c r="E33" i="609"/>
  <c r="AJ32" i="609"/>
  <c r="X32" i="609"/>
  <c r="T32" i="609"/>
  <c r="L32" i="609"/>
  <c r="K32" i="609" s="1"/>
  <c r="H32" i="609"/>
  <c r="E32" i="609"/>
  <c r="AT31" i="609"/>
  <c r="AJ31" i="609"/>
  <c r="X31" i="609"/>
  <c r="T31" i="609"/>
  <c r="L31" i="609"/>
  <c r="M31" i="609" s="1"/>
  <c r="H31" i="609"/>
  <c r="E31" i="609"/>
  <c r="AT30" i="609"/>
  <c r="AJ30" i="609"/>
  <c r="X30" i="609"/>
  <c r="T30" i="609"/>
  <c r="L30" i="609"/>
  <c r="K30" i="609" s="1"/>
  <c r="H30" i="609"/>
  <c r="E30" i="609"/>
  <c r="AT29" i="609"/>
  <c r="AJ29" i="609"/>
  <c r="X29" i="609"/>
  <c r="T29" i="609"/>
  <c r="L29" i="609"/>
  <c r="K29" i="609" s="1"/>
  <c r="H29" i="609"/>
  <c r="E29" i="609"/>
  <c r="AT28" i="609"/>
  <c r="AJ28" i="609"/>
  <c r="X28" i="609"/>
  <c r="T28" i="609"/>
  <c r="L28" i="609"/>
  <c r="K28" i="609" s="1"/>
  <c r="H28" i="609"/>
  <c r="E28" i="609"/>
  <c r="AT27" i="609"/>
  <c r="AJ27" i="609"/>
  <c r="X27" i="609"/>
  <c r="T27" i="609"/>
  <c r="L27" i="609"/>
  <c r="K27" i="609" s="1"/>
  <c r="H27" i="609"/>
  <c r="E27" i="609"/>
  <c r="AT26" i="609"/>
  <c r="AJ26" i="609"/>
  <c r="X26" i="609"/>
  <c r="T26" i="609"/>
  <c r="L26" i="609"/>
  <c r="K26" i="609" s="1"/>
  <c r="H26" i="609"/>
  <c r="E26" i="609"/>
  <c r="AT25" i="609"/>
  <c r="AJ25" i="609"/>
  <c r="X25" i="609"/>
  <c r="T25" i="609"/>
  <c r="L25" i="609"/>
  <c r="K25" i="609" s="1"/>
  <c r="H25" i="609"/>
  <c r="E25" i="609"/>
  <c r="AT24" i="609"/>
  <c r="AJ24" i="609"/>
  <c r="X24" i="609"/>
  <c r="T24" i="609"/>
  <c r="L24" i="609"/>
  <c r="K24" i="609" s="1"/>
  <c r="H24" i="609"/>
  <c r="E24" i="609"/>
  <c r="AT23" i="609"/>
  <c r="AJ23" i="609"/>
  <c r="X23" i="609"/>
  <c r="T23" i="609"/>
  <c r="L23" i="609"/>
  <c r="K23" i="609" s="1"/>
  <c r="H23" i="609"/>
  <c r="E23" i="609"/>
  <c r="AT22" i="609"/>
  <c r="AJ22" i="609"/>
  <c r="X22" i="609"/>
  <c r="T22" i="609"/>
  <c r="L22" i="609"/>
  <c r="K22" i="609" s="1"/>
  <c r="H22" i="609"/>
  <c r="E22" i="609"/>
  <c r="AT21" i="609"/>
  <c r="AJ21" i="609"/>
  <c r="X21" i="609"/>
  <c r="T21" i="609"/>
  <c r="L21" i="609"/>
  <c r="K21" i="609" s="1"/>
  <c r="H21" i="609"/>
  <c r="E21" i="609"/>
  <c r="AT20" i="609"/>
  <c r="AJ20" i="609"/>
  <c r="X20" i="609"/>
  <c r="T20" i="609"/>
  <c r="L20" i="609"/>
  <c r="K20" i="609" s="1"/>
  <c r="H20" i="609"/>
  <c r="E20" i="609"/>
  <c r="AT19" i="609"/>
  <c r="AJ19" i="609"/>
  <c r="X19" i="609"/>
  <c r="T19" i="609"/>
  <c r="L19" i="609"/>
  <c r="K19" i="609" s="1"/>
  <c r="H19" i="609"/>
  <c r="E19" i="609"/>
  <c r="AT18" i="609"/>
  <c r="AJ18" i="609"/>
  <c r="X18" i="609"/>
  <c r="T18" i="609"/>
  <c r="L18" i="609"/>
  <c r="K18" i="609" s="1"/>
  <c r="H18" i="609"/>
  <c r="E18" i="609"/>
  <c r="AT17" i="609"/>
  <c r="AJ17" i="609"/>
  <c r="X17" i="609"/>
  <c r="T17" i="609"/>
  <c r="L17" i="609"/>
  <c r="K17" i="609" s="1"/>
  <c r="H17" i="609"/>
  <c r="E17" i="609"/>
  <c r="AT16" i="609"/>
  <c r="AJ16" i="609"/>
  <c r="X16" i="609"/>
  <c r="T16" i="609"/>
  <c r="L16" i="609"/>
  <c r="K16" i="609" s="1"/>
  <c r="H16" i="609"/>
  <c r="E16" i="609"/>
  <c r="AT15" i="609"/>
  <c r="AJ15" i="609"/>
  <c r="X15" i="609"/>
  <c r="T15" i="609"/>
  <c r="L15" i="609"/>
  <c r="K15" i="609" s="1"/>
  <c r="H15" i="609"/>
  <c r="E15" i="609"/>
  <c r="AT14" i="609"/>
  <c r="AJ14" i="609"/>
  <c r="X14" i="609"/>
  <c r="T14" i="609"/>
  <c r="L14" i="609"/>
  <c r="M14" i="609" s="1"/>
  <c r="H14" i="609"/>
  <c r="E14" i="609"/>
  <c r="AT13" i="609"/>
  <c r="X13" i="609"/>
  <c r="L13" i="609"/>
  <c r="M13" i="609" s="1"/>
  <c r="H13" i="609"/>
  <c r="E13" i="609"/>
  <c r="K13" i="609" l="1"/>
  <c r="AT37" i="609"/>
  <c r="M16" i="609"/>
  <c r="M24" i="609"/>
  <c r="V15" i="609"/>
  <c r="V16" i="609"/>
  <c r="AK16" i="609" s="1"/>
  <c r="V21" i="609"/>
  <c r="V26" i="609"/>
  <c r="AK26" i="609" s="1"/>
  <c r="V14" i="609"/>
  <c r="V20" i="609"/>
  <c r="V25" i="609"/>
  <c r="M18" i="609"/>
  <c r="V19" i="609"/>
  <c r="V23" i="609"/>
  <c r="AK23" i="609" s="1"/>
  <c r="V24" i="609"/>
  <c r="AK24" i="609" s="1"/>
  <c r="M28" i="609"/>
  <c r="V29" i="609"/>
  <c r="V17" i="609"/>
  <c r="AK17" i="609" s="1"/>
  <c r="V18" i="609"/>
  <c r="AK18" i="609" s="1"/>
  <c r="V22" i="609"/>
  <c r="V27" i="609"/>
  <c r="V28" i="609"/>
  <c r="AK28" i="609" s="1"/>
  <c r="U36" i="609"/>
  <c r="U35" i="609"/>
  <c r="V34" i="609"/>
  <c r="AK34" i="609" s="1"/>
  <c r="U33" i="609"/>
  <c r="V32" i="609"/>
  <c r="AK32" i="609" s="1"/>
  <c r="V31" i="609"/>
  <c r="AK31" i="609" s="1"/>
  <c r="V30" i="609"/>
  <c r="AK30" i="609" s="1"/>
  <c r="M30" i="609"/>
  <c r="U29" i="609"/>
  <c r="AK29" i="609"/>
  <c r="U28" i="609"/>
  <c r="AK27" i="609"/>
  <c r="M26" i="609"/>
  <c r="AK25" i="609"/>
  <c r="U25" i="609"/>
  <c r="M22" i="609"/>
  <c r="M20" i="609"/>
  <c r="U17" i="609"/>
  <c r="U16" i="609"/>
  <c r="AK14" i="609"/>
  <c r="AK15" i="609"/>
  <c r="AK21" i="609"/>
  <c r="AK22" i="609"/>
  <c r="AK19" i="609"/>
  <c r="AK20" i="609"/>
  <c r="AJ13" i="609"/>
  <c r="U20" i="609"/>
  <c r="U21" i="609"/>
  <c r="U24" i="609"/>
  <c r="U26" i="609"/>
  <c r="U27" i="609"/>
  <c r="V35" i="609"/>
  <c r="AK35" i="609" s="1"/>
  <c r="V36" i="609"/>
  <c r="AK36" i="609" s="1"/>
  <c r="U18" i="609"/>
  <c r="U19" i="609"/>
  <c r="U15" i="609"/>
  <c r="U22" i="609"/>
  <c r="U23" i="609"/>
  <c r="U30" i="609"/>
  <c r="U31" i="609"/>
  <c r="U32" i="609"/>
  <c r="U34" i="609"/>
  <c r="V33" i="609"/>
  <c r="AK33" i="609" s="1"/>
  <c r="U14" i="609"/>
  <c r="M15" i="609"/>
  <c r="M17" i="609"/>
  <c r="M19" i="609"/>
  <c r="M21" i="609"/>
  <c r="M23" i="609"/>
  <c r="M25" i="609"/>
  <c r="M27" i="609"/>
  <c r="M29" i="609"/>
  <c r="M32" i="609"/>
  <c r="M34" i="609"/>
  <c r="K14" i="609"/>
  <c r="K31" i="609"/>
  <c r="U13" i="609"/>
  <c r="T37" i="609"/>
  <c r="V13" i="609"/>
  <c r="M33" i="609"/>
  <c r="M35" i="609"/>
  <c r="M36" i="609"/>
  <c r="AJ37" i="609" l="1"/>
  <c r="AK13" i="609"/>
  <c r="V37" i="609"/>
  <c r="U37" i="609"/>
  <c r="AK37" i="609" l="1"/>
  <c r="AI11" i="608" l="1"/>
  <c r="AJ13" i="608" s="1"/>
  <c r="S11" i="608"/>
  <c r="AU37" i="608"/>
  <c r="AS37" i="608"/>
  <c r="AT36" i="608"/>
  <c r="AJ36" i="608"/>
  <c r="X36" i="608"/>
  <c r="T36" i="608"/>
  <c r="L36" i="608"/>
  <c r="K36" i="608" s="1"/>
  <c r="H36" i="608"/>
  <c r="E36" i="608"/>
  <c r="AT35" i="608"/>
  <c r="AJ35" i="608"/>
  <c r="X35" i="608"/>
  <c r="T35" i="608"/>
  <c r="L35" i="608"/>
  <c r="K35" i="608" s="1"/>
  <c r="H35" i="608"/>
  <c r="E35" i="608"/>
  <c r="AZ34" i="608"/>
  <c r="AT34" i="608"/>
  <c r="AJ34" i="608"/>
  <c r="X34" i="608"/>
  <c r="T34" i="608"/>
  <c r="L34" i="608"/>
  <c r="M34" i="608" s="1"/>
  <c r="H34" i="608"/>
  <c r="E34" i="608"/>
  <c r="AJ33" i="608"/>
  <c r="X33" i="608"/>
  <c r="T33" i="608"/>
  <c r="L33" i="608"/>
  <c r="K33" i="608" s="1"/>
  <c r="H33" i="608"/>
  <c r="E33" i="608"/>
  <c r="AJ32" i="608"/>
  <c r="X32" i="608"/>
  <c r="T32" i="608"/>
  <c r="L32" i="608"/>
  <c r="M32" i="608" s="1"/>
  <c r="H32" i="608"/>
  <c r="E32" i="608"/>
  <c r="AT31" i="608"/>
  <c r="AJ31" i="608"/>
  <c r="X31" i="608"/>
  <c r="T31" i="608"/>
  <c r="L31" i="608"/>
  <c r="K31" i="608" s="1"/>
  <c r="H31" i="608"/>
  <c r="E31" i="608"/>
  <c r="AT30" i="608"/>
  <c r="AJ30" i="608"/>
  <c r="X30" i="608"/>
  <c r="T30" i="608"/>
  <c r="L30" i="608"/>
  <c r="M30" i="608" s="1"/>
  <c r="K30" i="608"/>
  <c r="H30" i="608"/>
  <c r="E30" i="608"/>
  <c r="AT29" i="608"/>
  <c r="AJ29" i="608"/>
  <c r="X29" i="608"/>
  <c r="T29" i="608"/>
  <c r="L29" i="608"/>
  <c r="K29" i="608" s="1"/>
  <c r="H29" i="608"/>
  <c r="E29" i="608"/>
  <c r="AT28" i="608"/>
  <c r="AJ28" i="608"/>
  <c r="X28" i="608"/>
  <c r="T28" i="608"/>
  <c r="L28" i="608"/>
  <c r="M28" i="608" s="1"/>
  <c r="H28" i="608"/>
  <c r="E28" i="608"/>
  <c r="AT27" i="608"/>
  <c r="AJ27" i="608"/>
  <c r="X27" i="608"/>
  <c r="T27" i="608"/>
  <c r="L27" i="608"/>
  <c r="K27" i="608" s="1"/>
  <c r="H27" i="608"/>
  <c r="E27" i="608"/>
  <c r="AT26" i="608"/>
  <c r="AJ26" i="608"/>
  <c r="X26" i="608"/>
  <c r="T26" i="608"/>
  <c r="L26" i="608"/>
  <c r="M26" i="608" s="1"/>
  <c r="H26" i="608"/>
  <c r="E26" i="608"/>
  <c r="AT25" i="608"/>
  <c r="AJ25" i="608"/>
  <c r="X25" i="608"/>
  <c r="T25" i="608"/>
  <c r="L25" i="608"/>
  <c r="K25" i="608" s="1"/>
  <c r="H25" i="608"/>
  <c r="E25" i="608"/>
  <c r="AT24" i="608"/>
  <c r="AJ24" i="608"/>
  <c r="X24" i="608"/>
  <c r="T24" i="608"/>
  <c r="L24" i="608"/>
  <c r="M24" i="608" s="1"/>
  <c r="H24" i="608"/>
  <c r="E24" i="608"/>
  <c r="AT23" i="608"/>
  <c r="AJ23" i="608"/>
  <c r="X23" i="608"/>
  <c r="T23" i="608"/>
  <c r="L23" i="608"/>
  <c r="K23" i="608" s="1"/>
  <c r="H23" i="608"/>
  <c r="E23" i="608"/>
  <c r="AT22" i="608"/>
  <c r="AJ22" i="608"/>
  <c r="X22" i="608"/>
  <c r="T22" i="608"/>
  <c r="L22" i="608"/>
  <c r="M22" i="608" s="1"/>
  <c r="H22" i="608"/>
  <c r="E22" i="608"/>
  <c r="AT21" i="608"/>
  <c r="AJ21" i="608"/>
  <c r="X21" i="608"/>
  <c r="T21" i="608"/>
  <c r="L21" i="608"/>
  <c r="K21" i="608" s="1"/>
  <c r="H21" i="608"/>
  <c r="E21" i="608"/>
  <c r="AT20" i="608"/>
  <c r="AJ20" i="608"/>
  <c r="X20" i="608"/>
  <c r="T20" i="608"/>
  <c r="L20" i="608"/>
  <c r="M20" i="608" s="1"/>
  <c r="H20" i="608"/>
  <c r="E20" i="608"/>
  <c r="AT19" i="608"/>
  <c r="AJ19" i="608"/>
  <c r="X19" i="608"/>
  <c r="T19" i="608"/>
  <c r="L19" i="608"/>
  <c r="K19" i="608" s="1"/>
  <c r="H19" i="608"/>
  <c r="E19" i="608"/>
  <c r="AT18" i="608"/>
  <c r="AJ18" i="608"/>
  <c r="X18" i="608"/>
  <c r="T18" i="608"/>
  <c r="L18" i="608"/>
  <c r="M18" i="608" s="1"/>
  <c r="H18" i="608"/>
  <c r="E18" i="608"/>
  <c r="AT17" i="608"/>
  <c r="AJ17" i="608"/>
  <c r="X17" i="608"/>
  <c r="T17" i="608"/>
  <c r="L17" i="608"/>
  <c r="K17" i="608" s="1"/>
  <c r="H17" i="608"/>
  <c r="E17" i="608"/>
  <c r="AT16" i="608"/>
  <c r="AJ16" i="608"/>
  <c r="X16" i="608"/>
  <c r="T16" i="608"/>
  <c r="L16" i="608"/>
  <c r="M16" i="608" s="1"/>
  <c r="H16" i="608"/>
  <c r="E16" i="608"/>
  <c r="AT15" i="608"/>
  <c r="AJ15" i="608"/>
  <c r="X15" i="608"/>
  <c r="T15" i="608"/>
  <c r="L15" i="608"/>
  <c r="K15" i="608" s="1"/>
  <c r="H15" i="608"/>
  <c r="E15" i="608"/>
  <c r="AT14" i="608"/>
  <c r="AJ14" i="608"/>
  <c r="X14" i="608"/>
  <c r="T14" i="608"/>
  <c r="L14" i="608"/>
  <c r="M14" i="608" s="1"/>
  <c r="H14" i="608"/>
  <c r="E14" i="608"/>
  <c r="AT13" i="608"/>
  <c r="X13" i="608"/>
  <c r="L13" i="608"/>
  <c r="M13" i="608" s="1"/>
  <c r="H13" i="608"/>
  <c r="E13" i="608"/>
  <c r="T13" i="608"/>
  <c r="AI8" i="608"/>
  <c r="K13" i="608" l="1"/>
  <c r="AT37" i="608"/>
  <c r="K28" i="608"/>
  <c r="V18" i="608"/>
  <c r="AK18" i="608" s="1"/>
  <c r="V22" i="608"/>
  <c r="V26" i="608"/>
  <c r="AK26" i="608" s="1"/>
  <c r="V32" i="608"/>
  <c r="AK32" i="608" s="1"/>
  <c r="V36" i="608"/>
  <c r="AK36" i="608" s="1"/>
  <c r="V14" i="608"/>
  <c r="V17" i="608"/>
  <c r="AK17" i="608" s="1"/>
  <c r="V21" i="608"/>
  <c r="V25" i="608"/>
  <c r="AK25" i="608" s="1"/>
  <c r="V31" i="608"/>
  <c r="V34" i="608"/>
  <c r="AK34" i="608" s="1"/>
  <c r="V35" i="608"/>
  <c r="V16" i="608"/>
  <c r="AK16" i="608" s="1"/>
  <c r="V20" i="608"/>
  <c r="V24" i="608"/>
  <c r="V29" i="608"/>
  <c r="V30" i="608"/>
  <c r="AK30" i="608" s="1"/>
  <c r="U33" i="608"/>
  <c r="V15" i="608"/>
  <c r="V19" i="608"/>
  <c r="V23" i="608"/>
  <c r="AK23" i="608" s="1"/>
  <c r="V27" i="608"/>
  <c r="V28" i="608"/>
  <c r="AK28" i="608" s="1"/>
  <c r="K34" i="608"/>
  <c r="K32" i="608"/>
  <c r="U32" i="608"/>
  <c r="U29" i="608"/>
  <c r="U28" i="608"/>
  <c r="U27" i="608"/>
  <c r="U26" i="608"/>
  <c r="U25" i="608"/>
  <c r="AK22" i="608"/>
  <c r="AK19" i="608"/>
  <c r="AK15" i="608"/>
  <c r="AJ37" i="608"/>
  <c r="AK14" i="608"/>
  <c r="AK21" i="608"/>
  <c r="AK27" i="608"/>
  <c r="AK20" i="608"/>
  <c r="AK24" i="608"/>
  <c r="AK29" i="608"/>
  <c r="AK31" i="608"/>
  <c r="U30" i="608"/>
  <c r="U31" i="608"/>
  <c r="V33" i="608"/>
  <c r="AK33" i="608" s="1"/>
  <c r="U34" i="608"/>
  <c r="AK35" i="608"/>
  <c r="U14" i="608"/>
  <c r="U15" i="608"/>
  <c r="U16" i="608"/>
  <c r="U17" i="608"/>
  <c r="U18" i="608"/>
  <c r="U19" i="608"/>
  <c r="U20" i="608"/>
  <c r="U21" i="608"/>
  <c r="U22" i="608"/>
  <c r="U23" i="608"/>
  <c r="U24" i="608"/>
  <c r="K14" i="608"/>
  <c r="M15" i="608"/>
  <c r="K16" i="608"/>
  <c r="M17" i="608"/>
  <c r="K18" i="608"/>
  <c r="M19" i="608"/>
  <c r="K20" i="608"/>
  <c r="M21" i="608"/>
  <c r="K22" i="608"/>
  <c r="M23" i="608"/>
  <c r="K24" i="608"/>
  <c r="M25" i="608"/>
  <c r="K26" i="608"/>
  <c r="M27" i="608"/>
  <c r="M29" i="608"/>
  <c r="M31" i="608"/>
  <c r="U13" i="608"/>
  <c r="T37" i="608"/>
  <c r="V13" i="608"/>
  <c r="AK13" i="608" s="1"/>
  <c r="M33" i="608"/>
  <c r="M35" i="608"/>
  <c r="M36" i="608"/>
  <c r="U35" i="608"/>
  <c r="U36" i="608"/>
  <c r="V37" i="608" l="1"/>
  <c r="AK37" i="608" s="1"/>
  <c r="U37" i="608"/>
  <c r="AI11" i="607" l="1"/>
  <c r="AI8" i="607" s="1"/>
  <c r="S11" i="607"/>
  <c r="T13" i="607" s="1"/>
  <c r="AU37" i="607"/>
  <c r="AS37" i="607"/>
  <c r="AT36" i="607"/>
  <c r="AJ36" i="607"/>
  <c r="X36" i="607"/>
  <c r="T36" i="607"/>
  <c r="L36" i="607"/>
  <c r="K36" i="607" s="1"/>
  <c r="H36" i="607"/>
  <c r="E36" i="607"/>
  <c r="AT35" i="607"/>
  <c r="AJ35" i="607"/>
  <c r="X35" i="607"/>
  <c r="T35" i="607"/>
  <c r="L35" i="607"/>
  <c r="K35" i="607" s="1"/>
  <c r="H35" i="607"/>
  <c r="E35" i="607"/>
  <c r="AZ34" i="607"/>
  <c r="AT34" i="607"/>
  <c r="AJ34" i="607"/>
  <c r="X34" i="607"/>
  <c r="T34" i="607"/>
  <c r="L34" i="607"/>
  <c r="K34" i="607" s="1"/>
  <c r="H34" i="607"/>
  <c r="E34" i="607"/>
  <c r="AJ33" i="607"/>
  <c r="X33" i="607"/>
  <c r="T33" i="607"/>
  <c r="L33" i="607"/>
  <c r="K33" i="607" s="1"/>
  <c r="H33" i="607"/>
  <c r="E33" i="607"/>
  <c r="AJ32" i="607"/>
  <c r="X32" i="607"/>
  <c r="T32" i="607"/>
  <c r="L32" i="607"/>
  <c r="M32" i="607" s="1"/>
  <c r="H32" i="607"/>
  <c r="E32" i="607"/>
  <c r="AT31" i="607"/>
  <c r="AJ31" i="607"/>
  <c r="X31" i="607"/>
  <c r="T31" i="607"/>
  <c r="L31" i="607"/>
  <c r="K31" i="607" s="1"/>
  <c r="H31" i="607"/>
  <c r="E31" i="607"/>
  <c r="AT30" i="607"/>
  <c r="AJ30" i="607"/>
  <c r="X30" i="607"/>
  <c r="T30" i="607"/>
  <c r="L30" i="607"/>
  <c r="M30" i="607" s="1"/>
  <c r="H30" i="607"/>
  <c r="E30" i="607"/>
  <c r="AT29" i="607"/>
  <c r="AJ29" i="607"/>
  <c r="X29" i="607"/>
  <c r="T29" i="607"/>
  <c r="L29" i="607"/>
  <c r="K29" i="607" s="1"/>
  <c r="H29" i="607"/>
  <c r="E29" i="607"/>
  <c r="AT28" i="607"/>
  <c r="AJ28" i="607"/>
  <c r="X28" i="607"/>
  <c r="T28" i="607"/>
  <c r="L28" i="607"/>
  <c r="M28" i="607" s="1"/>
  <c r="H28" i="607"/>
  <c r="E28" i="607"/>
  <c r="AT27" i="607"/>
  <c r="AJ27" i="607"/>
  <c r="X27" i="607"/>
  <c r="T27" i="607"/>
  <c r="L27" i="607"/>
  <c r="K27" i="607" s="1"/>
  <c r="H27" i="607"/>
  <c r="E27" i="607"/>
  <c r="AT26" i="607"/>
  <c r="AJ26" i="607"/>
  <c r="X26" i="607"/>
  <c r="T26" i="607"/>
  <c r="L26" i="607"/>
  <c r="M26" i="607" s="1"/>
  <c r="H26" i="607"/>
  <c r="E26" i="607"/>
  <c r="AT25" i="607"/>
  <c r="AJ25" i="607"/>
  <c r="X25" i="607"/>
  <c r="T25" i="607"/>
  <c r="L25" i="607"/>
  <c r="K25" i="607" s="1"/>
  <c r="H25" i="607"/>
  <c r="E25" i="607"/>
  <c r="AT24" i="607"/>
  <c r="AJ24" i="607"/>
  <c r="X24" i="607"/>
  <c r="T24" i="607"/>
  <c r="L24" i="607"/>
  <c r="M24" i="607" s="1"/>
  <c r="H24" i="607"/>
  <c r="E24" i="607"/>
  <c r="AT23" i="607"/>
  <c r="AJ23" i="607"/>
  <c r="X23" i="607"/>
  <c r="T23" i="607"/>
  <c r="L23" i="607"/>
  <c r="K23" i="607" s="1"/>
  <c r="H23" i="607"/>
  <c r="E23" i="607"/>
  <c r="AT22" i="607"/>
  <c r="AJ22" i="607"/>
  <c r="X22" i="607"/>
  <c r="T22" i="607"/>
  <c r="L22" i="607"/>
  <c r="M22" i="607" s="1"/>
  <c r="H22" i="607"/>
  <c r="E22" i="607"/>
  <c r="AT21" i="607"/>
  <c r="AJ21" i="607"/>
  <c r="X21" i="607"/>
  <c r="T21" i="607"/>
  <c r="L21" i="607"/>
  <c r="K21" i="607" s="1"/>
  <c r="H21" i="607"/>
  <c r="E21" i="607"/>
  <c r="AT20" i="607"/>
  <c r="AJ20" i="607"/>
  <c r="X20" i="607"/>
  <c r="T20" i="607"/>
  <c r="L20" i="607"/>
  <c r="M20" i="607" s="1"/>
  <c r="H20" i="607"/>
  <c r="E20" i="607"/>
  <c r="AT19" i="607"/>
  <c r="AJ19" i="607"/>
  <c r="X19" i="607"/>
  <c r="T19" i="607"/>
  <c r="L19" i="607"/>
  <c r="K19" i="607" s="1"/>
  <c r="H19" i="607"/>
  <c r="E19" i="607"/>
  <c r="AT18" i="607"/>
  <c r="AJ18" i="607"/>
  <c r="X18" i="607"/>
  <c r="T18" i="607"/>
  <c r="L18" i="607"/>
  <c r="M18" i="607" s="1"/>
  <c r="H18" i="607"/>
  <c r="E18" i="607"/>
  <c r="AT17" i="607"/>
  <c r="AJ17" i="607"/>
  <c r="X17" i="607"/>
  <c r="T17" i="607"/>
  <c r="L17" i="607"/>
  <c r="K17" i="607" s="1"/>
  <c r="H17" i="607"/>
  <c r="E17" i="607"/>
  <c r="AT16" i="607"/>
  <c r="AJ16" i="607"/>
  <c r="X16" i="607"/>
  <c r="T16" i="607"/>
  <c r="L16" i="607"/>
  <c r="M16" i="607" s="1"/>
  <c r="H16" i="607"/>
  <c r="E16" i="607"/>
  <c r="AT15" i="607"/>
  <c r="AJ15" i="607"/>
  <c r="X15" i="607"/>
  <c r="T15" i="607"/>
  <c r="L15" i="607"/>
  <c r="M15" i="607" s="1"/>
  <c r="H15" i="607"/>
  <c r="E15" i="607"/>
  <c r="AT14" i="607"/>
  <c r="AJ14" i="607"/>
  <c r="X14" i="607"/>
  <c r="T14" i="607"/>
  <c r="L14" i="607"/>
  <c r="M14" i="607" s="1"/>
  <c r="H14" i="607"/>
  <c r="E14" i="607"/>
  <c r="AT13" i="607"/>
  <c r="AJ13" i="607"/>
  <c r="X13" i="607"/>
  <c r="L13" i="607"/>
  <c r="M13" i="607" s="1"/>
  <c r="H13" i="607"/>
  <c r="E13" i="607"/>
  <c r="H30" i="606"/>
  <c r="AT37" i="607" l="1"/>
  <c r="V14" i="607"/>
  <c r="V19" i="607"/>
  <c r="V23" i="607"/>
  <c r="V17" i="607"/>
  <c r="V18" i="607"/>
  <c r="AK18" i="607" s="1"/>
  <c r="V22" i="607"/>
  <c r="V16" i="607"/>
  <c r="AK16" i="607" s="1"/>
  <c r="V21" i="607"/>
  <c r="V25" i="607"/>
  <c r="V15" i="607"/>
  <c r="K18" i="607"/>
  <c r="V20" i="607"/>
  <c r="AK20" i="607" s="1"/>
  <c r="V24" i="607"/>
  <c r="AK24" i="607" s="1"/>
  <c r="U28" i="607"/>
  <c r="V36" i="607"/>
  <c r="AK36" i="607" s="1"/>
  <c r="V35" i="607"/>
  <c r="AK35" i="607" s="1"/>
  <c r="V29" i="607"/>
  <c r="V30" i="607"/>
  <c r="V31" i="607"/>
  <c r="V32" i="607"/>
  <c r="AK32" i="607" s="1"/>
  <c r="U29" i="607"/>
  <c r="U30" i="607"/>
  <c r="U31" i="607"/>
  <c r="V34" i="607"/>
  <c r="AK34" i="607" s="1"/>
  <c r="V33" i="607"/>
  <c r="AK33" i="607" s="1"/>
  <c r="K32" i="607"/>
  <c r="K30" i="607"/>
  <c r="K28" i="607"/>
  <c r="V28" i="607"/>
  <c r="AK28" i="607" s="1"/>
  <c r="V26" i="607"/>
  <c r="AK26" i="607" s="1"/>
  <c r="V27" i="607"/>
  <c r="AK27" i="607" s="1"/>
  <c r="K26" i="607"/>
  <c r="K24" i="607"/>
  <c r="AK23" i="607"/>
  <c r="K22" i="607"/>
  <c r="AK22" i="607"/>
  <c r="AK21" i="607"/>
  <c r="U21" i="607"/>
  <c r="K20" i="607"/>
  <c r="U20" i="607"/>
  <c r="AK19" i="607"/>
  <c r="AK17" i="607"/>
  <c r="K16" i="607"/>
  <c r="K13" i="607"/>
  <c r="K14" i="607"/>
  <c r="AJ37" i="607"/>
  <c r="AK15" i="607"/>
  <c r="AK14" i="607"/>
  <c r="AK25" i="607"/>
  <c r="AK30" i="607"/>
  <c r="AK31" i="607"/>
  <c r="AK29" i="607"/>
  <c r="U22" i="607"/>
  <c r="U23" i="607"/>
  <c r="U16" i="607"/>
  <c r="U17" i="607"/>
  <c r="U24" i="607"/>
  <c r="U25" i="607"/>
  <c r="U18" i="607"/>
  <c r="U19" i="607"/>
  <c r="U26" i="607"/>
  <c r="U27" i="607"/>
  <c r="U34" i="607"/>
  <c r="U14" i="607"/>
  <c r="U15" i="607"/>
  <c r="U32" i="607"/>
  <c r="M17" i="607"/>
  <c r="M19" i="607"/>
  <c r="M21" i="607"/>
  <c r="M23" i="607"/>
  <c r="M25" i="607"/>
  <c r="M27" i="607"/>
  <c r="M29" i="607"/>
  <c r="M31" i="607"/>
  <c r="M34" i="607"/>
  <c r="K15" i="607"/>
  <c r="T37" i="607"/>
  <c r="V13" i="607"/>
  <c r="AK13" i="607" s="1"/>
  <c r="U13" i="607"/>
  <c r="M33" i="607"/>
  <c r="M35" i="607"/>
  <c r="M36" i="607"/>
  <c r="U33" i="607"/>
  <c r="U35" i="607"/>
  <c r="U36" i="607"/>
  <c r="V37" i="607" l="1"/>
  <c r="AK37" i="607" s="1"/>
  <c r="U37" i="607"/>
  <c r="AI11" i="606" l="1"/>
  <c r="S11" i="606"/>
  <c r="AU37" i="606"/>
  <c r="AS37" i="606"/>
  <c r="AT36" i="606"/>
  <c r="AJ36" i="606"/>
  <c r="X36" i="606"/>
  <c r="T36" i="606"/>
  <c r="L36" i="606"/>
  <c r="K36" i="606" s="1"/>
  <c r="H36" i="606"/>
  <c r="E36" i="606"/>
  <c r="AT35" i="606"/>
  <c r="AJ35" i="606"/>
  <c r="X35" i="606"/>
  <c r="T35" i="606"/>
  <c r="L35" i="606"/>
  <c r="M35" i="606" s="1"/>
  <c r="H35" i="606"/>
  <c r="E35" i="606"/>
  <c r="AZ34" i="606"/>
  <c r="AT34" i="606"/>
  <c r="AJ34" i="606"/>
  <c r="X34" i="606"/>
  <c r="T34" i="606"/>
  <c r="L34" i="606"/>
  <c r="M34" i="606" s="1"/>
  <c r="H34" i="606"/>
  <c r="E34" i="606"/>
  <c r="AJ33" i="606"/>
  <c r="X33" i="606"/>
  <c r="T33" i="606"/>
  <c r="L33" i="606"/>
  <c r="M33" i="606" s="1"/>
  <c r="H33" i="606"/>
  <c r="E33" i="606"/>
  <c r="AJ32" i="606"/>
  <c r="X32" i="606"/>
  <c r="T32" i="606"/>
  <c r="L32" i="606"/>
  <c r="K32" i="606" s="1"/>
  <c r="H32" i="606"/>
  <c r="E32" i="606"/>
  <c r="AT31" i="606"/>
  <c r="AJ31" i="606"/>
  <c r="X31" i="606"/>
  <c r="T31" i="606"/>
  <c r="L31" i="606"/>
  <c r="K31" i="606" s="1"/>
  <c r="H31" i="606"/>
  <c r="E31" i="606"/>
  <c r="AT30" i="606"/>
  <c r="AJ30" i="606"/>
  <c r="X30" i="606"/>
  <c r="T30" i="606"/>
  <c r="L30" i="606"/>
  <c r="K30" i="606" s="1"/>
  <c r="E30" i="606"/>
  <c r="AT29" i="606"/>
  <c r="AJ29" i="606"/>
  <c r="X29" i="606"/>
  <c r="T29" i="606"/>
  <c r="L29" i="606"/>
  <c r="K29" i="606" s="1"/>
  <c r="H29" i="606"/>
  <c r="E29" i="606"/>
  <c r="AT28" i="606"/>
  <c r="AJ28" i="606"/>
  <c r="X28" i="606"/>
  <c r="T28" i="606"/>
  <c r="L28" i="606"/>
  <c r="K28" i="606" s="1"/>
  <c r="H28" i="606"/>
  <c r="E28" i="606"/>
  <c r="AT27" i="606"/>
  <c r="AJ27" i="606"/>
  <c r="X27" i="606"/>
  <c r="T27" i="606"/>
  <c r="L27" i="606"/>
  <c r="K27" i="606" s="1"/>
  <c r="H27" i="606"/>
  <c r="E27" i="606"/>
  <c r="AT26" i="606"/>
  <c r="AJ26" i="606"/>
  <c r="X26" i="606"/>
  <c r="T26" i="606"/>
  <c r="L26" i="606"/>
  <c r="K26" i="606" s="1"/>
  <c r="H26" i="606"/>
  <c r="E26" i="606"/>
  <c r="AT25" i="606"/>
  <c r="AJ25" i="606"/>
  <c r="X25" i="606"/>
  <c r="T25" i="606"/>
  <c r="L25" i="606"/>
  <c r="K25" i="606" s="1"/>
  <c r="H25" i="606"/>
  <c r="E25" i="606"/>
  <c r="AT24" i="606"/>
  <c r="AJ24" i="606"/>
  <c r="X24" i="606"/>
  <c r="T24" i="606"/>
  <c r="L24" i="606"/>
  <c r="K24" i="606" s="1"/>
  <c r="H24" i="606"/>
  <c r="E24" i="606"/>
  <c r="AT23" i="606"/>
  <c r="AJ23" i="606"/>
  <c r="X23" i="606"/>
  <c r="T23" i="606"/>
  <c r="L23" i="606"/>
  <c r="K23" i="606" s="1"/>
  <c r="H23" i="606"/>
  <c r="E23" i="606"/>
  <c r="AT22" i="606"/>
  <c r="AJ22" i="606"/>
  <c r="X22" i="606"/>
  <c r="T22" i="606"/>
  <c r="L22" i="606"/>
  <c r="K22" i="606" s="1"/>
  <c r="H22" i="606"/>
  <c r="E22" i="606"/>
  <c r="AT21" i="606"/>
  <c r="AJ21" i="606"/>
  <c r="X21" i="606"/>
  <c r="T21" i="606"/>
  <c r="L21" i="606"/>
  <c r="K21" i="606" s="1"/>
  <c r="H21" i="606"/>
  <c r="E21" i="606"/>
  <c r="AT20" i="606"/>
  <c r="AJ20" i="606"/>
  <c r="X20" i="606"/>
  <c r="T20" i="606"/>
  <c r="L20" i="606"/>
  <c r="K20" i="606" s="1"/>
  <c r="H20" i="606"/>
  <c r="E20" i="606"/>
  <c r="AT19" i="606"/>
  <c r="AJ19" i="606"/>
  <c r="X19" i="606"/>
  <c r="T19" i="606"/>
  <c r="L19" i="606"/>
  <c r="K19" i="606" s="1"/>
  <c r="H19" i="606"/>
  <c r="E19" i="606"/>
  <c r="AT18" i="606"/>
  <c r="AJ18" i="606"/>
  <c r="X18" i="606"/>
  <c r="T18" i="606"/>
  <c r="L18" i="606"/>
  <c r="K18" i="606" s="1"/>
  <c r="H18" i="606"/>
  <c r="E18" i="606"/>
  <c r="AT17" i="606"/>
  <c r="AJ17" i="606"/>
  <c r="X17" i="606"/>
  <c r="T17" i="606"/>
  <c r="L17" i="606"/>
  <c r="K17" i="606" s="1"/>
  <c r="H17" i="606"/>
  <c r="E17" i="606"/>
  <c r="AT16" i="606"/>
  <c r="AJ16" i="606"/>
  <c r="X16" i="606"/>
  <c r="T16" i="606"/>
  <c r="L16" i="606"/>
  <c r="K16" i="606" s="1"/>
  <c r="H16" i="606"/>
  <c r="E16" i="606"/>
  <c r="AT15" i="606"/>
  <c r="AJ15" i="606"/>
  <c r="X15" i="606"/>
  <c r="T15" i="606"/>
  <c r="L15" i="606"/>
  <c r="K15" i="606" s="1"/>
  <c r="H15" i="606"/>
  <c r="E15" i="606"/>
  <c r="AT14" i="606"/>
  <c r="AJ14" i="606"/>
  <c r="X14" i="606"/>
  <c r="T14" i="606"/>
  <c r="L14" i="606"/>
  <c r="K14" i="606" s="1"/>
  <c r="H14" i="606"/>
  <c r="E14" i="606"/>
  <c r="AT13" i="606"/>
  <c r="X13" i="606"/>
  <c r="T13" i="606"/>
  <c r="L13" i="606"/>
  <c r="K13" i="606" s="1"/>
  <c r="H13" i="606"/>
  <c r="E13" i="606"/>
  <c r="AJ13" i="606"/>
  <c r="M26" i="606" l="1"/>
  <c r="U13" i="606"/>
  <c r="AT37" i="606"/>
  <c r="U14" i="606"/>
  <c r="U18" i="606"/>
  <c r="U22" i="606"/>
  <c r="U27" i="606"/>
  <c r="U30" i="606"/>
  <c r="V33" i="606"/>
  <c r="U16" i="606"/>
  <c r="U20" i="606"/>
  <c r="U24" i="606"/>
  <c r="U17" i="606"/>
  <c r="U21" i="606"/>
  <c r="U25" i="606"/>
  <c r="U26" i="606"/>
  <c r="V36" i="606"/>
  <c r="U29" i="606"/>
  <c r="U32" i="606"/>
  <c r="V34" i="606"/>
  <c r="AK34" i="606" s="1"/>
  <c r="V35" i="606"/>
  <c r="AK35" i="606" s="1"/>
  <c r="U15" i="606"/>
  <c r="U19" i="606"/>
  <c r="U23" i="606"/>
  <c r="U28" i="606"/>
  <c r="U31" i="606"/>
  <c r="M36" i="606"/>
  <c r="K35" i="606"/>
  <c r="K34" i="606"/>
  <c r="U34" i="606"/>
  <c r="K33" i="606"/>
  <c r="M30" i="606"/>
  <c r="V29" i="606"/>
  <c r="AK29" i="606" s="1"/>
  <c r="V28" i="606"/>
  <c r="V27" i="606"/>
  <c r="AK27" i="606" s="1"/>
  <c r="V26" i="606"/>
  <c r="AK26" i="606" s="1"/>
  <c r="M22" i="606"/>
  <c r="V21" i="606"/>
  <c r="AK21" i="606" s="1"/>
  <c r="V20" i="606"/>
  <c r="AK20" i="606" s="1"/>
  <c r="V19" i="606"/>
  <c r="AK19" i="606" s="1"/>
  <c r="M18" i="606"/>
  <c r="V18" i="606"/>
  <c r="AK18" i="606" s="1"/>
  <c r="V22" i="606"/>
  <c r="AK22" i="606" s="1"/>
  <c r="V23" i="606"/>
  <c r="AK23" i="606" s="1"/>
  <c r="V24" i="606"/>
  <c r="AK24" i="606" s="1"/>
  <c r="V25" i="606"/>
  <c r="AK25" i="606" s="1"/>
  <c r="V14" i="606"/>
  <c r="AK14" i="606" s="1"/>
  <c r="V15" i="606"/>
  <c r="AK15" i="606" s="1"/>
  <c r="V16" i="606"/>
  <c r="AK16" i="606" s="1"/>
  <c r="V17" i="606"/>
  <c r="AK17" i="606" s="1"/>
  <c r="V30" i="606"/>
  <c r="AK30" i="606" s="1"/>
  <c r="V31" i="606"/>
  <c r="AK31" i="606" s="1"/>
  <c r="V32" i="606"/>
  <c r="AK32" i="606" s="1"/>
  <c r="V13" i="606"/>
  <c r="AK13" i="606" s="1"/>
  <c r="M19" i="606"/>
  <c r="M27" i="606"/>
  <c r="M31" i="606"/>
  <c r="M20" i="606"/>
  <c r="M24" i="606"/>
  <c r="M28" i="606"/>
  <c r="M32" i="606"/>
  <c r="M17" i="606"/>
  <c r="M21" i="606"/>
  <c r="M25" i="606"/>
  <c r="M29" i="606"/>
  <c r="M23" i="606"/>
  <c r="AJ37" i="606"/>
  <c r="AK33" i="606"/>
  <c r="AK36" i="606"/>
  <c r="T37" i="606"/>
  <c r="M16" i="606"/>
  <c r="AI8" i="606"/>
  <c r="U33" i="606"/>
  <c r="U35" i="606"/>
  <c r="U36" i="606"/>
  <c r="M13" i="606"/>
  <c r="M14" i="606"/>
  <c r="M15" i="606"/>
  <c r="AK28" i="606"/>
  <c r="V37" i="606" l="1"/>
  <c r="AK37" i="606" s="1"/>
  <c r="U37" i="606"/>
  <c r="S11" i="605" l="1"/>
  <c r="AI11" i="605"/>
  <c r="AU37" i="605" l="1"/>
  <c r="AS37" i="605"/>
  <c r="AT36" i="605"/>
  <c r="AJ36" i="605"/>
  <c r="X36" i="605"/>
  <c r="T36" i="605"/>
  <c r="L36" i="605"/>
  <c r="K36" i="605" s="1"/>
  <c r="H36" i="605"/>
  <c r="E36" i="605"/>
  <c r="AT35" i="605"/>
  <c r="AJ35" i="605"/>
  <c r="X35" i="605"/>
  <c r="T35" i="605"/>
  <c r="L35" i="605"/>
  <c r="K35" i="605" s="1"/>
  <c r="H35" i="605"/>
  <c r="E35" i="605"/>
  <c r="AZ34" i="605"/>
  <c r="AT34" i="605"/>
  <c r="AJ34" i="605"/>
  <c r="X34" i="605"/>
  <c r="T34" i="605"/>
  <c r="L34" i="605"/>
  <c r="K34" i="605" s="1"/>
  <c r="H34" i="605"/>
  <c r="E34" i="605"/>
  <c r="AJ33" i="605"/>
  <c r="X33" i="605"/>
  <c r="T33" i="605"/>
  <c r="L33" i="605"/>
  <c r="K33" i="605" s="1"/>
  <c r="H33" i="605"/>
  <c r="E33" i="605"/>
  <c r="AJ32" i="605"/>
  <c r="X32" i="605"/>
  <c r="T32" i="605"/>
  <c r="L32" i="605"/>
  <c r="K32" i="605" s="1"/>
  <c r="H32" i="605"/>
  <c r="E32" i="605"/>
  <c r="AT31" i="605"/>
  <c r="AJ31" i="605"/>
  <c r="X31" i="605"/>
  <c r="T31" i="605"/>
  <c r="L31" i="605"/>
  <c r="M31" i="605" s="1"/>
  <c r="H31" i="605"/>
  <c r="E31" i="605"/>
  <c r="AT30" i="605"/>
  <c r="AJ30" i="605"/>
  <c r="X30" i="605"/>
  <c r="T30" i="605"/>
  <c r="L30" i="605"/>
  <c r="M30" i="605" s="1"/>
  <c r="H30" i="605"/>
  <c r="E30" i="605"/>
  <c r="AT29" i="605"/>
  <c r="AJ29" i="605"/>
  <c r="X29" i="605"/>
  <c r="T29" i="605"/>
  <c r="L29" i="605"/>
  <c r="M29" i="605" s="1"/>
  <c r="H29" i="605"/>
  <c r="E29" i="605"/>
  <c r="AT28" i="605"/>
  <c r="AJ28" i="605"/>
  <c r="X28" i="605"/>
  <c r="T28" i="605"/>
  <c r="L28" i="605"/>
  <c r="K28" i="605" s="1"/>
  <c r="H28" i="605"/>
  <c r="E28" i="605"/>
  <c r="AT27" i="605"/>
  <c r="AJ27" i="605"/>
  <c r="X27" i="605"/>
  <c r="T27" i="605"/>
  <c r="L27" i="605"/>
  <c r="M27" i="605" s="1"/>
  <c r="H27" i="605"/>
  <c r="E27" i="605"/>
  <c r="AT26" i="605"/>
  <c r="AJ26" i="605"/>
  <c r="X26" i="605"/>
  <c r="T26" i="605"/>
  <c r="L26" i="605"/>
  <c r="K26" i="605" s="1"/>
  <c r="H26" i="605"/>
  <c r="E26" i="605"/>
  <c r="AT25" i="605"/>
  <c r="AJ25" i="605"/>
  <c r="X25" i="605"/>
  <c r="T25" i="605"/>
  <c r="L25" i="605"/>
  <c r="K25" i="605" s="1"/>
  <c r="H25" i="605"/>
  <c r="E25" i="605"/>
  <c r="AT24" i="605"/>
  <c r="AJ24" i="605"/>
  <c r="X24" i="605"/>
  <c r="T24" i="605"/>
  <c r="L24" i="605"/>
  <c r="K24" i="605" s="1"/>
  <c r="H24" i="605"/>
  <c r="E24" i="605"/>
  <c r="AT23" i="605"/>
  <c r="AJ23" i="605"/>
  <c r="X23" i="605"/>
  <c r="T23" i="605"/>
  <c r="L23" i="605"/>
  <c r="M23" i="605" s="1"/>
  <c r="H23" i="605"/>
  <c r="E23" i="605"/>
  <c r="AT22" i="605"/>
  <c r="AJ22" i="605"/>
  <c r="X22" i="605"/>
  <c r="T22" i="605"/>
  <c r="L22" i="605"/>
  <c r="M22" i="605" s="1"/>
  <c r="H22" i="605"/>
  <c r="E22" i="605"/>
  <c r="AT21" i="605"/>
  <c r="AJ21" i="605"/>
  <c r="X21" i="605"/>
  <c r="T21" i="605"/>
  <c r="L21" i="605"/>
  <c r="K21" i="605" s="1"/>
  <c r="H21" i="605"/>
  <c r="E21" i="605"/>
  <c r="AT20" i="605"/>
  <c r="AJ20" i="605"/>
  <c r="X20" i="605"/>
  <c r="T20" i="605"/>
  <c r="L20" i="605"/>
  <c r="K20" i="605" s="1"/>
  <c r="H20" i="605"/>
  <c r="E20" i="605"/>
  <c r="AT19" i="605"/>
  <c r="AJ19" i="605"/>
  <c r="X19" i="605"/>
  <c r="T19" i="605"/>
  <c r="L19" i="605"/>
  <c r="M19" i="605" s="1"/>
  <c r="H19" i="605"/>
  <c r="E19" i="605"/>
  <c r="AT18" i="605"/>
  <c r="AJ18" i="605"/>
  <c r="X18" i="605"/>
  <c r="T18" i="605"/>
  <c r="L18" i="605"/>
  <c r="M18" i="605" s="1"/>
  <c r="H18" i="605"/>
  <c r="E18" i="605"/>
  <c r="AT17" i="605"/>
  <c r="AJ17" i="605"/>
  <c r="X17" i="605"/>
  <c r="T17" i="605"/>
  <c r="L17" i="605"/>
  <c r="K17" i="605" s="1"/>
  <c r="H17" i="605"/>
  <c r="E17" i="605"/>
  <c r="AT16" i="605"/>
  <c r="AJ16" i="605"/>
  <c r="X16" i="605"/>
  <c r="T16" i="605"/>
  <c r="L16" i="605"/>
  <c r="K16" i="605" s="1"/>
  <c r="H16" i="605"/>
  <c r="E16" i="605"/>
  <c r="AT15" i="605"/>
  <c r="AJ15" i="605"/>
  <c r="X15" i="605"/>
  <c r="T15" i="605"/>
  <c r="L15" i="605"/>
  <c r="K15" i="605" s="1"/>
  <c r="H15" i="605"/>
  <c r="E15" i="605"/>
  <c r="AT14" i="605"/>
  <c r="AJ14" i="605"/>
  <c r="X14" i="605"/>
  <c r="T14" i="605"/>
  <c r="L14" i="605"/>
  <c r="K14" i="605" s="1"/>
  <c r="H14" i="605"/>
  <c r="E14" i="605"/>
  <c r="AT13" i="605"/>
  <c r="X13" i="605"/>
  <c r="L13" i="605"/>
  <c r="M13" i="605" s="1"/>
  <c r="H13" i="605"/>
  <c r="E13" i="605"/>
  <c r="AJ13" i="605"/>
  <c r="T13" i="605"/>
  <c r="K31" i="605" l="1"/>
  <c r="M34" i="605"/>
  <c r="M24" i="605"/>
  <c r="V35" i="605"/>
  <c r="M16" i="605"/>
  <c r="V33" i="605"/>
  <c r="AK33" i="605" s="1"/>
  <c r="AT37" i="605"/>
  <c r="K18" i="605"/>
  <c r="M20" i="605"/>
  <c r="K29" i="605"/>
  <c r="U36" i="605"/>
  <c r="V36" i="605"/>
  <c r="AK36" i="605" s="1"/>
  <c r="AK35" i="605"/>
  <c r="U35" i="605"/>
  <c r="V34" i="605"/>
  <c r="AK34" i="605" s="1"/>
  <c r="U33" i="605"/>
  <c r="U32" i="605"/>
  <c r="M32" i="605"/>
  <c r="U31" i="605"/>
  <c r="V30" i="605"/>
  <c r="AK30" i="605" s="1"/>
  <c r="K30" i="605"/>
  <c r="U29" i="605"/>
  <c r="M28" i="605"/>
  <c r="U28" i="605"/>
  <c r="K27" i="605"/>
  <c r="U27" i="605"/>
  <c r="M26" i="605"/>
  <c r="U26" i="605"/>
  <c r="M25" i="605"/>
  <c r="U25" i="605"/>
  <c r="U24" i="605"/>
  <c r="K23" i="605"/>
  <c r="V23" i="605"/>
  <c r="AK23" i="605" s="1"/>
  <c r="K22" i="605"/>
  <c r="V22" i="605"/>
  <c r="AK22" i="605" s="1"/>
  <c r="M21" i="605"/>
  <c r="U21" i="605"/>
  <c r="U20" i="605"/>
  <c r="K19" i="605"/>
  <c r="U19" i="605"/>
  <c r="V18" i="605"/>
  <c r="AK18" i="605" s="1"/>
  <c r="M17" i="605"/>
  <c r="U15" i="605"/>
  <c r="V16" i="605"/>
  <c r="AK16" i="605" s="1"/>
  <c r="V17" i="605"/>
  <c r="AK17" i="605" s="1"/>
  <c r="M14" i="605"/>
  <c r="M15" i="605"/>
  <c r="U14" i="605"/>
  <c r="U16" i="605"/>
  <c r="U17" i="605"/>
  <c r="U18" i="605"/>
  <c r="U23" i="605"/>
  <c r="V14" i="605"/>
  <c r="AK14" i="605" s="1"/>
  <c r="V15" i="605"/>
  <c r="AK15" i="605" s="1"/>
  <c r="V19" i="605"/>
  <c r="AK19" i="605" s="1"/>
  <c r="V20" i="605"/>
  <c r="AK20" i="605" s="1"/>
  <c r="V21" i="605"/>
  <c r="AK21" i="605" s="1"/>
  <c r="V24" i="605"/>
  <c r="AK24" i="605" s="1"/>
  <c r="V25" i="605"/>
  <c r="AK25" i="605" s="1"/>
  <c r="V26" i="605"/>
  <c r="AK26" i="605" s="1"/>
  <c r="V27" i="605"/>
  <c r="AK27" i="605" s="1"/>
  <c r="V28" i="605"/>
  <c r="AK28" i="605" s="1"/>
  <c r="V29" i="605"/>
  <c r="AK29" i="605" s="1"/>
  <c r="V31" i="605"/>
  <c r="AK31" i="605" s="1"/>
  <c r="V32" i="605"/>
  <c r="AK32" i="605" s="1"/>
  <c r="U34" i="605"/>
  <c r="U30" i="605"/>
  <c r="U22" i="605"/>
  <c r="K13" i="605"/>
  <c r="U13" i="605"/>
  <c r="T37" i="605"/>
  <c r="V13" i="605"/>
  <c r="AK13" i="605" s="1"/>
  <c r="AJ37" i="605"/>
  <c r="M33" i="605"/>
  <c r="M35" i="605"/>
  <c r="M36" i="605"/>
  <c r="AI8" i="605"/>
  <c r="V37" i="605" l="1"/>
  <c r="AK37" i="605" s="1"/>
  <c r="U37" i="605"/>
  <c r="AI11" i="604" l="1"/>
  <c r="S11" i="604"/>
  <c r="AU37" i="604" l="1"/>
  <c r="AS37" i="604"/>
  <c r="AT36" i="604"/>
  <c r="AJ36" i="604"/>
  <c r="X36" i="604"/>
  <c r="T36" i="604"/>
  <c r="L36" i="604"/>
  <c r="K36" i="604" s="1"/>
  <c r="H36" i="604"/>
  <c r="E36" i="604"/>
  <c r="AT35" i="604"/>
  <c r="AJ35" i="604"/>
  <c r="X35" i="604"/>
  <c r="T35" i="604"/>
  <c r="L35" i="604"/>
  <c r="K35" i="604" s="1"/>
  <c r="H35" i="604"/>
  <c r="E35" i="604"/>
  <c r="AZ34" i="604"/>
  <c r="AT34" i="604"/>
  <c r="AJ34" i="604"/>
  <c r="X34" i="604"/>
  <c r="T34" i="604"/>
  <c r="L34" i="604"/>
  <c r="K34" i="604" s="1"/>
  <c r="H34" i="604"/>
  <c r="E34" i="604"/>
  <c r="AJ33" i="604"/>
  <c r="X33" i="604"/>
  <c r="T33" i="604"/>
  <c r="L33" i="604"/>
  <c r="M33" i="604" s="1"/>
  <c r="H33" i="604"/>
  <c r="E33" i="604"/>
  <c r="AJ32" i="604"/>
  <c r="X32" i="604"/>
  <c r="T32" i="604"/>
  <c r="L32" i="604"/>
  <c r="K32" i="604" s="1"/>
  <c r="H32" i="604"/>
  <c r="E32" i="604"/>
  <c r="AT31" i="604"/>
  <c r="AJ31" i="604"/>
  <c r="X31" i="604"/>
  <c r="T31" i="604"/>
  <c r="L31" i="604"/>
  <c r="K31" i="604" s="1"/>
  <c r="H31" i="604"/>
  <c r="E31" i="604"/>
  <c r="AT30" i="604"/>
  <c r="AJ30" i="604"/>
  <c r="X30" i="604"/>
  <c r="T30" i="604"/>
  <c r="L30" i="604"/>
  <c r="M30" i="604" s="1"/>
  <c r="H30" i="604"/>
  <c r="E30" i="604"/>
  <c r="AT29" i="604"/>
  <c r="AJ29" i="604"/>
  <c r="X29" i="604"/>
  <c r="T29" i="604"/>
  <c r="L29" i="604"/>
  <c r="M29" i="604" s="1"/>
  <c r="H29" i="604"/>
  <c r="E29" i="604"/>
  <c r="AT28" i="604"/>
  <c r="AJ28" i="604"/>
  <c r="X28" i="604"/>
  <c r="T28" i="604"/>
  <c r="L28" i="604"/>
  <c r="M28" i="604" s="1"/>
  <c r="H28" i="604"/>
  <c r="E28" i="604"/>
  <c r="AT27" i="604"/>
  <c r="AJ27" i="604"/>
  <c r="X27" i="604"/>
  <c r="T27" i="604"/>
  <c r="L27" i="604"/>
  <c r="K27" i="604" s="1"/>
  <c r="H27" i="604"/>
  <c r="E27" i="604"/>
  <c r="AT26" i="604"/>
  <c r="AJ26" i="604"/>
  <c r="X26" i="604"/>
  <c r="T26" i="604"/>
  <c r="L26" i="604"/>
  <c r="K26" i="604" s="1"/>
  <c r="H26" i="604"/>
  <c r="E26" i="604"/>
  <c r="AT25" i="604"/>
  <c r="AJ25" i="604"/>
  <c r="X25" i="604"/>
  <c r="T25" i="604"/>
  <c r="L25" i="604"/>
  <c r="M25" i="604" s="1"/>
  <c r="H25" i="604"/>
  <c r="E25" i="604"/>
  <c r="AT24" i="604"/>
  <c r="AJ24" i="604"/>
  <c r="X24" i="604"/>
  <c r="T24" i="604"/>
  <c r="L24" i="604"/>
  <c r="M24" i="604" s="1"/>
  <c r="H24" i="604"/>
  <c r="E24" i="604"/>
  <c r="AT23" i="604"/>
  <c r="AJ23" i="604"/>
  <c r="X23" i="604"/>
  <c r="T23" i="604"/>
  <c r="L23" i="604"/>
  <c r="K23" i="604" s="1"/>
  <c r="H23" i="604"/>
  <c r="E23" i="604"/>
  <c r="AT22" i="604"/>
  <c r="AJ22" i="604"/>
  <c r="X22" i="604"/>
  <c r="T22" i="604"/>
  <c r="L22" i="604"/>
  <c r="K22" i="604" s="1"/>
  <c r="H22" i="604"/>
  <c r="E22" i="604"/>
  <c r="AT21" i="604"/>
  <c r="AJ21" i="604"/>
  <c r="X21" i="604"/>
  <c r="T21" i="604"/>
  <c r="L21" i="604"/>
  <c r="M21" i="604" s="1"/>
  <c r="H21" i="604"/>
  <c r="E21" i="604"/>
  <c r="AT20" i="604"/>
  <c r="AJ20" i="604"/>
  <c r="X20" i="604"/>
  <c r="T20" i="604"/>
  <c r="L20" i="604"/>
  <c r="M20" i="604" s="1"/>
  <c r="H20" i="604"/>
  <c r="E20" i="604"/>
  <c r="AT19" i="604"/>
  <c r="AJ19" i="604"/>
  <c r="X19" i="604"/>
  <c r="T19" i="604"/>
  <c r="L19" i="604"/>
  <c r="K19" i="604" s="1"/>
  <c r="H19" i="604"/>
  <c r="E19" i="604"/>
  <c r="AT18" i="604"/>
  <c r="AJ18" i="604"/>
  <c r="X18" i="604"/>
  <c r="T18" i="604"/>
  <c r="L18" i="604"/>
  <c r="K18" i="604" s="1"/>
  <c r="H18" i="604"/>
  <c r="E18" i="604"/>
  <c r="AT17" i="604"/>
  <c r="AJ17" i="604"/>
  <c r="X17" i="604"/>
  <c r="T17" i="604"/>
  <c r="L17" i="604"/>
  <c r="M17" i="604" s="1"/>
  <c r="H17" i="604"/>
  <c r="E17" i="604"/>
  <c r="AT16" i="604"/>
  <c r="AJ16" i="604"/>
  <c r="X16" i="604"/>
  <c r="T16" i="604"/>
  <c r="L16" i="604"/>
  <c r="M16" i="604" s="1"/>
  <c r="H16" i="604"/>
  <c r="E16" i="604"/>
  <c r="AT15" i="604"/>
  <c r="AJ15" i="604"/>
  <c r="X15" i="604"/>
  <c r="T15" i="604"/>
  <c r="L15" i="604"/>
  <c r="K15" i="604" s="1"/>
  <c r="H15" i="604"/>
  <c r="E15" i="604"/>
  <c r="AT14" i="604"/>
  <c r="AJ14" i="604"/>
  <c r="X14" i="604"/>
  <c r="T14" i="604"/>
  <c r="L14" i="604"/>
  <c r="M14" i="604" s="1"/>
  <c r="H14" i="604"/>
  <c r="E14" i="604"/>
  <c r="AT13" i="604"/>
  <c r="X13" i="604"/>
  <c r="L13" i="604"/>
  <c r="M13" i="604" s="1"/>
  <c r="H13" i="604"/>
  <c r="E13" i="604"/>
  <c r="AJ13" i="604"/>
  <c r="T13" i="604"/>
  <c r="K20" i="604" l="1"/>
  <c r="AT37" i="604"/>
  <c r="M15" i="604"/>
  <c r="V36" i="604"/>
  <c r="AK36" i="604" s="1"/>
  <c r="V35" i="604"/>
  <c r="AK35" i="604" s="1"/>
  <c r="M34" i="604"/>
  <c r="V34" i="604"/>
  <c r="AK34" i="604" s="1"/>
  <c r="V33" i="604"/>
  <c r="AK33" i="604" s="1"/>
  <c r="M32" i="604"/>
  <c r="U32" i="604"/>
  <c r="M31" i="604"/>
  <c r="V31" i="604"/>
  <c r="AK31" i="604" s="1"/>
  <c r="K30" i="604"/>
  <c r="V30" i="604"/>
  <c r="AK30" i="604" s="1"/>
  <c r="K29" i="604"/>
  <c r="U29" i="604"/>
  <c r="K28" i="604"/>
  <c r="V28" i="604"/>
  <c r="AK28" i="604" s="1"/>
  <c r="M27" i="604"/>
  <c r="V27" i="604"/>
  <c r="AK27" i="604" s="1"/>
  <c r="M26" i="604"/>
  <c r="V26" i="604"/>
  <c r="AK26" i="604" s="1"/>
  <c r="K25" i="604"/>
  <c r="V25" i="604"/>
  <c r="AK25" i="604" s="1"/>
  <c r="K24" i="604"/>
  <c r="V24" i="604"/>
  <c r="AK24" i="604" s="1"/>
  <c r="M23" i="604"/>
  <c r="V23" i="604"/>
  <c r="AK23" i="604" s="1"/>
  <c r="M22" i="604"/>
  <c r="V22" i="604"/>
  <c r="AK22" i="604" s="1"/>
  <c r="K21" i="604"/>
  <c r="V21" i="604"/>
  <c r="AK21" i="604" s="1"/>
  <c r="V20" i="604"/>
  <c r="AK20" i="604" s="1"/>
  <c r="M19" i="604"/>
  <c r="V19" i="604"/>
  <c r="AK19" i="604" s="1"/>
  <c r="M18" i="604"/>
  <c r="V18" i="604"/>
  <c r="AK18" i="604" s="1"/>
  <c r="K17" i="604"/>
  <c r="V17" i="604"/>
  <c r="AK17" i="604" s="1"/>
  <c r="K16" i="604"/>
  <c r="V16" i="604"/>
  <c r="AK16" i="604" s="1"/>
  <c r="V15" i="604"/>
  <c r="AK15" i="604" s="1"/>
  <c r="V14" i="604"/>
  <c r="AK14" i="604" s="1"/>
  <c r="K13" i="604"/>
  <c r="K14" i="604"/>
  <c r="U28" i="604"/>
  <c r="U30" i="604"/>
  <c r="U31" i="604"/>
  <c r="U14" i="604"/>
  <c r="U15" i="604"/>
  <c r="U16" i="604"/>
  <c r="U17" i="604"/>
  <c r="U18" i="604"/>
  <c r="U19" i="604"/>
  <c r="U20" i="604"/>
  <c r="U21" i="604"/>
  <c r="U22" i="604"/>
  <c r="U23" i="604"/>
  <c r="U24" i="604"/>
  <c r="U25" i="604"/>
  <c r="U26" i="604"/>
  <c r="U27" i="604"/>
  <c r="V29" i="604"/>
  <c r="AK29" i="604" s="1"/>
  <c r="V32" i="604"/>
  <c r="AK32" i="604" s="1"/>
  <c r="U34" i="604"/>
  <c r="M35" i="604"/>
  <c r="M36" i="604"/>
  <c r="T37" i="604"/>
  <c r="V13" i="604"/>
  <c r="AK13" i="604" s="1"/>
  <c r="U13" i="604"/>
  <c r="AJ37" i="604"/>
  <c r="AI8" i="604"/>
  <c r="K33" i="604"/>
  <c r="U33" i="604"/>
  <c r="U35" i="604"/>
  <c r="U36" i="604"/>
  <c r="V37" i="604" l="1"/>
  <c r="AK37" i="604" s="1"/>
  <c r="U37" i="604"/>
</calcChain>
</file>

<file path=xl/sharedStrings.xml><?xml version="1.0" encoding="utf-8"?>
<sst xmlns="http://schemas.openxmlformats.org/spreadsheetml/2006/main" count="13124" uniqueCount="330">
  <si>
    <t>ENGINEER / OPERATOR ON DUTY</t>
  </si>
  <si>
    <t>BDOM DAILY OPERATION REPORT</t>
  </si>
  <si>
    <t>6am - 2pm</t>
  </si>
  <si>
    <t>WATER NETWORK</t>
  </si>
  <si>
    <t>2pm - 10pm</t>
  </si>
  <si>
    <t>10pm - 6am</t>
  </si>
  <si>
    <t xml:space="preserve">LOCATION: </t>
  </si>
  <si>
    <t>Villamor Pump Station and Reservoir</t>
  </si>
  <si>
    <t>DATE</t>
  </si>
  <si>
    <t>UNIT</t>
  </si>
  <si>
    <t>OPERATIONAL STATUS</t>
  </si>
  <si>
    <t>Min</t>
  </si>
  <si>
    <t>Target</t>
  </si>
  <si>
    <t>Max</t>
  </si>
  <si>
    <t>Suction Line  (900mm)</t>
  </si>
  <si>
    <t>Discharge Line  (1600mm)</t>
  </si>
  <si>
    <t>Reservoir MIN/MAX (m)</t>
  </si>
  <si>
    <t>Operational Pumps</t>
  </si>
  <si>
    <t>Green</t>
  </si>
  <si>
    <t>Orange</t>
  </si>
  <si>
    <t>RED</t>
  </si>
  <si>
    <t>MIN SPEED (RPM)</t>
  </si>
  <si>
    <t>MULTIPLIER</t>
  </si>
  <si>
    <t>Totalizer KWHR</t>
  </si>
  <si>
    <t>Max KwHr</t>
  </si>
  <si>
    <t>Max KwHr/ML</t>
  </si>
  <si>
    <t>VALVE SETTING</t>
  </si>
  <si>
    <t>RESERVOIR REFILL</t>
  </si>
  <si>
    <t>Res. Chl.</t>
  </si>
  <si>
    <t>m of H2O</t>
  </si>
  <si>
    <t>MLD</t>
  </si>
  <si>
    <t>m3</t>
  </si>
  <si>
    <t>ML</t>
  </si>
  <si>
    <t>1.3m - 10m</t>
  </si>
  <si>
    <t>3B+2S</t>
  </si>
  <si>
    <t>&gt;0 to &lt;1185</t>
  </si>
  <si>
    <t>0% - 100%</t>
  </si>
  <si>
    <t>0.3 - 1.5</t>
  </si>
  <si>
    <t>PLANT STATUS</t>
  </si>
  <si>
    <t>Time</t>
  </si>
  <si>
    <t>Suction</t>
  </si>
  <si>
    <t>Discharge</t>
  </si>
  <si>
    <t>Plant Status</t>
  </si>
  <si>
    <t xml:space="preserve">Pressure Requirement </t>
  </si>
  <si>
    <t>Change in Pressure Setting / Requirement</t>
  </si>
  <si>
    <t>Instructed By:</t>
  </si>
  <si>
    <t>i2o pressure</t>
  </si>
  <si>
    <t>Suction Flow Rate</t>
  </si>
  <si>
    <t>Discharge  Flow Rate</t>
  </si>
  <si>
    <t>Total Production</t>
  </si>
  <si>
    <t>Hourly Production (1600mm)</t>
  </si>
  <si>
    <t>Reservoir Level A</t>
  </si>
  <si>
    <t>Reservoir Level B</t>
  </si>
  <si>
    <t>No of units in operation</t>
  </si>
  <si>
    <t>Motor Speed  (RPM)</t>
  </si>
  <si>
    <t>Power Consumption Meralco rdg</t>
  </si>
  <si>
    <t>Power Consumption ATS rdg (KWHr)</t>
  </si>
  <si>
    <t>Hourly Energy Consumption (KWHr)</t>
  </si>
  <si>
    <r>
      <t xml:space="preserve">Hourly KWHr per Production
</t>
    </r>
    <r>
      <rPr>
        <b/>
        <sz val="9"/>
        <rFont val="Calibri"/>
        <family val="2"/>
        <scheme val="minor"/>
      </rPr>
      <t>KWHr/ML</t>
    </r>
  </si>
  <si>
    <t>MOV 1 SP1</t>
  </si>
  <si>
    <t>MOV 2 SP2</t>
  </si>
  <si>
    <t>MOV 3 BP1</t>
  </si>
  <si>
    <t>MOV 4 BP2</t>
  </si>
  <si>
    <t>MOV 5 BP3</t>
  </si>
  <si>
    <t>Reservoir      Inlet        XCVI</t>
  </si>
  <si>
    <t>Totalizer Reading</t>
  </si>
  <si>
    <t>Reservoir  Hourly Refill         XCV4</t>
  </si>
  <si>
    <t>Chlorine Residual</t>
  </si>
  <si>
    <t>Hourly Remarks</t>
  </si>
  <si>
    <t>Details</t>
  </si>
  <si>
    <t>Code</t>
  </si>
  <si>
    <t>SOUTH BOOSTER OPERATION OPERATORS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</si>
  <si>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</si>
  <si>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</si>
  <si>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</si>
  <si>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</si>
  <si>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</si>
  <si>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</si>
  <si>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</si>
  <si>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</si>
  <si>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</si>
  <si>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</si>
  <si>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</si>
  <si>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</si>
  <si>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DVO</t>
  </si>
  <si>
    <t>mg /l</t>
  </si>
  <si>
    <t>Automatic - i2O</t>
  </si>
  <si>
    <t>AI</t>
  </si>
  <si>
    <t>Automatic - Pressure Setting</t>
  </si>
  <si>
    <t>A.ONG</t>
  </si>
  <si>
    <t>N/A</t>
  </si>
  <si>
    <t>AP</t>
  </si>
  <si>
    <t>Manual Operation</t>
  </si>
  <si>
    <t>MO</t>
  </si>
  <si>
    <t>Scheduled Shutdown</t>
  </si>
  <si>
    <t>SS</t>
  </si>
  <si>
    <t>Start Up Error</t>
  </si>
  <si>
    <t>SU</t>
  </si>
  <si>
    <t>Shutdown Error</t>
  </si>
  <si>
    <t>SE</t>
  </si>
  <si>
    <t xml:space="preserve">A ONG </t>
  </si>
  <si>
    <t>Error - General</t>
  </si>
  <si>
    <t>E</t>
  </si>
  <si>
    <t>Power Interruption</t>
  </si>
  <si>
    <t>PI</t>
  </si>
  <si>
    <t>Water Interruption</t>
  </si>
  <si>
    <t>WI</t>
  </si>
  <si>
    <t>Equipment Maintenance</t>
  </si>
  <si>
    <t>EM</t>
  </si>
  <si>
    <t>UNITS</t>
  </si>
  <si>
    <t>PRESSURE</t>
  </si>
  <si>
    <t>Atmospheric Pressure</t>
  </si>
  <si>
    <t>bar</t>
  </si>
  <si>
    <t>atm</t>
  </si>
  <si>
    <t>kPA</t>
  </si>
  <si>
    <t>Convert Pressure (Enter Unit and Value)</t>
  </si>
  <si>
    <t>A ONG</t>
  </si>
  <si>
    <t>FLOW</t>
  </si>
  <si>
    <t>TOTAL</t>
  </si>
  <si>
    <r>
      <t>m</t>
    </r>
    <r>
      <rPr>
        <vertAlign val="superscript"/>
        <sz val="9"/>
        <color theme="1"/>
        <rFont val="Calibri"/>
        <family val="2"/>
        <scheme val="minor"/>
      </rPr>
      <t>3</t>
    </r>
    <r>
      <rPr>
        <sz val="9"/>
        <color theme="1"/>
        <rFont val="Calibri"/>
        <family val="2"/>
        <scheme val="minor"/>
      </rPr>
      <t>/hr</t>
    </r>
  </si>
  <si>
    <t>NOTABLE REMARKS FOR THE DAY :</t>
  </si>
  <si>
    <t>Liter/sec</t>
  </si>
  <si>
    <t>XCV2- INCREASE OPENING  @ 12:01 AM (80%)</t>
  </si>
  <si>
    <t>MOV 6 BP4</t>
  </si>
  <si>
    <t>Additional 3psi to normal target discharge pressure as request OF Engr. Edmundo Llagas Jr  (SPM)</t>
  </si>
  <si>
    <t>Normal operation schedule</t>
  </si>
  <si>
    <t>Gauge Reading</t>
  </si>
  <si>
    <t>Target Discharge Pressure set to 83 psi @ 12:01 am as per request of Engr. FRANCES MORLA (SPM-South)</t>
  </si>
  <si>
    <t>Additional 3 psi to target discharge pressure from 12:01 AM to 5:01 AM as per request of Engr. Frances Morla (SPM-South), due to shifting of WSR and Posadas Influence area.</t>
  </si>
  <si>
    <t>TARGET DISCHARGE PRESSURE SET TO  83 PSI @ 12:01 AM TO 3:01 AM AS PER SCHEDULE</t>
  </si>
  <si>
    <t>Change operation advise as per Sir. Alvin Cruz effective SEPTEMBER 7, 2016 target pressure for 12:01 MN to 3:01 AM will be changed from 75 psi to 83 psi only. This was requested by Sir. GIGI effective until further notice.</t>
  </si>
  <si>
    <t>PAUL G. LABIAN / REY PROVIDENCIA</t>
  </si>
  <si>
    <t>ARMAN R. RAYALA II / REY PROVIDENCIA</t>
  </si>
  <si>
    <t>REY PROVIDENCIA / PAUL G. LABIAN</t>
  </si>
  <si>
    <t>PAUL G. LABIAN / ARMAN R. RAYALA II</t>
  </si>
  <si>
    <t>FLOW METER DEFFECTIVE AS OF JULY 18, 2017</t>
  </si>
  <si>
    <t>RESERVOIR REFILL TOTALIZER READING DEFFECTIVE AS OF JULY 18, 2017</t>
  </si>
  <si>
    <t>PAUL G. LABIAN / FIDEL A. RAMOS</t>
  </si>
  <si>
    <t>3B</t>
  </si>
  <si>
    <t>TARGET DISCHARGE PRESSURE SET TO  83 PSI @ 3:01 AM TO 5:01 AM AS PER SCHEDULE</t>
  </si>
  <si>
    <t>PAUL G.  LABIAN / GEORGE O. HERNANDEZ</t>
  </si>
  <si>
    <t>REY L. PROVIDENCIA / ARMAN R. RAYALA II</t>
  </si>
  <si>
    <t>REY L. PROVIDENCIA / GEORGE O. HERNANDEZ</t>
  </si>
  <si>
    <t>PAUL G. LABIAN / JONEL LLAGUNO</t>
  </si>
  <si>
    <t>ARMAN R. RAYALA II / FIDEL A. RAMOS</t>
  </si>
  <si>
    <t>FIDEL RAMOS / JONEL LLAGUNO</t>
  </si>
  <si>
    <t>GEORGE O. HERNANDEZ / ARMAN R. RAYALA II</t>
  </si>
  <si>
    <t>A.RAYALA II /J. LLAGUNO</t>
  </si>
  <si>
    <t>FIDEL RAMOS / ARMAN R. RAYALA II</t>
  </si>
  <si>
    <t>PAUL G. LABIAN / DYAN ELVIN CAPIÑA</t>
  </si>
  <si>
    <t>R.PROVIDENCIA/J. LLAGUNO</t>
  </si>
  <si>
    <t>R.PROVIDENCIA / DYAN ELVIN CAPIÑA</t>
  </si>
  <si>
    <t>TARGET DISCHARGE PRESSURE SET TO  83 PSI @ 5:01 AM TO 6:01 AM AS PER SCHEDULE</t>
  </si>
  <si>
    <t>GEORGE O. HERNANDEZ / PAUL G. LABIAN</t>
  </si>
  <si>
    <t>GEORGE HERNANDEZ / DYAN ELVIN CAPIÑA</t>
  </si>
  <si>
    <t>GEORGE HERNANDEZ / JONEL LLAGUNO</t>
  </si>
  <si>
    <t>REY PROVIDENCIA / FIDEL RAMOS</t>
  </si>
  <si>
    <t>GEORGE O. HERNANDEZ / FIDEL A. RAMOS</t>
  </si>
  <si>
    <t>ARMAN R. RAYALA II / DYAN ELVIN A. CAPIÑA</t>
  </si>
  <si>
    <t>FIDEL RAMOS / DYAN ELVIN CAPIÑA</t>
  </si>
  <si>
    <t>XCV2 - CLOSED @ 4:40 AM WATER ELEVATION (9.5 M)</t>
  </si>
  <si>
    <t>BP4 STOP @ 5:00AM DUE TO SHIFTING OPERATION</t>
  </si>
  <si>
    <t>BP1 START @ 5:01AM</t>
  </si>
  <si>
    <t>TARGET DISCHARGE PRESSURE SET TO  83 PSI @ 6:01 AM TO 12:01 PM AS PER SCHEDULE</t>
  </si>
  <si>
    <t>SP2 - STARTED @ 6:00 AM TO MEET 83 PSI TARGET DISCHARGE PRESSURE</t>
  </si>
  <si>
    <t>SP1 - STARTED @ 7:00 AM TO MEET 83 PSI TARGET DISCHARGE PRESSURE</t>
  </si>
  <si>
    <t>TARGET DISCHARGE PRESSURE SET TO  81 PSI @ 12:01 PM TO 5:01 PM AS PER SCHEDULE</t>
  </si>
  <si>
    <t>Additional 3 psi to target discharge pressure from 12:01 PM to 5:01 PM ( MAY 1, 2018) as per request of Engr. Frances Morla (SPM-South), due to shifting of WSR and Posadas Influence area.</t>
  </si>
  <si>
    <t>MAINTENANCE TEAM LEAD BY NOEL NERPIO ARRIVE @ 7:54AM FOR MONTHLY PREVENTIVE MAINTENANCE</t>
  </si>
  <si>
    <t>3B+1S</t>
  </si>
  <si>
    <t>TARGET DISCHARGE PRESSURE SET TO  78 PSI @ 5:01 PM TO 7:01 PM AS PER SCHEDULE</t>
  </si>
  <si>
    <t>TARGET DISCHARGE PRESSURE SET TO  76 PSI @ 7:01 PM TO 8:01 PM AS PER SCHEDULE</t>
  </si>
  <si>
    <t>TARGET DISCHARGE PRESSURE SET TO  83 PSI @ 8:01 PM TO 10:01 PM AS PER SCHEDULE</t>
  </si>
  <si>
    <t>SP1 - STOPPED @ 9:40 PM DUE TO PARAMETER CAPACITY OF 1.3 ELEVATION LEVEL</t>
  </si>
  <si>
    <t>TARGET DISCHARGE PRESSURE SET TO 83PSI @ 10:01 PM TO 12:01 AM AS PER SCHEDULE</t>
  </si>
  <si>
    <t>XCV2 -OPENED @ 10:01 PM (20%)</t>
  </si>
  <si>
    <t>MR. GERRARDO BUNDA OF SOUTH MAINTENANCE AND TEAM ARRIVE @ 10:42 PM TO CONDUCT MONTHLY PREVENTIVE MAINTENANCE  INSPECTION OF  SP1,SP2 AND BP4.</t>
  </si>
  <si>
    <t>XCV2 - CLOSED @ 3:31 AM WATER ELEVATION (9.5 M)</t>
  </si>
  <si>
    <t>Additional 3 psi to target discharge pressure from 12:01 PM to 5:01 PM ( MAY 2, 2018) as per request of Engr. Frances Morla (SPM-South), due to shifting of WSR and Posadas Influence area.</t>
  </si>
  <si>
    <t>DEF</t>
  </si>
  <si>
    <t>SP2 - STOPPED @ 9:40 PM DUE TO PARAMETER CAPACITY OF 1.3 ELEVATION LEVEL</t>
  </si>
  <si>
    <t>XCV2 - CLOSED @ 4:03 AM WATER ELEVATION (9.5 M)</t>
  </si>
  <si>
    <t>SP1 - STARTED @ 6:00 AM TO MEET 83 PSI TARGET DISCHARGE PRESSURE</t>
  </si>
  <si>
    <t>Additional 3 psi to target discharge pressure from 12:01 PM to 5:01 PM ( MAY 3, 2018) as per request of Engr. Frances Morla (SPM-South), due to shifting of WSR and Posadas Influence area.</t>
  </si>
  <si>
    <t>SP1 - STOPPED @ 9:40 PM DUE TO PARAMETER CAPACITY OF 2.0 ELEVATION LEVEL</t>
  </si>
  <si>
    <t>XCV2 - CLOSED @ 4:44 AM WATER ELEVATION (9.5 M)</t>
  </si>
  <si>
    <t>Additional 3 psi to target discharge pressure from 12:01 PM to 5:01 PM ( MAY 4, 2018) as per request of Engr. Frances Morla (SPM-South), due to shifting of WSR and Posadas Influence area.</t>
  </si>
  <si>
    <t>PI @ 1:51 PM ALL PUMP STOPPED</t>
  </si>
  <si>
    <t>BP2- STARTED 1:53 PM</t>
  </si>
  <si>
    <t>BP1- STARTED 1:55 PM</t>
  </si>
  <si>
    <t>BP3- STARTED 1:57 PM</t>
  </si>
  <si>
    <t>SP2- STARTED 1:59 PM</t>
  </si>
  <si>
    <t>RNOM @ 2:00 PM</t>
  </si>
  <si>
    <t xml:space="preserve">FLOWMETER FAULT DUE TO POWER INTERUPTION </t>
  </si>
  <si>
    <t>SP2 - STOPPED @ 10:00 PM DUE TO PARAMETER CAPACITY OF 1.4 ELEVATION LEVEL</t>
  </si>
  <si>
    <t>XCV2 -OPENED @ 10:01 PM (30%)</t>
  </si>
  <si>
    <t>Additional 3 psi to target discharge pressure from 12:01 PM to 5:01 PM ( MAY 5, 2018) as per request of Engr. Frances Morla (SPM-South), due to shifting of WSR and Posadas Influence area.</t>
  </si>
  <si>
    <t>SP1 - STOPPED @ 10:00 PM DUE TO PARAMETER CAPACITY OF 1.4 ELEVATION LEVEL</t>
  </si>
  <si>
    <t>XCV2 - CLOSED @ 4:42 AM WATER ELEVATION (9.5 M)</t>
  </si>
  <si>
    <t>SP2 - STARTED @ 7:00 AM TO MEET 83 PSI TARGET DISCHARGE PRESSURE</t>
  </si>
  <si>
    <t>Additional 3 psi to target discharge pressure from 12:01 PM to 5:01 PM ( MAY 6, 2018) as per request of Engr. Frances Morla (SPM-South), due to shifting of WSR and Posadas Influence area.</t>
  </si>
  <si>
    <t>SP2 - STOPPED @ 10:00 PM DUE TO PARAMETER CAPACITY OF 1.9 ELEVATION LEVEL</t>
  </si>
  <si>
    <t>BP3 STOPPED @ 5:19 AM DUE TO SHIFTING OF PUMP</t>
  </si>
  <si>
    <t>BP4 STARTED @ 5:20 AM DUE TO SHIFTING OF PUMP</t>
  </si>
  <si>
    <t>SP1 - STOPPED @ 8:00 PM DUE TO PARAMETER CAPACITY OF 1.4 ELEVATION LEVEL</t>
  </si>
  <si>
    <t>R.PROVIDENCIA  / J. LLAGUNO</t>
  </si>
  <si>
    <t>XCV2 - CLOSED @ 4:47 AM WATER ELEVATION (9.5 M)</t>
  </si>
  <si>
    <t>Additional 3 psi to target discharge pressure from 12:01 PM to 5:01 PM ( MAY 8, 2018) as per request of Engr. Frances Morla (SPM-South), due to shifting of WSR and Posadas Influence area.</t>
  </si>
  <si>
    <t>SP2 - STOPPED @ 8:25 PM DUE TO PARAMETER CAPACITY OF 1.4 ELEVATION LEVEL</t>
  </si>
  <si>
    <t>XCV2 - CLOSED @ 3:52 AM WATER ELEVATION (9.5 M)</t>
  </si>
  <si>
    <t>-</t>
  </si>
  <si>
    <t>SP1 - STOPPED @ 9:00 PM DUE TO PARAMETER CAPACITY OF 1.4 ELEVATION LEVEL</t>
  </si>
  <si>
    <t>XCV2 - CLOSED @ 4:12 AM WATER ELEVATION (9.5 M)</t>
  </si>
  <si>
    <t>Additional 3 psi to target discharge pressure from 12:01 PM to 5:01 PM ( MAY 10, 2018) as per request of Engr. Frances Morla (SPM-South), due to shifting of WSR and Posadas Influence area.</t>
  </si>
  <si>
    <t>SP2 - STOPPED @ 10:00 PM DUE TO PARAMETER CAPACITY OF 1.7 ELEVATION LEVEL</t>
  </si>
  <si>
    <t>XCV2 - CLOSED @ 4:05 AM WATER ELEVATION (9.5 M)</t>
  </si>
  <si>
    <t>SP1 - STOPPED @ 10:00 PM DUE TO PARAMETER CAPACITY OF 1.6 ELEVATION LEVEL</t>
  </si>
  <si>
    <t>XCV2 - CLOSED @ 4:23 AM WATER ELEVATION (9.5 M)</t>
  </si>
  <si>
    <t>SP2 - STARTED @ 6:40 AM TO MEET 83 PSI TARGET DISCHARGE PRESSURE</t>
  </si>
  <si>
    <t>MR.JIMMY DIOKNO AND TEAM OF SOUTH MAINTENANCE ARRIVE @ 3:10 PM TO DEWATERING OF BP3 CHAMBER AND MAIN SUCTION CHAMBER.</t>
  </si>
  <si>
    <t>XCV2 - CLOSED @ 4:00 AM WATER ELEVATION (9.5 M)</t>
  </si>
  <si>
    <t>SP1 - STARTED @ 8:00 AM TO MEET 83 PSI TARGET DISCHARGE PRESSURE</t>
  </si>
  <si>
    <t>Additional 3 psi to target discharge pressure from 12:01 PM to 5:01 PM ( MAY 13, 2018) as per request of Engr. Frances Morla (SPM-South), due to shifting of WSR and Posadas Influence area.</t>
  </si>
  <si>
    <t>Additional 3 psi to target discharge pressure from 12:01 PM to 5:01 PM ( MAY 12, 2018) as per request of Engr. Frances Morla (SPM-South), due to shifting of WSR and Posadas Influence area.</t>
  </si>
  <si>
    <t>Additional 3 psi to target discharge pressure from 12:01 PM to 5:01 PM ( MAY 11, 2018) as per request of Engr. Frances Morla (SPM-South), due to shifting of WSR and Posadas Influence area.</t>
  </si>
  <si>
    <t>SP1 - STOPPED @ 10:00 PM DUE TO PARAMETER CAPACITY OF 2.6 ELEVATION LEVEL</t>
  </si>
  <si>
    <t>XCV2 - CLOSED @ 3:28 AM WATER ELEVATION (9.5 M)</t>
  </si>
  <si>
    <t>BP1 STOPPED @ 4:45 AM DUE TO SHIFTING OF PUMP</t>
  </si>
  <si>
    <t>BP3 STARTED @ 4:46 AM DUE TO SHIFTING OF PUMP</t>
  </si>
  <si>
    <t>SP2 - STARTED @ 8:00 AM TO MEET 83 PSI TARGET DISCHARGE PRESSURE</t>
  </si>
  <si>
    <t>Additional 3 psi to target discharge pressure from 12:01 PM to 5:01 PM ( MAY 14, 2018) as per request of Engr. Frances Morla (SPM-South), due to shifting of WSR and Posadas Influence area.</t>
  </si>
  <si>
    <t>SP2 - STOPPED @ 10:00 PM DUE TO PARAMETER CAPACITY OF 2.9 ELEVATION LEVEL</t>
  </si>
  <si>
    <t>XCV2 - CLOSED @ 4:01 AM WATER ELEVATION (9.5 M)</t>
  </si>
  <si>
    <t>Additional 3 psi to target discharge pressure from 12:01 PM to 5:01 PM ( MAY 15, 2018) as per request of Engr. Frances Morla (SPM-South), due to shifting of WSR and Posadas Influence area.</t>
  </si>
  <si>
    <t>SP1 - STOPPED @ 10:00 PM DUE TO PARAMETER CAPACITY OF 1.9 ELEVATION LEVEL</t>
  </si>
  <si>
    <t>Additional 3 psi to target discharge pressure from 12:01 PM to 5:01 PM ( MAY 16, 2018) as per request of Engr. Frances Morla (SPM-South), due to shifting of WSR and Posadas Influence area.</t>
  </si>
  <si>
    <t>SP2 - STOPPED @ 10:00 PM DUE TO PARAMETER CAPACITY OF 2.0 ELEVATION LEVEL</t>
  </si>
  <si>
    <t>XCV2 - CLOSED @ 4:27 AM WATER ELEVATION (9.5 M)</t>
  </si>
  <si>
    <t>Additional 3 psi to target discharge pressure from 12:01 PM to 5:01 PM ( MAY 17, 2018) as per request of Engr. Frances Morla (SPM-South), due to shifting of WSR and Posadas Influence area.</t>
  </si>
  <si>
    <t>XCV2 - CLOSED @ 4:49 AM WATER ELEVATION (9.5 M)</t>
  </si>
  <si>
    <t>Additional 3 psi to target discharge pressure from 12:01 PM to 5:01 PM ( MAY 18, 2018) as per request of Engr. Frances Morla (SPM-South), due to shifting of WSR and Posadas Influence area.</t>
  </si>
  <si>
    <t>XCV2 - CLOSED @ 4:28 AM WATER ELEVATION (9.5 M)</t>
  </si>
  <si>
    <t>Additional 3 psi to target discharge pressure from 12:01 PM to 5:01 PM ( MAY 19, 2018) as per request of Engr. Frances Morla (SPM-South), due to shifting of WSR and Posadas Influence area.</t>
  </si>
  <si>
    <t>SP1 - STOPPED @ 10:00 PM DUE TO PARAMETER CAPACITY OF 1.7 ELEVATION LEVEL</t>
  </si>
  <si>
    <t>XCV2 - CLOSED @ 4:30 AM WATER ELEVATION (9.5 M)</t>
  </si>
  <si>
    <t>Additional 3 psi to target discharge pressure from 12:01 PM to 5:01 PM ( MAY 20, 2018) as per request of Engr. Frances Morla (SPM-South), due to shifting of WSR and Posadas Influence area.</t>
  </si>
  <si>
    <t>XCV2 - CLOSED @ 4:45 AM WATER ELEVATION (9.5 M)</t>
  </si>
  <si>
    <t>Additional 3 psi to target discharge pressure from 12:01 PM to 5:01 PM ( MAY 21, 2018) as per request of Engr. Frances Morla (SPM-South), due to shifting of WSR and Posadas Influence area.</t>
  </si>
  <si>
    <t>XCV2 - CLOSED @ 4:50 AM WATER ELEVATION (9.5 M)</t>
  </si>
  <si>
    <t>SP2 - STOPPED @ 8:24 PM DUE TO FAULT</t>
  </si>
  <si>
    <t>SP1 - STARTED @ 8:24 AM DUE TO FAULT SP2</t>
  </si>
  <si>
    <t>Additional 3 psi to target discharge pressure from 12:01 PM to 5:01 PM ( MAY 22, 2018) as per request of Engr. Frances Morla (SPM-South), due to shifting of WSR and Posadas Influence area.</t>
  </si>
  <si>
    <t>MAINTENANCE TEAM LEAD BY BUNDA GERARDO ARRIVE @ 10:25PM FOR GRESING TO BP1/SP1/SP2</t>
  </si>
  <si>
    <t>Additional 3 psi to target discharge pressure from 12:01 PM to 5:01 PM ( MAY 23, 2018) as per request of Engr. Frances Morla (SPM-South), due to shifting of WSR and Posadas Influence area.</t>
  </si>
  <si>
    <t>POWER INTERRUPTION AT 2:50PM</t>
  </si>
  <si>
    <t>ALL PUMP STOPPED AT 2:50PM</t>
  </si>
  <si>
    <t>GENSET STARTED AT 2:50PM</t>
  </si>
  <si>
    <t>BP4 STARTED AT 2:52PM</t>
  </si>
  <si>
    <t>SP1 STARTED AT 2:58PM</t>
  </si>
  <si>
    <t>BP2 STARTED AT 2:54PM</t>
  </si>
  <si>
    <t>BP3 STARTED AT 2:56PM</t>
  </si>
  <si>
    <t>Additional 3 psi to target discharge pressure from 12:01 PM to 5:01 PM ( MAY 24, 2018) as per request of Engr. Frances Morla (SPM-South), due to shifting of WSR and Posadas Influence area.</t>
  </si>
  <si>
    <t>BP2 - STOPPED @ 2:30 AM DUE TO SHIFTING OPERATION</t>
  </si>
  <si>
    <t>BP1 - STARTED @ 2:31 AM</t>
  </si>
  <si>
    <t>SP1 - STARTED @ 6:40 AM TO MEET 83 PSI TARGET DISCHARGE PRESSURE</t>
  </si>
  <si>
    <t>Additional 3 psi to target discharge pressure from 12:01 PM to 5:01 PM ( MAY 25, 2018) as per request of Engr. Frances Morla (SPM-South), due to shifting of WSR and Posadas Influence area.</t>
  </si>
  <si>
    <t>SP2 - STOPPED @ 10:00 PM DUE TO PARAMETER CAPACITY OF 1.8 ELEVATION LEVEL</t>
  </si>
  <si>
    <t>XCV2 - CLOSED @ 4:34 AM WATER ELEVATION (9.5 M)</t>
  </si>
  <si>
    <t>Additional 3 psi to target discharge pressure from 12:01 PM to 5:01 PM ( MAY 26, 2018) as per request of Engr. Frances Morla (SPM-South), due to shifting of WSR and Posadas Influence area.</t>
  </si>
  <si>
    <t>SP1 - STOPPED @ 10:00 PM DUE TO PARAMETER CAPACITY OF 2.3 ELEVATION LEVEL</t>
  </si>
  <si>
    <t>Additional 3 psi to target discharge pressure from 12:01 PM to 5:01 PM ( MAY 27, 2018) as per request of Engr. Frances Morla (SPM-South), due to shifting of WSR and Posadas Influence area.</t>
  </si>
  <si>
    <t>JONEL V. LLAGUNO / PAUL G. LABIAN</t>
  </si>
  <si>
    <t>2B</t>
  </si>
  <si>
    <t>XCV2 - CLOSED @ 3:40 AM WATER ELEVATION (9.5 M)</t>
  </si>
  <si>
    <t>SP1 - STARTED @ 5:55 AM TO MEET 83 PSI TARGET DISCHARGE PRESSURE</t>
  </si>
  <si>
    <t>Additional 3 psi to target discharge pressure from 12:01 PM to 5:01 PM ( MAY 28, 2018) as per request of Engr. Frances Morla (SPM-South), due to shifting of WSR and Posadas Influence area.</t>
  </si>
  <si>
    <t>XCV2 - CLOSED @ 4:20 AM WATER ELEVATION (9.5 M)</t>
  </si>
  <si>
    <t>Additional 3 psi to target discharge pressure from 12:01 PM to 5:01 PM ( MAY 29, 2018) as per request of Engr. Frances Morla (SPM-South), due to shifting of WSR and Posadas Influence area.</t>
  </si>
  <si>
    <t>SP2 - STOPPED @ 9:11 PM DUE TO PARAMETER CAPACITY OF 1.6 ELEVATION LEVEL</t>
  </si>
  <si>
    <t>XCV2 - CLOSED @ 4:02 AM WATER ELEVATION (9.5 M)</t>
  </si>
  <si>
    <t>Additional 3 psi to target discharge pressure from 12:01 PM to 5:01 PM ( MAY 30, 2018) as per request of Engr. Frances Morla (SPM-South), due to shifting of WSR and Posadas Influence area.</t>
  </si>
  <si>
    <t>Additional 3 psi to target discharge pressure from 12:01 PM to 5:01 PM ( MAY 31, 2018) as per request of Engr. Frances Morla (SPM-South), due to shifting of WSR and Posadas Influence area.</t>
  </si>
  <si>
    <t>SP2 - STOPPED @ 9:11 PM DUE TO PARAMETER CAPACITY OF 2.1 ELEVATION LEVEL</t>
  </si>
  <si>
    <t>date</t>
  </si>
  <si>
    <t>from</t>
  </si>
  <si>
    <t>to</t>
  </si>
  <si>
    <t>suction_psi</t>
  </si>
  <si>
    <t>a5</t>
  </si>
  <si>
    <t>a6</t>
  </si>
  <si>
    <t>discharge_psi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</si>
  <si>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</si>
  <si>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</si>
  <si>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</si>
  <si>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</si>
  <si>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</si>
  <si>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</si>
  <si>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</si>
  <si>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</si>
  <si>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</si>
  <si>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</si>
  <si>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</si>
  <si>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</si>
  <si>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</si>
  <si>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</si>
  <si>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total_pro_hour</t>
  </si>
  <si>
    <t>chamber1</t>
  </si>
  <si>
    <t>chamber2</t>
  </si>
  <si>
    <t>a25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</si>
  <si>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</si>
  <si>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</si>
  <si>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</si>
  <si>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</si>
  <si>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</si>
  <si>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</si>
  <si>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</si>
  <si>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</si>
  <si>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a34</t>
  </si>
  <si>
    <t>a35</t>
  </si>
  <si>
    <t>total_power_hour</t>
  </si>
  <si>
    <t>ratio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</si>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</sst>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m/d/yyyy;@"/>
    <numFmt numFmtId="165" formatCode="[$-3409]dddd\,\ mmmm\ dd\,\ yyyy;@"/>
    <numFmt numFmtId="166" formatCode="_(* #,##0_);_(* \(#,##0\);_(* &quot;-&quot;??_);_(@_)"/>
    <numFmt numFmtId="167" formatCode="0.0"/>
    <numFmt numFmtId="168" formatCode="#,##0.000_);\(#,##0.000\)"/>
    <numFmt numFmtId="169" formatCode="dd\-mmm\-yy"/>
  </numFmts>
  <fonts count="6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9"/>
      <color rgb="FFFF0000"/>
      <name val="Calibri"/>
      <family val="2"/>
      <scheme val="minor"/>
    </font>
    <font>
      <i/>
      <sz val="9"/>
      <color rgb="FFFF000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 tint="0.249977111117893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vertAlign val="superscript"/>
      <sz val="9"/>
      <color theme="1"/>
      <name val="Calibri"/>
      <family val="2"/>
      <scheme val="minor"/>
    </font>
    <font>
      <b/>
      <i/>
      <sz val="9"/>
      <color rgb="FFC00000"/>
      <name val="Calibri"/>
      <family val="2"/>
      <scheme val="minor"/>
    </font>
    <font>
      <sz val="10"/>
      <name val="Arial"/>
      <family val="2"/>
    </font>
    <font>
      <i/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i/>
      <sz val="10"/>
      <color rgb="FFC0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i/>
      <sz val="10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i/>
      <sz val="10"/>
      <color rgb="FF002060"/>
      <name val="Calibri"/>
      <family val="2"/>
      <scheme val="minor"/>
    </font>
    <font>
      <sz val="10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sz val="8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i/>
      <sz val="10"/>
      <color theme="1" tint="4.9989318521683403E-2"/>
      <name val="Calibri"/>
      <family val="2"/>
      <scheme val="minor"/>
    </font>
    <font>
      <sz val="10"/>
      <name val="Cambria"/>
      <family val="1"/>
      <scheme val="major"/>
    </font>
  </fonts>
  <fills count="5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5B6B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7030A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26" fillId="0" borderId="0"/>
    <xf numFmtId="0" fontId="32" fillId="0" borderId="0" applyNumberFormat="0" applyFill="0" applyBorder="0" applyAlignment="0" applyProtection="0"/>
    <xf numFmtId="0" fontId="33" fillId="0" borderId="13" applyNumberFormat="0" applyFill="0" applyAlignment="0" applyProtection="0"/>
    <xf numFmtId="0" fontId="34" fillId="0" borderId="14" applyNumberFormat="0" applyFill="0" applyAlignment="0" applyProtection="0"/>
    <xf numFmtId="0" fontId="35" fillId="0" borderId="15" applyNumberFormat="0" applyFill="0" applyAlignment="0" applyProtection="0"/>
    <xf numFmtId="0" fontId="35" fillId="0" borderId="0" applyNumberFormat="0" applyFill="0" applyBorder="0" applyAlignment="0" applyProtection="0"/>
    <xf numFmtId="0" fontId="36" fillId="18" borderId="0" applyNumberFormat="0" applyBorder="0" applyAlignment="0" applyProtection="0"/>
    <xf numFmtId="0" fontId="37" fillId="19" borderId="0" applyNumberFormat="0" applyBorder="0" applyAlignment="0" applyProtection="0"/>
    <xf numFmtId="0" fontId="38" fillId="20" borderId="0" applyNumberFormat="0" applyBorder="0" applyAlignment="0" applyProtection="0"/>
    <xf numFmtId="0" fontId="39" fillId="21" borderId="16" applyNumberFormat="0" applyAlignment="0" applyProtection="0"/>
    <xf numFmtId="0" fontId="40" fillId="22" borderId="17" applyNumberFormat="0" applyAlignment="0" applyProtection="0"/>
    <xf numFmtId="0" fontId="41" fillId="22" borderId="16" applyNumberFormat="0" applyAlignment="0" applyProtection="0"/>
    <xf numFmtId="0" fontId="42" fillId="0" borderId="18" applyNumberFormat="0" applyFill="0" applyAlignment="0" applyProtection="0"/>
    <xf numFmtId="0" fontId="43" fillId="23" borderId="19" applyNumberFormat="0" applyAlignment="0" applyProtection="0"/>
    <xf numFmtId="0" fontId="2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3" fillId="0" borderId="21" applyNumberFormat="0" applyFill="0" applyAlignment="0" applyProtection="0"/>
    <xf numFmtId="0" fontId="45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5" fillId="28" borderId="0" applyNumberFormat="0" applyBorder="0" applyAlignment="0" applyProtection="0"/>
    <xf numFmtId="0" fontId="45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5" fillId="32" borderId="0" applyNumberFormat="0" applyBorder="0" applyAlignment="0" applyProtection="0"/>
    <xf numFmtId="0" fontId="45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45" fillId="36" borderId="0" applyNumberFormat="0" applyBorder="0" applyAlignment="0" applyProtection="0"/>
    <xf numFmtId="0" fontId="45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45" fillId="40" borderId="0" applyNumberFormat="0" applyBorder="0" applyAlignment="0" applyProtection="0"/>
    <xf numFmtId="0" fontId="45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45" fillId="44" borderId="0" applyNumberFormat="0" applyBorder="0" applyAlignment="0" applyProtection="0"/>
    <xf numFmtId="0" fontId="45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0" fontId="45" fillId="48" borderId="0" applyNumberFormat="0" applyBorder="0" applyAlignment="0" applyProtection="0"/>
    <xf numFmtId="0" fontId="47" fillId="0" borderId="0"/>
    <xf numFmtId="0" fontId="26" fillId="0" borderId="0"/>
    <xf numFmtId="0" fontId="26" fillId="0" borderId="0"/>
    <xf numFmtId="0" fontId="26" fillId="0" borderId="0"/>
    <xf numFmtId="0" fontId="46" fillId="24" borderId="20" applyNumberFormat="0" applyFont="0" applyAlignment="0" applyProtection="0"/>
    <xf numFmtId="0" fontId="26" fillId="0" borderId="0"/>
    <xf numFmtId="43" fontId="1" fillId="0" borderId="0" applyFont="0" applyFill="0" applyBorder="0" applyAlignment="0" applyProtection="0"/>
    <xf numFmtId="0" fontId="1" fillId="0" borderId="0"/>
    <xf numFmtId="43" fontId="48" fillId="0" borderId="0" applyFont="0" applyFill="0" applyBorder="0" applyAlignment="0" applyProtection="0"/>
    <xf numFmtId="0" fontId="48" fillId="0" borderId="0"/>
    <xf numFmtId="43" fontId="26" fillId="0" borderId="0" applyFont="0" applyFill="0" applyBorder="0" applyAlignment="0" applyProtection="0"/>
    <xf numFmtId="0" fontId="26" fillId="0" borderId="0"/>
  </cellStyleXfs>
  <cellXfs count="358">
    <xf numFmtId="0" fontId="0" fillId="0" borderId="0" xfId="0"/>
    <xf numFmtId="1" fontId="5" fillId="49" borderId="1" xfId="0" applyNumberFormat="1" applyFont="1" applyFill="1" applyBorder="1" applyAlignment="1">
      <alignment horizontal="center" vertical="center"/>
    </xf>
    <xf numFmtId="0" fontId="4" fillId="0" borderId="0" xfId="0" applyFont="1" applyFill="1"/>
    <xf numFmtId="0" fontId="6" fillId="0" borderId="0" xfId="0" applyFont="1" applyAlignment="1">
      <alignment horizontal="left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10" fillId="0" borderId="0" xfId="0" applyFont="1" applyBorder="1" applyAlignment="1">
      <alignment horizontal="center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Font="1" applyBorder="1" applyAlignment="1">
      <alignment horizontal="center" vertical="center"/>
    </xf>
    <xf numFmtId="0" fontId="5" fillId="0" borderId="0" xfId="0" applyFont="1" applyAlignment="1">
      <alignment wrapText="1"/>
    </xf>
    <xf numFmtId="0" fontId="7" fillId="0" borderId="0" xfId="0" applyFont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13" fillId="0" borderId="0" xfId="0" applyFont="1" applyAlignment="1">
      <alignment horizontal="left"/>
    </xf>
    <xf numFmtId="0" fontId="6" fillId="0" borderId="0" xfId="0" applyFont="1" applyBorder="1" applyAlignment="1">
      <alignment horizontal="left"/>
    </xf>
    <xf numFmtId="0" fontId="5" fillId="0" borderId="0" xfId="0" applyFont="1" applyBorder="1"/>
    <xf numFmtId="0" fontId="10" fillId="0" borderId="0" xfId="0" applyFont="1" applyBorder="1" applyAlignment="1">
      <alignment vertical="center" wrapText="1"/>
    </xf>
    <xf numFmtId="0" fontId="14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11" fillId="0" borderId="0" xfId="0" applyFont="1" applyBorder="1" applyAlignment="1"/>
    <xf numFmtId="0" fontId="11" fillId="0" borderId="0" xfId="0" applyFont="1" applyBorder="1" applyAlignment="1">
      <alignment wrapText="1"/>
    </xf>
    <xf numFmtId="0" fontId="5" fillId="0" borderId="0" xfId="0" applyFont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/>
    </xf>
    <xf numFmtId="0" fontId="6" fillId="0" borderId="0" xfId="0" applyFont="1" applyAlignment="1"/>
    <xf numFmtId="166" fontId="6" fillId="4" borderId="1" xfId="1" applyNumberFormat="1" applyFont="1" applyFill="1" applyBorder="1" applyAlignment="1">
      <alignment horizontal="center" vertical="center"/>
    </xf>
    <xf numFmtId="2" fontId="6" fillId="4" borderId="1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/>
    </xf>
    <xf numFmtId="0" fontId="6" fillId="3" borderId="1" xfId="0" applyFont="1" applyFill="1" applyBorder="1" applyAlignment="1" applyProtection="1">
      <alignment horizontal="center" vertical="center" wrapText="1"/>
    </xf>
    <xf numFmtId="0" fontId="17" fillId="6" borderId="5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 applyProtection="1">
      <alignment horizontal="center" vertical="center"/>
      <protection hidden="1"/>
    </xf>
    <xf numFmtId="0" fontId="3" fillId="6" borderId="1" xfId="0" applyFont="1" applyFill="1" applyBorder="1" applyAlignment="1">
      <alignment horizontal="center" vertical="center"/>
    </xf>
    <xf numFmtId="0" fontId="6" fillId="6" borderId="1" xfId="0" applyNumberFormat="1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 applyProtection="1">
      <alignment horizontal="center" vertical="center"/>
      <protection hidden="1"/>
    </xf>
    <xf numFmtId="18" fontId="5" fillId="8" borderId="1" xfId="0" applyNumberFormat="1" applyFont="1" applyFill="1" applyBorder="1" applyAlignment="1">
      <alignment horizontal="center" vertical="center"/>
    </xf>
    <xf numFmtId="167" fontId="18" fillId="10" borderId="1" xfId="0" applyNumberFormat="1" applyFont="1" applyFill="1" applyBorder="1" applyAlignment="1" applyProtection="1">
      <alignment horizontal="center" vertical="center"/>
    </xf>
    <xf numFmtId="167" fontId="19" fillId="10" borderId="1" xfId="0" applyNumberFormat="1" applyFont="1" applyFill="1" applyBorder="1" applyAlignment="1" applyProtection="1">
      <alignment horizontal="center" vertical="center"/>
    </xf>
    <xf numFmtId="167" fontId="5" fillId="11" borderId="1" xfId="0" applyNumberFormat="1" applyFont="1" applyFill="1" applyBorder="1" applyAlignment="1" applyProtection="1">
      <alignment horizontal="center" vertical="center"/>
    </xf>
    <xf numFmtId="167" fontId="5" fillId="11" borderId="1" xfId="0" applyNumberFormat="1" applyFont="1" applyFill="1" applyBorder="1" applyAlignment="1">
      <alignment horizontal="center" vertical="center"/>
    </xf>
    <xf numFmtId="1" fontId="20" fillId="7" borderId="1" xfId="0" applyNumberFormat="1" applyFont="1" applyFill="1" applyBorder="1" applyAlignment="1">
      <alignment horizontal="center" vertical="center"/>
    </xf>
    <xf numFmtId="168" fontId="5" fillId="12" borderId="1" xfId="1" applyNumberFormat="1" applyFont="1" applyFill="1" applyBorder="1" applyAlignment="1">
      <alignment horizontal="center" vertical="center"/>
    </xf>
    <xf numFmtId="0" fontId="5" fillId="5" borderId="1" xfId="2" applyNumberFormat="1" applyFont="1" applyFill="1" applyBorder="1" applyAlignment="1">
      <alignment horizontal="center" vertical="center" wrapText="1"/>
    </xf>
    <xf numFmtId="43" fontId="20" fillId="13" borderId="1" xfId="0" applyNumberFormat="1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left" vertical="center" wrapText="1"/>
    </xf>
    <xf numFmtId="0" fontId="10" fillId="0" borderId="0" xfId="0" applyFont="1"/>
    <xf numFmtId="0" fontId="6" fillId="0" borderId="0" xfId="0" applyFont="1"/>
    <xf numFmtId="0" fontId="6" fillId="6" borderId="1" xfId="0" applyFont="1" applyFill="1" applyBorder="1"/>
    <xf numFmtId="0" fontId="6" fillId="6" borderId="1" xfId="0" applyFont="1" applyFill="1" applyBorder="1" applyAlignment="1">
      <alignment horizontal="center" vertical="center"/>
    </xf>
    <xf numFmtId="0" fontId="5" fillId="2" borderId="1" xfId="0" applyFont="1" applyFill="1" applyBorder="1"/>
    <xf numFmtId="0" fontId="0" fillId="6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167" fontId="5" fillId="11" borderId="2" xfId="0" applyNumberFormat="1" applyFont="1" applyFill="1" applyBorder="1" applyAlignment="1">
      <alignment horizontal="center" vertical="center"/>
    </xf>
    <xf numFmtId="0" fontId="5" fillId="6" borderId="1" xfId="0" applyFont="1" applyFill="1" applyBorder="1"/>
    <xf numFmtId="166" fontId="22" fillId="13" borderId="1" xfId="1" applyNumberFormat="1" applyFont="1" applyFill="1" applyBorder="1" applyAlignment="1">
      <alignment horizontal="center" vertical="center"/>
    </xf>
    <xf numFmtId="43" fontId="12" fillId="13" borderId="1" xfId="1" applyNumberFormat="1" applyFont="1" applyFill="1" applyBorder="1" applyAlignment="1">
      <alignment horizontal="center" vertical="center"/>
    </xf>
    <xf numFmtId="0" fontId="0" fillId="6" borderId="1" xfId="0" applyFill="1" applyBorder="1"/>
    <xf numFmtId="1" fontId="0" fillId="6" borderId="3" xfId="0" applyNumberFormat="1" applyFill="1" applyBorder="1" applyAlignment="1">
      <alignment horizontal="center"/>
    </xf>
    <xf numFmtId="1" fontId="23" fillId="16" borderId="1" xfId="0" applyNumberFormat="1" applyFont="1" applyFill="1" applyBorder="1" applyAlignment="1"/>
    <xf numFmtId="2" fontId="22" fillId="13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left" vertical="center"/>
    </xf>
    <xf numFmtId="0" fontId="5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center" vertical="center"/>
    </xf>
    <xf numFmtId="43" fontId="6" fillId="17" borderId="0" xfId="1" applyFont="1" applyFill="1" applyBorder="1" applyAlignment="1">
      <alignment horizontal="center"/>
    </xf>
    <xf numFmtId="0" fontId="31" fillId="0" borderId="11" xfId="0" applyFont="1" applyFill="1" applyBorder="1" applyAlignment="1"/>
    <xf numFmtId="0" fontId="27" fillId="17" borderId="0" xfId="0" applyFont="1" applyFill="1" applyBorder="1" applyAlignment="1"/>
    <xf numFmtId="0" fontId="49" fillId="2" borderId="1" xfId="0" applyFont="1" applyFill="1" applyBorder="1" applyAlignment="1">
      <alignment horizontal="center" vertical="center"/>
    </xf>
    <xf numFmtId="0" fontId="5" fillId="0" borderId="11" xfId="0" applyFont="1" applyBorder="1"/>
    <xf numFmtId="0" fontId="50" fillId="0" borderId="11" xfId="0" applyFont="1" applyBorder="1"/>
    <xf numFmtId="0" fontId="6" fillId="6" borderId="2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0" fillId="6" borderId="2" xfId="0" applyFill="1" applyBorder="1"/>
    <xf numFmtId="0" fontId="5" fillId="6" borderId="2" xfId="0" applyFont="1" applyFill="1" applyBorder="1"/>
    <xf numFmtId="0" fontId="5" fillId="6" borderId="4" xfId="0" applyFont="1" applyFill="1" applyBorder="1"/>
    <xf numFmtId="167" fontId="5" fillId="6" borderId="2" xfId="0" applyNumberFormat="1" applyFont="1" applyFill="1" applyBorder="1"/>
    <xf numFmtId="167" fontId="5" fillId="6" borderId="3" xfId="0" applyNumberFormat="1" applyFont="1" applyFill="1" applyBorder="1"/>
    <xf numFmtId="167" fontId="5" fillId="6" borderId="4" xfId="0" applyNumberFormat="1" applyFont="1" applyFill="1" applyBorder="1"/>
    <xf numFmtId="0" fontId="0" fillId="0" borderId="0" xfId="0"/>
    <xf numFmtId="0" fontId="5" fillId="0" borderId="0" xfId="0" applyFont="1"/>
    <xf numFmtId="0" fontId="21" fillId="0" borderId="0" xfId="0" applyFont="1" applyFill="1" applyBorder="1" applyAlignment="1">
      <alignment horizontal="center" vertical="center"/>
    </xf>
    <xf numFmtId="0" fontId="25" fillId="0" borderId="0" xfId="0" applyFont="1" applyFill="1" applyBorder="1" applyAlignment="1"/>
    <xf numFmtId="9" fontId="25" fillId="0" borderId="0" xfId="2" applyFont="1" applyFill="1" applyBorder="1" applyAlignment="1"/>
    <xf numFmtId="9" fontId="25" fillId="0" borderId="0" xfId="2" applyFont="1" applyFill="1" applyBorder="1" applyAlignment="1">
      <alignment wrapText="1"/>
    </xf>
    <xf numFmtId="0" fontId="28" fillId="17" borderId="11" xfId="4" applyFont="1" applyFill="1" applyBorder="1" applyAlignment="1">
      <alignment horizontal="left"/>
    </xf>
    <xf numFmtId="0" fontId="29" fillId="17" borderId="11" xfId="0" applyFont="1" applyFill="1" applyBorder="1" applyAlignment="1">
      <alignment horizontal="left"/>
    </xf>
    <xf numFmtId="0" fontId="30" fillId="0" borderId="3" xfId="0" applyFont="1" applyFill="1" applyBorder="1" applyAlignment="1"/>
    <xf numFmtId="0" fontId="29" fillId="17" borderId="11" xfId="4" applyFont="1" applyFill="1" applyBorder="1" applyAlignment="1">
      <alignment horizontal="left"/>
    </xf>
    <xf numFmtId="167" fontId="5" fillId="2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17" borderId="3" xfId="0" applyFill="1" applyBorder="1"/>
    <xf numFmtId="1" fontId="5" fillId="6" borderId="1" xfId="0" applyNumberFormat="1" applyFont="1" applyFill="1" applyBorder="1" applyAlignment="1">
      <alignment horizontal="center" vertical="center"/>
    </xf>
    <xf numFmtId="0" fontId="0" fillId="17" borderId="0" xfId="0" applyFill="1"/>
    <xf numFmtId="1" fontId="5" fillId="3" borderId="1" xfId="0" applyNumberFormat="1" applyFont="1" applyFill="1" applyBorder="1" applyAlignment="1">
      <alignment horizontal="center" vertical="center"/>
    </xf>
    <xf numFmtId="0" fontId="51" fillId="17" borderId="11" xfId="4" applyFont="1" applyFill="1" applyBorder="1" applyAlignment="1">
      <alignment horizontal="left"/>
    </xf>
    <xf numFmtId="0" fontId="51" fillId="17" borderId="11" xfId="0" applyFont="1" applyFill="1" applyBorder="1" applyAlignment="1">
      <alignment horizontal="left"/>
    </xf>
    <xf numFmtId="0" fontId="53" fillId="0" borderId="11" xfId="0" applyFont="1" applyFill="1" applyBorder="1" applyAlignment="1"/>
    <xf numFmtId="0" fontId="52" fillId="17" borderId="3" xfId="0" applyFont="1" applyFill="1" applyBorder="1"/>
    <xf numFmtId="0" fontId="29" fillId="0" borderId="11" xfId="4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center"/>
    </xf>
    <xf numFmtId="0" fontId="51" fillId="0" borderId="11" xfId="4" applyFont="1" applyFill="1" applyBorder="1" applyAlignment="1">
      <alignment horizontal="left"/>
    </xf>
    <xf numFmtId="0" fontId="51" fillId="0" borderId="11" xfId="0" applyFont="1" applyFill="1" applyBorder="1" applyAlignment="1">
      <alignment horizontal="left"/>
    </xf>
    <xf numFmtId="0" fontId="53" fillId="0" borderId="3" xfId="4" applyFont="1" applyFill="1" applyBorder="1" applyAlignment="1">
      <alignment horizontal="left"/>
    </xf>
    <xf numFmtId="0" fontId="51" fillId="0" borderId="3" xfId="4" applyFont="1" applyFill="1" applyBorder="1" applyAlignment="1">
      <alignment horizontal="left"/>
    </xf>
    <xf numFmtId="0" fontId="51" fillId="17" borderId="3" xfId="4" applyFont="1" applyFill="1" applyBorder="1" applyAlignment="1">
      <alignment horizontal="left"/>
    </xf>
    <xf numFmtId="0" fontId="28" fillId="17" borderId="3" xfId="4" applyFont="1" applyFill="1" applyBorder="1" applyAlignment="1">
      <alignment horizontal="left"/>
    </xf>
    <xf numFmtId="0" fontId="29" fillId="50" borderId="11" xfId="0" applyFont="1" applyFill="1" applyBorder="1" applyAlignment="1">
      <alignment horizontal="left"/>
    </xf>
    <xf numFmtId="0" fontId="5" fillId="50" borderId="11" xfId="0" applyFont="1" applyFill="1" applyBorder="1"/>
    <xf numFmtId="1" fontId="5" fillId="51" borderId="1" xfId="0" applyNumberFormat="1" applyFont="1" applyFill="1" applyBorder="1" applyAlignment="1">
      <alignment horizontal="center" vertical="center"/>
    </xf>
    <xf numFmtId="2" fontId="0" fillId="15" borderId="1" xfId="0" applyNumberFormat="1" applyFont="1" applyFill="1" applyBorder="1" applyAlignment="1">
      <alignment horizontal="center" vertical="center"/>
    </xf>
    <xf numFmtId="0" fontId="53" fillId="17" borderId="11" xfId="4" applyFont="1" applyFill="1" applyBorder="1" applyAlignment="1">
      <alignment horizontal="left"/>
    </xf>
    <xf numFmtId="0" fontId="6" fillId="4" borderId="5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5" fillId="5" borderId="3" xfId="2" applyNumberFormat="1" applyFont="1" applyFill="1" applyBorder="1" applyAlignment="1">
      <alignment horizontal="center" vertical="center" wrapText="1"/>
    </xf>
    <xf numFmtId="0" fontId="15" fillId="5" borderId="3" xfId="0" applyNumberFormat="1" applyFont="1" applyFill="1" applyBorder="1" applyAlignment="1">
      <alignment horizontal="center" vertical="center"/>
    </xf>
    <xf numFmtId="0" fontId="6" fillId="4" borderId="3" xfId="0" applyNumberFormat="1" applyFont="1" applyFill="1" applyBorder="1" applyAlignment="1">
      <alignment horizontal="center" vertical="center"/>
    </xf>
    <xf numFmtId="2" fontId="6" fillId="4" borderId="5" xfId="0" applyNumberFormat="1" applyFont="1" applyFill="1" applyBorder="1" applyAlignment="1">
      <alignment horizontal="center" vertical="center"/>
    </xf>
    <xf numFmtId="0" fontId="57" fillId="17" borderId="3" xfId="0" applyFont="1" applyFill="1" applyBorder="1" applyAlignment="1"/>
    <xf numFmtId="0" fontId="31" fillId="17" borderId="3" xfId="4" applyFont="1" applyFill="1" applyBorder="1" applyAlignment="1"/>
    <xf numFmtId="0" fontId="56" fillId="17" borderId="3" xfId="4" applyFont="1" applyFill="1" applyBorder="1" applyAlignment="1"/>
    <xf numFmtId="0" fontId="27" fillId="17" borderId="3" xfId="4" applyFont="1" applyFill="1" applyBorder="1" applyAlignment="1">
      <alignment horizontal="left"/>
    </xf>
    <xf numFmtId="0" fontId="30" fillId="0" borderId="11" xfId="0" applyFont="1" applyFill="1" applyBorder="1" applyAlignment="1"/>
    <xf numFmtId="0" fontId="30" fillId="0" borderId="0" xfId="0" applyFont="1" applyFill="1" applyBorder="1" applyAlignment="1"/>
    <xf numFmtId="0" fontId="5" fillId="6" borderId="3" xfId="0" applyFont="1" applyFill="1" applyBorder="1"/>
    <xf numFmtId="0" fontId="54" fillId="2" borderId="1" xfId="0" applyFont="1" applyFill="1" applyBorder="1" applyAlignment="1">
      <alignment horizontal="center" vertical="center"/>
    </xf>
    <xf numFmtId="0" fontId="59" fillId="17" borderId="3" xfId="4" applyFont="1" applyFill="1" applyBorder="1" applyAlignment="1">
      <alignment horizontal="left"/>
    </xf>
    <xf numFmtId="0" fontId="60" fillId="3" borderId="3" xfId="0" applyFont="1" applyFill="1" applyBorder="1" applyAlignment="1">
      <alignment horizontal="left"/>
    </xf>
    <xf numFmtId="0" fontId="54" fillId="3" borderId="11" xfId="4" applyFont="1" applyFill="1" applyBorder="1" applyAlignment="1">
      <alignment horizontal="left"/>
    </xf>
    <xf numFmtId="0" fontId="54" fillId="3" borderId="11" xfId="0" applyFont="1" applyFill="1" applyBorder="1" applyAlignment="1">
      <alignment horizontal="left"/>
    </xf>
    <xf numFmtId="0" fontId="54" fillId="3" borderId="11" xfId="0" applyFont="1" applyFill="1" applyBorder="1" applyAlignment="1"/>
    <xf numFmtId="0" fontId="54" fillId="3" borderId="3" xfId="0" applyFont="1" applyFill="1" applyBorder="1" applyAlignment="1"/>
    <xf numFmtId="0" fontId="61" fillId="17" borderId="3" xfId="4" applyFont="1" applyFill="1" applyBorder="1" applyAlignment="1"/>
    <xf numFmtId="0" fontId="62" fillId="0" borderId="11" xfId="0" applyFont="1" applyBorder="1"/>
    <xf numFmtId="0" fontId="59" fillId="17" borderId="11" xfId="4" applyFont="1" applyFill="1" applyBorder="1" applyAlignment="1">
      <alignment horizontal="left"/>
    </xf>
    <xf numFmtId="0" fontId="54" fillId="17" borderId="3" xfId="0" applyFont="1" applyFill="1" applyBorder="1" applyAlignment="1">
      <alignment horizontal="left"/>
    </xf>
    <xf numFmtId="0" fontId="53" fillId="17" borderId="11" xfId="0" applyFont="1" applyFill="1" applyBorder="1" applyAlignment="1"/>
    <xf numFmtId="0" fontId="31" fillId="17" borderId="11" xfId="0" applyFont="1" applyFill="1" applyBorder="1" applyAlignment="1"/>
    <xf numFmtId="0" fontId="59" fillId="17" borderId="0" xfId="4" applyFont="1" applyFill="1" applyBorder="1" applyAlignment="1">
      <alignment horizontal="left"/>
    </xf>
    <xf numFmtId="0" fontId="0" fillId="0" borderId="0" xfId="0" applyBorder="1"/>
    <xf numFmtId="0" fontId="5" fillId="0" borderId="0" xfId="0" applyFont="1" applyBorder="1" applyAlignment="1">
      <alignment wrapText="1"/>
    </xf>
    <xf numFmtId="0" fontId="58" fillId="17" borderId="0" xfId="4" applyFont="1" applyFill="1" applyBorder="1" applyAlignment="1">
      <alignment horizontal="left"/>
    </xf>
    <xf numFmtId="0" fontId="29" fillId="17" borderId="3" xfId="4" applyFont="1" applyFill="1" applyBorder="1" applyAlignment="1">
      <alignment horizontal="left"/>
    </xf>
    <xf numFmtId="167" fontId="5" fillId="5" borderId="1" xfId="0" applyNumberFormat="1" applyFont="1" applyFill="1" applyBorder="1" applyAlignment="1">
      <alignment horizontal="center" vertical="center"/>
    </xf>
    <xf numFmtId="9" fontId="5" fillId="5" borderId="1" xfId="2" applyFont="1" applyFill="1" applyBorder="1" applyAlignment="1">
      <alignment horizontal="center" vertical="center" wrapText="1"/>
    </xf>
    <xf numFmtId="1" fontId="5" fillId="9" borderId="1" xfId="0" applyNumberFormat="1" applyFont="1" applyFill="1" applyBorder="1" applyAlignment="1">
      <alignment horizontal="center" vertical="center"/>
    </xf>
    <xf numFmtId="1" fontId="5" fillId="7" borderId="1" xfId="0" applyNumberFormat="1" applyFont="1" applyFill="1" applyBorder="1" applyAlignment="1">
      <alignment horizontal="center" vertical="center"/>
    </xf>
    <xf numFmtId="1" fontId="5" fillId="5" borderId="1" xfId="2" applyNumberFormat="1" applyFont="1" applyFill="1" applyBorder="1" applyAlignment="1">
      <alignment horizontal="center" vertical="center" wrapText="1"/>
    </xf>
    <xf numFmtId="2" fontId="58" fillId="15" borderId="1" xfId="0" applyNumberFormat="1" applyFont="1" applyFill="1" applyBorder="1" applyAlignment="1">
      <alignment horizontal="center" vertical="center"/>
    </xf>
    <xf numFmtId="0" fontId="63" fillId="0" borderId="11" xfId="0" applyFont="1" applyBorder="1"/>
    <xf numFmtId="0" fontId="64" fillId="17" borderId="3" xfId="4" applyFont="1" applyFill="1" applyBorder="1" applyAlignment="1">
      <alignment horizontal="left"/>
    </xf>
    <xf numFmtId="0" fontId="29" fillId="17" borderId="7" xfId="4" applyFont="1" applyFill="1" applyBorder="1" applyAlignment="1">
      <alignment horizontal="left"/>
    </xf>
    <xf numFmtId="0" fontId="28" fillId="17" borderId="11" xfId="0" applyFont="1" applyFill="1" applyBorder="1" applyAlignment="1">
      <alignment horizontal="left"/>
    </xf>
    <xf numFmtId="0" fontId="60" fillId="17" borderId="3" xfId="0" applyFont="1" applyFill="1" applyBorder="1" applyAlignment="1"/>
    <xf numFmtId="0" fontId="55" fillId="17" borderId="3" xfId="4" applyFont="1" applyFill="1" applyBorder="1" applyAlignment="1"/>
    <xf numFmtId="0" fontId="29" fillId="17" borderId="3" xfId="4" applyFont="1" applyFill="1" applyBorder="1" applyAlignment="1"/>
    <xf numFmtId="0" fontId="65" fillId="50" borderId="7" xfId="0" applyFont="1" applyFill="1" applyBorder="1" applyAlignment="1">
      <alignment vertical="center"/>
    </xf>
    <xf numFmtId="0" fontId="28" fillId="3" borderId="3" xfId="0" applyFont="1" applyFill="1" applyBorder="1" applyAlignment="1">
      <alignment horizontal="left"/>
    </xf>
    <xf numFmtId="0" fontId="17" fillId="0" borderId="11" xfId="0" applyFont="1" applyBorder="1"/>
    <xf numFmtId="0" fontId="61" fillId="17" borderId="3" xfId="4" applyFont="1" applyFill="1" applyBorder="1" applyAlignment="1">
      <alignment horizontal="left"/>
    </xf>
    <xf numFmtId="0" fontId="58" fillId="0" borderId="11" xfId="0" applyFont="1" applyBorder="1" applyAlignment="1">
      <alignment horizontal="left" vertical="top"/>
    </xf>
    <xf numFmtId="0" fontId="58" fillId="17" borderId="3" xfId="4" applyFont="1" applyFill="1" applyBorder="1" applyAlignment="1"/>
    <xf numFmtId="0" fontId="60" fillId="2" borderId="1" xfId="0" applyFont="1" applyFill="1" applyBorder="1" applyAlignment="1">
      <alignment horizontal="center" vertical="center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1" fillId="17" borderId="7" xfId="4" applyFont="1" applyFill="1" applyBorder="1" applyAlignment="1">
      <alignment horizontal="left"/>
    </xf>
    <xf numFmtId="0" fontId="3" fillId="17" borderId="3" xfId="0" applyFont="1" applyFill="1" applyBorder="1"/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54" fillId="17" borderId="3" xfId="4" applyFont="1" applyFill="1" applyBorder="1" applyAlignment="1">
      <alignment horizontal="left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16" fillId="6" borderId="9" xfId="3" quotePrefix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6" fillId="6" borderId="9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6" fillId="6" borderId="1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6" borderId="12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15" fillId="6" borderId="9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12" fillId="13" borderId="4" xfId="0" applyFont="1" applyFill="1" applyBorder="1" applyAlignment="1">
      <alignment horizontal="center" vertical="center"/>
    </xf>
    <xf numFmtId="0" fontId="6" fillId="6" borderId="6" xfId="0" applyFont="1" applyFill="1" applyBorder="1" applyAlignment="1">
      <alignment horizontal="center" vertical="center" wrapText="1"/>
    </xf>
    <xf numFmtId="0" fontId="6" fillId="6" borderId="7" xfId="0" applyFont="1" applyFill="1" applyBorder="1" applyAlignment="1">
      <alignment horizontal="center" vertical="center" wrapText="1"/>
    </xf>
    <xf numFmtId="0" fontId="6" fillId="6" borderId="8" xfId="0" applyFont="1" applyFill="1" applyBorder="1" applyAlignment="1">
      <alignment horizontal="center" vertical="center" wrapText="1"/>
    </xf>
    <xf numFmtId="0" fontId="6" fillId="6" borderId="1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6" borderId="12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6" fillId="6" borderId="2" xfId="0" applyNumberFormat="1" applyFont="1" applyFill="1" applyBorder="1" applyAlignment="1">
      <alignment horizontal="center" vertical="center" wrapText="1"/>
    </xf>
    <xf numFmtId="0" fontId="6" fillId="6" borderId="3" xfId="0" applyNumberFormat="1" applyFont="1" applyFill="1" applyBorder="1" applyAlignment="1">
      <alignment horizontal="center" vertical="center" wrapText="1"/>
    </xf>
    <xf numFmtId="0" fontId="6" fillId="6" borderId="4" xfId="0" applyNumberFormat="1" applyFont="1" applyFill="1" applyBorder="1" applyAlignment="1">
      <alignment horizontal="center" vertical="center" wrapText="1"/>
    </xf>
    <xf numFmtId="0" fontId="15" fillId="6" borderId="5" xfId="0" applyFont="1" applyFill="1" applyBorder="1" applyAlignment="1">
      <alignment horizontal="center" vertical="center" wrapText="1"/>
    </xf>
    <xf numFmtId="0" fontId="15" fillId="6" borderId="9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6" fillId="6" borderId="9" xfId="0" applyFont="1" applyFill="1" applyBorder="1" applyAlignment="1">
      <alignment horizontal="center" vertical="center" wrapText="1"/>
    </xf>
    <xf numFmtId="0" fontId="5" fillId="5" borderId="2" xfId="2" applyNumberFormat="1" applyFont="1" applyFill="1" applyBorder="1" applyAlignment="1">
      <alignment horizontal="center" vertical="center" wrapText="1"/>
    </xf>
    <xf numFmtId="0" fontId="5" fillId="5" borderId="4" xfId="2" applyNumberFormat="1" applyFont="1" applyFill="1" applyBorder="1" applyAlignment="1">
      <alignment horizontal="center" vertical="center" wrapText="1"/>
    </xf>
    <xf numFmtId="0" fontId="6" fillId="4" borderId="2" xfId="0" applyNumberFormat="1" applyFont="1" applyFill="1" applyBorder="1" applyAlignment="1">
      <alignment horizontal="center" vertical="center"/>
    </xf>
    <xf numFmtId="0" fontId="6" fillId="4" borderId="4" xfId="0" applyNumberFormat="1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 wrapText="1"/>
    </xf>
    <xf numFmtId="0" fontId="6" fillId="6" borderId="4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16" fillId="6" borderId="5" xfId="3" quotePrefix="1" applyFill="1" applyBorder="1" applyAlignment="1">
      <alignment horizontal="center" vertical="center" wrapText="1"/>
    </xf>
    <xf numFmtId="0" fontId="16" fillId="6" borderId="9" xfId="3" quotePrefix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15" fillId="5" borderId="2" xfId="0" applyNumberFormat="1" applyFont="1" applyFill="1" applyBorder="1" applyAlignment="1">
      <alignment horizontal="center" vertical="center"/>
    </xf>
    <xf numFmtId="0" fontId="15" fillId="5" borderId="4" xfId="0" applyNumberFormat="1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/>
    </xf>
    <xf numFmtId="0" fontId="12" fillId="2" borderId="3" xfId="0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164" fontId="6" fillId="2" borderId="4" xfId="0" applyNumberFormat="1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9" fontId="0" fillId="0" borderId="0" xfId="0" applyNumberFormat="1"/>
  </cellXfs>
  <cellStyles count="57">
    <cellStyle name="20% - Accent1" xfId="22" builtinId="30" customBuiltin="1"/>
    <cellStyle name="20% - Accent2" xfId="26" builtinId="34" customBuiltin="1"/>
    <cellStyle name="20% - Accent3" xfId="30" builtinId="38" customBuiltin="1"/>
    <cellStyle name="20% - Accent4" xfId="34" builtinId="42" customBuiltin="1"/>
    <cellStyle name="20% - Accent5" xfId="38" builtinId="46" customBuiltin="1"/>
    <cellStyle name="20% - Accent6" xfId="42" builtinId="50" customBuiltin="1"/>
    <cellStyle name="40% - Accent1" xfId="23" builtinId="31" customBuiltin="1"/>
    <cellStyle name="40% - Accent2" xfId="27" builtinId="35" customBuiltin="1"/>
    <cellStyle name="40% - Accent3" xfId="31" builtinId="39" customBuiltin="1"/>
    <cellStyle name="40% - Accent4" xfId="35" builtinId="43" customBuiltin="1"/>
    <cellStyle name="40% - Accent5" xfId="39" builtinId="47" customBuiltin="1"/>
    <cellStyle name="40% - Accent6" xfId="43" builtinId="51" customBuiltin="1"/>
    <cellStyle name="60% - Accent1" xfId="24" builtinId="32" customBuiltin="1"/>
    <cellStyle name="60% - Accent2" xfId="28" builtinId="36" customBuiltin="1"/>
    <cellStyle name="60% - Accent3" xfId="32" builtinId="40" customBuiltin="1"/>
    <cellStyle name="60% - Accent4" xfId="36" builtinId="44" customBuiltin="1"/>
    <cellStyle name="60% - Accent5" xfId="40" builtinId="48" customBuiltin="1"/>
    <cellStyle name="60% - Accent6" xfId="44" builtinId="52" customBuiltin="1"/>
    <cellStyle name="Accent1" xfId="21" builtinId="29" customBuiltin="1"/>
    <cellStyle name="Accent2" xfId="25" builtinId="33" customBuiltin="1"/>
    <cellStyle name="Accent3" xfId="29" builtinId="37" customBuiltin="1"/>
    <cellStyle name="Accent4" xfId="33" builtinId="41" customBuiltin="1"/>
    <cellStyle name="Accent5" xfId="37" builtinId="45" customBuiltin="1"/>
    <cellStyle name="Accent6" xfId="41" builtinId="49" customBuiltin="1"/>
    <cellStyle name="Bad" xfId="11" builtinId="27" customBuiltin="1"/>
    <cellStyle name="Calculation" xfId="15" builtinId="22" customBuiltin="1"/>
    <cellStyle name="Check Cell" xfId="17" builtinId="23" customBuiltin="1"/>
    <cellStyle name="Comma" xfId="1" builtinId="3"/>
    <cellStyle name="Comma 2" xfId="51" xr:uid="{00000000-0005-0000-0000-00001C000000}"/>
    <cellStyle name="Comma 3" xfId="53" xr:uid="{00000000-0005-0000-0000-00001D000000}"/>
    <cellStyle name="Comma 3 2" xfId="55" xr:uid="{00000000-0005-0000-0000-00001E000000}"/>
    <cellStyle name="Explanatory Text" xfId="19" builtinId="53" customBuiltin="1"/>
    <cellStyle name="Good" xfId="10" builtinId="26" customBuiltin="1"/>
    <cellStyle name="Heading 1" xfId="6" builtinId="16" customBuiltin="1"/>
    <cellStyle name="Heading 2" xfId="7" builtinId="17" customBuiltin="1"/>
    <cellStyle name="Heading 3" xfId="8" builtinId="18" customBuiltin="1"/>
    <cellStyle name="Heading 4" xfId="9" builtinId="19" customBuiltin="1"/>
    <cellStyle name="Hyperlink" xfId="3" builtinId="8"/>
    <cellStyle name="Input" xfId="13" builtinId="20" customBuiltin="1"/>
    <cellStyle name="Linked Cell" xfId="16" builtinId="24" customBuiltin="1"/>
    <cellStyle name="Neutral" xfId="12" builtinId="28" customBuiltin="1"/>
    <cellStyle name="Normal" xfId="0" builtinId="0"/>
    <cellStyle name="Normal 2" xfId="50" xr:uid="{00000000-0005-0000-0000-00002A000000}"/>
    <cellStyle name="Normal 2 2" xfId="48" xr:uid="{00000000-0005-0000-0000-00002B000000}"/>
    <cellStyle name="Normal 2 3" xfId="45" xr:uid="{00000000-0005-0000-0000-00002C000000}"/>
    <cellStyle name="Normal 2 4" xfId="52" xr:uid="{00000000-0005-0000-0000-00002D000000}"/>
    <cellStyle name="Normal 2_JUNE 16-22" xfId="47" xr:uid="{00000000-0005-0000-0000-00002E000000}"/>
    <cellStyle name="Normal 3" xfId="4" xr:uid="{00000000-0005-0000-0000-00002F000000}"/>
    <cellStyle name="Normal 4" xfId="54" xr:uid="{00000000-0005-0000-0000-000030000000}"/>
    <cellStyle name="Normal 4 2" xfId="56" xr:uid="{00000000-0005-0000-0000-000031000000}"/>
    <cellStyle name="Normal 5" xfId="46" xr:uid="{00000000-0005-0000-0000-000032000000}"/>
    <cellStyle name="Note 2" xfId="49" xr:uid="{00000000-0005-0000-0000-000033000000}"/>
    <cellStyle name="Output" xfId="14" builtinId="21" customBuiltin="1"/>
    <cellStyle name="Percent" xfId="2" builtinId="5"/>
    <cellStyle name="Title" xfId="5" builtinId="15" customBuiltin="1"/>
    <cellStyle name="Total" xfId="20" builtinId="25" customBuiltin="1"/>
    <cellStyle name="Warning Text" xfId="18" builtinId="11" customBuiltin="1"/>
  </cellStyles>
  <dxfs count="527"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FF00"/>
      <color rgb="FF0000FF"/>
      <color rgb="FFF2DC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VILLAMOR%20DAILY%20DATA%20-%20APR%20201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R 1"/>
      <sheetName val="APR 2"/>
      <sheetName val="APR 3"/>
      <sheetName val="APR 4"/>
      <sheetName val="APR 5"/>
      <sheetName val="APR 6"/>
      <sheetName val="APR 7"/>
      <sheetName val="APR 8"/>
      <sheetName val="APR 9"/>
      <sheetName val="APR 10"/>
      <sheetName val="APR 11"/>
      <sheetName val="APR 12"/>
      <sheetName val="APR 13"/>
      <sheetName val="APR 14"/>
      <sheetName val="APR 15"/>
      <sheetName val="APR 16"/>
      <sheetName val="APR 17"/>
      <sheetName val="APR 18"/>
      <sheetName val="APR 19"/>
      <sheetName val="APR 20"/>
      <sheetName val="APR 21"/>
      <sheetName val="APR 22"/>
      <sheetName val="APR 23"/>
      <sheetName val="APR 24"/>
      <sheetName val="APR 25"/>
      <sheetName val="APR 26"/>
      <sheetName val="APR 27"/>
      <sheetName val="APR 28"/>
      <sheetName val="APR 29"/>
      <sheetName val="APR 3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D12">
            <v>4</v>
          </cell>
        </row>
      </sheetData>
      <sheetData sheetId="8">
        <row r="12">
          <cell r="D12">
            <v>4</v>
          </cell>
        </row>
      </sheetData>
      <sheetData sheetId="9">
        <row r="12">
          <cell r="D12" t="str">
            <v>DEF</v>
          </cell>
        </row>
      </sheetData>
      <sheetData sheetId="10">
        <row r="12">
          <cell r="D12" t="str">
            <v>DEF</v>
          </cell>
        </row>
      </sheetData>
      <sheetData sheetId="11">
        <row r="12">
          <cell r="D12" t="str">
            <v>DEF</v>
          </cell>
        </row>
      </sheetData>
      <sheetData sheetId="12">
        <row r="12">
          <cell r="D12">
            <v>4</v>
          </cell>
        </row>
      </sheetData>
      <sheetData sheetId="13">
        <row r="12">
          <cell r="D12">
            <v>4</v>
          </cell>
        </row>
      </sheetData>
      <sheetData sheetId="14">
        <row r="12">
          <cell r="D12" t="str">
            <v>DEF</v>
          </cell>
        </row>
      </sheetData>
      <sheetData sheetId="15">
        <row r="12">
          <cell r="D12">
            <v>4</v>
          </cell>
        </row>
      </sheetData>
      <sheetData sheetId="16">
        <row r="12">
          <cell r="D12" t="str">
            <v>DEF</v>
          </cell>
        </row>
      </sheetData>
      <sheetData sheetId="17">
        <row r="12">
          <cell r="W12">
            <v>4.5999999999999996</v>
          </cell>
        </row>
      </sheetData>
      <sheetData sheetId="18">
        <row r="12">
          <cell r="D12" t="str">
            <v>DEF</v>
          </cell>
        </row>
      </sheetData>
      <sheetData sheetId="19">
        <row r="12">
          <cell r="D12" t="str">
            <v>DEF</v>
          </cell>
        </row>
      </sheetData>
      <sheetData sheetId="20">
        <row r="12">
          <cell r="D12" t="str">
            <v>DEF</v>
          </cell>
        </row>
      </sheetData>
      <sheetData sheetId="21">
        <row r="12">
          <cell r="D12">
            <v>4</v>
          </cell>
        </row>
      </sheetData>
      <sheetData sheetId="22">
        <row r="12">
          <cell r="D12" t="str">
            <v>DEF</v>
          </cell>
        </row>
      </sheetData>
      <sheetData sheetId="23">
        <row r="12">
          <cell r="D12">
            <v>4</v>
          </cell>
        </row>
      </sheetData>
      <sheetData sheetId="24">
        <row r="12">
          <cell r="D12">
            <v>3</v>
          </cell>
        </row>
      </sheetData>
      <sheetData sheetId="25">
        <row r="12">
          <cell r="D12" t="str">
            <v>DEF</v>
          </cell>
        </row>
      </sheetData>
      <sheetData sheetId="26">
        <row r="12">
          <cell r="D12">
            <v>4</v>
          </cell>
        </row>
      </sheetData>
      <sheetData sheetId="27">
        <row r="12">
          <cell r="D12">
            <v>4</v>
          </cell>
        </row>
      </sheetData>
      <sheetData sheetId="28">
        <row r="12">
          <cell r="D12">
            <v>3</v>
          </cell>
        </row>
      </sheetData>
      <sheetData sheetId="29">
        <row r="12">
          <cell r="D12">
            <v>3</v>
          </cell>
        </row>
        <row r="35">
          <cell r="S35">
            <v>93060983</v>
          </cell>
          <cell r="AI35">
            <v>15351806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0">
    <tabColor rgb="FF7030A0"/>
  </sheetPr>
  <dimension ref="A2:BB88"/>
  <sheetViews>
    <sheetView topLeftCell="A4" zoomScaleNormal="100" workbookViewId="0">
      <selection activeCell="F12" sqref="F12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47" t="s">
        <v>158</v>
      </c>
      <c r="S3" s="348"/>
      <c r="T3" s="348"/>
      <c r="U3" s="348"/>
      <c r="V3" s="348"/>
      <c r="W3" s="34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47" t="s">
        <v>143</v>
      </c>
      <c r="S4" s="348"/>
      <c r="T4" s="348"/>
      <c r="U4" s="348"/>
      <c r="V4" s="348"/>
      <c r="W4" s="34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47" t="s">
        <v>151</v>
      </c>
      <c r="S5" s="348"/>
      <c r="T5" s="348"/>
      <c r="U5" s="348"/>
      <c r="V5" s="348"/>
      <c r="W5" s="34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50" t="s">
        <v>6</v>
      </c>
      <c r="C6" s="351"/>
      <c r="D6" s="352" t="s">
        <v>7</v>
      </c>
      <c r="E6" s="353"/>
      <c r="F6" s="353"/>
      <c r="G6" s="353"/>
      <c r="H6" s="353"/>
      <c r="I6" s="353"/>
      <c r="J6" s="354"/>
      <c r="K6" s="87"/>
      <c r="L6" s="87"/>
      <c r="M6" s="175"/>
      <c r="N6" s="355">
        <v>41686</v>
      </c>
      <c r="O6" s="356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37" t="s">
        <v>8</v>
      </c>
      <c r="C7" s="338"/>
      <c r="D7" s="337" t="s">
        <v>9</v>
      </c>
      <c r="E7" s="339"/>
      <c r="F7" s="339"/>
      <c r="G7" s="339"/>
      <c r="H7" s="339"/>
      <c r="I7" s="338"/>
      <c r="J7" s="180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180" t="s">
        <v>14</v>
      </c>
      <c r="R7" s="337" t="s">
        <v>15</v>
      </c>
      <c r="S7" s="339"/>
      <c r="T7" s="339"/>
      <c r="U7" s="339"/>
      <c r="V7" s="338"/>
      <c r="W7" s="337" t="s">
        <v>16</v>
      </c>
      <c r="X7" s="338"/>
      <c r="Y7" s="99" t="s">
        <v>17</v>
      </c>
      <c r="Z7" s="337" t="s">
        <v>18</v>
      </c>
      <c r="AA7" s="338"/>
      <c r="AB7" s="337" t="s">
        <v>19</v>
      </c>
      <c r="AC7" s="338"/>
      <c r="AD7" s="337" t="s">
        <v>20</v>
      </c>
      <c r="AE7" s="338"/>
      <c r="AF7" s="337" t="s">
        <v>21</v>
      </c>
      <c r="AG7" s="338"/>
      <c r="AH7" s="99" t="s">
        <v>22</v>
      </c>
      <c r="AI7" s="99" t="s">
        <v>23</v>
      </c>
      <c r="AJ7" s="99" t="s">
        <v>24</v>
      </c>
      <c r="AK7" s="99" t="s">
        <v>25</v>
      </c>
      <c r="AL7" s="337" t="s">
        <v>26</v>
      </c>
      <c r="AM7" s="339"/>
      <c r="AN7" s="339"/>
      <c r="AO7" s="339"/>
      <c r="AP7" s="339"/>
      <c r="AQ7" s="338"/>
      <c r="AR7" s="337" t="s">
        <v>27</v>
      </c>
      <c r="AS7" s="339"/>
      <c r="AT7" s="33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40">
        <v>43221</v>
      </c>
      <c r="C8" s="341"/>
      <c r="D8" s="342" t="s">
        <v>29</v>
      </c>
      <c r="E8" s="343"/>
      <c r="F8" s="343"/>
      <c r="G8" s="343"/>
      <c r="H8" s="343"/>
      <c r="I8" s="344"/>
      <c r="J8" s="28"/>
      <c r="K8" s="342" t="s">
        <v>29</v>
      </c>
      <c r="L8" s="343"/>
      <c r="M8" s="34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42" t="s">
        <v>33</v>
      </c>
      <c r="X8" s="344"/>
      <c r="Y8" s="30" t="s">
        <v>34</v>
      </c>
      <c r="Z8" s="326">
        <v>0</v>
      </c>
      <c r="AA8" s="327"/>
      <c r="AB8" s="345" t="s">
        <v>35</v>
      </c>
      <c r="AC8" s="346"/>
      <c r="AD8" s="326">
        <v>1185</v>
      </c>
      <c r="AE8" s="327"/>
      <c r="AF8" s="328">
        <v>800</v>
      </c>
      <c r="AG8" s="329"/>
      <c r="AH8" s="28"/>
      <c r="AI8" s="30">
        <f>AI36-AI11</f>
        <v>27846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181"/>
      <c r="C9" s="182"/>
      <c r="D9" s="183"/>
      <c r="E9" s="184"/>
      <c r="F9" s="184"/>
      <c r="G9" s="184"/>
      <c r="H9" s="184"/>
      <c r="I9" s="185"/>
      <c r="J9" s="121"/>
      <c r="K9" s="183"/>
      <c r="L9" s="184"/>
      <c r="M9" s="185"/>
      <c r="N9" s="29"/>
      <c r="O9" s="29"/>
      <c r="P9" s="29"/>
      <c r="Q9" s="121"/>
      <c r="R9" s="121"/>
      <c r="S9" s="121"/>
      <c r="T9" s="122"/>
      <c r="U9" s="123"/>
      <c r="V9" s="124"/>
      <c r="W9" s="183"/>
      <c r="X9" s="185"/>
      <c r="Y9" s="30"/>
      <c r="Z9" s="178"/>
      <c r="AA9" s="125"/>
      <c r="AB9" s="126"/>
      <c r="AC9" s="126"/>
      <c r="AD9" s="125"/>
      <c r="AE9" s="125"/>
      <c r="AF9" s="127"/>
      <c r="AG9" s="179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30" t="s">
        <v>39</v>
      </c>
      <c r="C10" s="331"/>
      <c r="D10" s="330" t="s">
        <v>40</v>
      </c>
      <c r="E10" s="332"/>
      <c r="F10" s="331"/>
      <c r="G10" s="330" t="s">
        <v>41</v>
      </c>
      <c r="H10" s="332"/>
      <c r="I10" s="331"/>
      <c r="J10" s="333" t="s">
        <v>42</v>
      </c>
      <c r="K10" s="330" t="s">
        <v>43</v>
      </c>
      <c r="L10" s="332"/>
      <c r="M10" s="331"/>
      <c r="N10" s="99" t="s">
        <v>44</v>
      </c>
      <c r="O10" s="335" t="s">
        <v>45</v>
      </c>
      <c r="P10" s="33" t="s">
        <v>46</v>
      </c>
      <c r="Q10" s="324" t="s">
        <v>47</v>
      </c>
      <c r="R10" s="324" t="s">
        <v>48</v>
      </c>
      <c r="S10" s="34" t="s">
        <v>49</v>
      </c>
      <c r="T10" s="312" t="s">
        <v>50</v>
      </c>
      <c r="U10" s="313"/>
      <c r="V10" s="314"/>
      <c r="W10" s="176" t="s">
        <v>51</v>
      </c>
      <c r="X10" s="176" t="s">
        <v>52</v>
      </c>
      <c r="Y10" s="318" t="s">
        <v>53</v>
      </c>
      <c r="Z10" s="319" t="s">
        <v>54</v>
      </c>
      <c r="AA10" s="320"/>
      <c r="AB10" s="320"/>
      <c r="AC10" s="320"/>
      <c r="AD10" s="320"/>
      <c r="AE10" s="320"/>
      <c r="AF10" s="320"/>
      <c r="AG10" s="321"/>
      <c r="AH10" s="174" t="s">
        <v>55</v>
      </c>
      <c r="AI10" s="174" t="s">
        <v>56</v>
      </c>
      <c r="AJ10" s="307" t="s">
        <v>57</v>
      </c>
      <c r="AK10" s="322" t="s">
        <v>58</v>
      </c>
      <c r="AL10" s="176" t="s">
        <v>59</v>
      </c>
      <c r="AM10" s="176" t="s">
        <v>60</v>
      </c>
      <c r="AN10" s="176" t="s">
        <v>61</v>
      </c>
      <c r="AO10" s="176" t="s">
        <v>62</v>
      </c>
      <c r="AP10" s="176" t="s">
        <v>63</v>
      </c>
      <c r="AQ10" s="176" t="s">
        <v>123</v>
      </c>
      <c r="AR10" s="176" t="s">
        <v>64</v>
      </c>
      <c r="AS10" s="176" t="s">
        <v>65</v>
      </c>
      <c r="AT10" s="324" t="s">
        <v>66</v>
      </c>
      <c r="AU10" s="176" t="s">
        <v>67</v>
      </c>
      <c r="AV10" s="30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76" t="s">
        <v>72</v>
      </c>
      <c r="C11" s="176" t="s">
        <v>73</v>
      </c>
      <c r="D11" s="176" t="s">
        <v>74</v>
      </c>
      <c r="E11" s="176" t="s">
        <v>75</v>
      </c>
      <c r="F11" s="176" t="s">
        <v>126</v>
      </c>
      <c r="G11" s="176" t="s">
        <v>74</v>
      </c>
      <c r="H11" s="176" t="s">
        <v>75</v>
      </c>
      <c r="I11" s="176" t="s">
        <v>126</v>
      </c>
      <c r="J11" s="334"/>
      <c r="K11" s="176" t="s">
        <v>75</v>
      </c>
      <c r="L11" s="176" t="s">
        <v>75</v>
      </c>
      <c r="M11" s="176" t="s">
        <v>75</v>
      </c>
      <c r="N11" s="28" t="s">
        <v>29</v>
      </c>
      <c r="O11" s="336"/>
      <c r="P11" s="28" t="s">
        <v>29</v>
      </c>
      <c r="Q11" s="325"/>
      <c r="R11" s="325"/>
      <c r="S11" s="1">
        <f>'[1]APR 30'!$S$35</f>
        <v>93060983</v>
      </c>
      <c r="T11" s="315"/>
      <c r="U11" s="316"/>
      <c r="V11" s="317"/>
      <c r="W11" s="176" t="s">
        <v>75</v>
      </c>
      <c r="X11" s="176" t="s">
        <v>75</v>
      </c>
      <c r="Y11" s="31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'[1]APR 30'!$AI$35</f>
        <v>15351806</v>
      </c>
      <c r="AJ11" s="307"/>
      <c r="AK11" s="323"/>
      <c r="AL11" s="176" t="s">
        <v>84</v>
      </c>
      <c r="AM11" s="176" t="s">
        <v>84</v>
      </c>
      <c r="AN11" s="176" t="s">
        <v>84</v>
      </c>
      <c r="AO11" s="176" t="s">
        <v>84</v>
      </c>
      <c r="AP11" s="176" t="s">
        <v>84</v>
      </c>
      <c r="AQ11" s="176" t="s">
        <v>84</v>
      </c>
      <c r="AR11" s="176" t="s">
        <v>84</v>
      </c>
      <c r="AS11" s="1"/>
      <c r="AT11" s="325"/>
      <c r="AU11" s="177" t="s">
        <v>85</v>
      </c>
      <c r="AV11" s="307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283</v>
      </c>
      <c r="B12" s="305" t="s">
        <v>284</v>
      </c>
      <c r="C12" s="305" t="s">
        <v>285</v>
      </c>
      <c r="D12" s="305" t="s">
        <v>286</v>
      </c>
      <c r="E12" s="305" t="s">
        <v>287</v>
      </c>
      <c r="F12" s="305" t="s">
        <v>288</v>
      </c>
      <c r="G12" s="305" t="s">
        <v>289</v>
      </c>
      <c r="H12" s="305" t="s">
        <v>290</v>
      </c>
      <c r="I12" s="305" t="s">
        <v>291</v>
      </c>
      <c r="J12" s="297" t="s">
        <v>292</v>
      </c>
      <c r="K12" s="305" t="s">
        <v>293</v>
      </c>
      <c r="L12" s="305" t="s">
        <v>294</v>
      </c>
      <c r="M12" s="305" t="s">
        <v>295</v>
      </c>
      <c r="N12" s="28" t="s">
        <v>296</v>
      </c>
      <c r="O12" s="298" t="s">
        <v>297</v>
      </c>
      <c r="P12" s="28" t="s">
        <v>298</v>
      </c>
      <c r="Q12" s="300" t="s">
        <v>299</v>
      </c>
      <c r="R12" s="300" t="s">
        <v>300</v>
      </c>
      <c r="S12" s="1" t="s">
        <v>301</v>
      </c>
      <c r="T12" s="302" t="s">
        <v>302</v>
      </c>
      <c r="U12" s="303" t="s">
        <v>303</v>
      </c>
      <c r="V12" s="304" t="s">
        <v>304</v>
      </c>
      <c r="W12" s="305" t="s">
        <v>305</v>
      </c>
      <c r="X12" s="305" t="s">
        <v>306</v>
      </c>
      <c r="Y12" s="305" t="s">
        <v>307</v>
      </c>
      <c r="Z12" s="37" t="s">
        <v>308</v>
      </c>
      <c r="AA12" s="37" t="s">
        <v>309</v>
      </c>
      <c r="AB12" s="37" t="s">
        <v>310</v>
      </c>
      <c r="AC12" s="37" t="s">
        <v>311</v>
      </c>
      <c r="AD12" s="37" t="s">
        <v>312</v>
      </c>
      <c r="AE12" s="37" t="s">
        <v>313</v>
      </c>
      <c r="AF12" s="37" t="s">
        <v>314</v>
      </c>
      <c r="AG12" s="37" t="s">
        <v>315</v>
      </c>
      <c r="AH12" s="38" t="s">
        <v>316</v>
      </c>
      <c r="AI12" s="1" t="s">
        <v>317</v>
      </c>
      <c r="AJ12" s="301" t="s">
        <v>318</v>
      </c>
      <c r="AK12" s="306" t="s">
        <v>319</v>
      </c>
      <c r="AL12" s="305" t="s">
        <v>320</v>
      </c>
      <c r="AM12" s="305" t="s">
        <v>321</v>
      </c>
      <c r="AN12" s="305" t="s">
        <v>322</v>
      </c>
      <c r="AO12" s="305" t="s">
        <v>323</v>
      </c>
      <c r="AP12" s="305" t="s">
        <v>324</v>
      </c>
      <c r="AQ12" s="305" t="s">
        <v>325</v>
      </c>
      <c r="AR12" s="305" t="s">
        <v>326</v>
      </c>
      <c r="AS12" s="1" t="s">
        <v>327</v>
      </c>
      <c r="AT12" s="300" t="s">
        <v>328</v>
      </c>
      <c r="AU12" s="299" t="s">
        <v>329</v>
      </c>
      <c r="AV12" s="301"/>
      <c r="AY12" s="39"/>
      <c r="AZ12" s="39"/>
      <c r="BB12" s="136"/>
    </row>
    <row r="13" spans="1:54" x14ac:dyDescent="0.35">
      <c r="A13" s="357">
        <v>43221</v>
      </c>
      <c r="B13" s="40">
        <v>2</v>
      </c>
      <c r="C13" s="40">
        <v>4.1666666666666664E-2</v>
      </c>
      <c r="D13" s="156">
        <v>3</v>
      </c>
      <c r="E13" s="154">
        <f>D13/1.42</f>
        <v>2.1126760563380285</v>
      </c>
      <c r="F13" s="154">
        <v>4</v>
      </c>
      <c r="G13" s="118">
        <v>75</v>
      </c>
      <c r="H13" s="154">
        <f t="shared" ref="H13:H36" si="0">G13/1.42</f>
        <v>52.816901408450704</v>
      </c>
      <c r="I13" s="154">
        <v>74</v>
      </c>
      <c r="J13" s="41" t="s">
        <v>88</v>
      </c>
      <c r="K13" s="41">
        <f>L13-(2/1.42)</f>
        <v>47.887323943661976</v>
      </c>
      <c r="L13" s="42">
        <f>(G13-5)/1.42</f>
        <v>49.295774647887328</v>
      </c>
      <c r="M13" s="41">
        <f>L13+(6/1.42)</f>
        <v>53.521126760563384</v>
      </c>
      <c r="N13" s="43">
        <v>14</v>
      </c>
      <c r="O13" s="44" t="s">
        <v>89</v>
      </c>
      <c r="P13" s="44">
        <v>11.4</v>
      </c>
      <c r="Q13" s="157">
        <v>135</v>
      </c>
      <c r="R13" s="157"/>
      <c r="S13" s="157">
        <v>93064415</v>
      </c>
      <c r="T13" s="45">
        <f>IF(ISBLANK(S13),"-",S13-S11)</f>
        <v>3432</v>
      </c>
      <c r="U13" s="46">
        <f>T13*24/1000</f>
        <v>82.367999999999995</v>
      </c>
      <c r="V13" s="46">
        <f>T13/1000</f>
        <v>3.4319999999999999</v>
      </c>
      <c r="W13" s="96">
        <v>3.9</v>
      </c>
      <c r="X13" s="96">
        <f t="shared" ref="X13:X36" si="1">W13</f>
        <v>3.9</v>
      </c>
      <c r="Y13" s="97" t="s">
        <v>138</v>
      </c>
      <c r="Z13" s="158">
        <v>0</v>
      </c>
      <c r="AA13" s="158">
        <v>0</v>
      </c>
      <c r="AB13" s="158">
        <v>0</v>
      </c>
      <c r="AC13" s="158">
        <v>1185</v>
      </c>
      <c r="AD13" s="158">
        <v>1187</v>
      </c>
      <c r="AE13" s="158">
        <v>1185</v>
      </c>
      <c r="AF13" s="47" t="s">
        <v>90</v>
      </c>
      <c r="AG13" s="47" t="s">
        <v>90</v>
      </c>
      <c r="AH13" s="98" t="s">
        <v>90</v>
      </c>
      <c r="AI13" s="103">
        <v>15353000</v>
      </c>
      <c r="AJ13" s="45">
        <f>IF(ISBLANK(AI13),"-",AI13-AI11)</f>
        <v>1194</v>
      </c>
      <c r="AK13" s="48">
        <f>AJ13/V13</f>
        <v>347.90209790209792</v>
      </c>
      <c r="AL13" s="155">
        <v>0</v>
      </c>
      <c r="AM13" s="155">
        <v>0</v>
      </c>
      <c r="AN13" s="155">
        <v>0</v>
      </c>
      <c r="AO13" s="155">
        <v>1</v>
      </c>
      <c r="AP13" s="155">
        <v>1</v>
      </c>
      <c r="AQ13" s="155">
        <v>1</v>
      </c>
      <c r="AR13" s="155">
        <v>0.8</v>
      </c>
      <c r="AS13" s="158"/>
      <c r="AT13" s="158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357">
        <v>43221</v>
      </c>
      <c r="B14" s="40">
        <v>2.0416666666666701</v>
      </c>
      <c r="C14" s="40">
        <v>8.3333333333333329E-2</v>
      </c>
      <c r="D14" s="156">
        <v>3</v>
      </c>
      <c r="E14" s="154">
        <f t="shared" ref="E14:E36" si="2">D14/1.42</f>
        <v>2.1126760563380285</v>
      </c>
      <c r="F14" s="154">
        <v>6</v>
      </c>
      <c r="G14" s="118">
        <v>75</v>
      </c>
      <c r="H14" s="154">
        <f t="shared" si="0"/>
        <v>52.816901408450704</v>
      </c>
      <c r="I14" s="154">
        <v>76</v>
      </c>
      <c r="J14" s="41" t="s">
        <v>88</v>
      </c>
      <c r="K14" s="41">
        <f t="shared" ref="K14:K36" si="3">L14-(2/1.42)</f>
        <v>47.887323943661976</v>
      </c>
      <c r="L14" s="42">
        <f>(G14-5)/1.42</f>
        <v>49.295774647887328</v>
      </c>
      <c r="M14" s="41">
        <f>L14+(6/1.42)</f>
        <v>53.521126760563384</v>
      </c>
      <c r="N14" s="43">
        <v>14</v>
      </c>
      <c r="O14" s="44" t="s">
        <v>89</v>
      </c>
      <c r="P14" s="44">
        <v>11.2</v>
      </c>
      <c r="Q14" s="157">
        <v>135</v>
      </c>
      <c r="R14" s="157"/>
      <c r="S14" s="157">
        <v>93067051</v>
      </c>
      <c r="T14" s="45">
        <f t="shared" ref="T14:T36" si="4">IF(ISBLANK(S14),"-",S14-S13)</f>
        <v>2636</v>
      </c>
      <c r="U14" s="46">
        <f t="shared" ref="U14:U37" si="5">T14*24/1000</f>
        <v>63.264000000000003</v>
      </c>
      <c r="V14" s="46">
        <f t="shared" ref="V14:V37" si="6">T14/1000</f>
        <v>2.6360000000000001</v>
      </c>
      <c r="W14" s="96">
        <v>6.5</v>
      </c>
      <c r="X14" s="96">
        <f t="shared" si="1"/>
        <v>6.5</v>
      </c>
      <c r="Y14" s="97" t="s">
        <v>138</v>
      </c>
      <c r="Z14" s="158">
        <v>0</v>
      </c>
      <c r="AA14" s="158">
        <v>0</v>
      </c>
      <c r="AB14" s="158">
        <v>0</v>
      </c>
      <c r="AC14" s="158">
        <v>1185</v>
      </c>
      <c r="AD14" s="158">
        <v>1187</v>
      </c>
      <c r="AE14" s="158">
        <v>1185</v>
      </c>
      <c r="AF14" s="47" t="s">
        <v>90</v>
      </c>
      <c r="AG14" s="47" t="s">
        <v>90</v>
      </c>
      <c r="AH14" s="98" t="s">
        <v>90</v>
      </c>
      <c r="AI14" s="103">
        <v>15354102</v>
      </c>
      <c r="AJ14" s="45">
        <f t="shared" ref="AJ14:AJ36" si="7">IF(ISBLANK(AI14),"-",AI14-AI13)</f>
        <v>1102</v>
      </c>
      <c r="AK14" s="48">
        <f t="shared" ref="AK14:AK36" si="8">AJ14/V14</f>
        <v>418.05766312594841</v>
      </c>
      <c r="AL14" s="155">
        <v>0</v>
      </c>
      <c r="AM14" s="155">
        <v>0</v>
      </c>
      <c r="AN14" s="155">
        <v>0</v>
      </c>
      <c r="AO14" s="155">
        <v>1</v>
      </c>
      <c r="AP14" s="155">
        <v>1</v>
      </c>
      <c r="AQ14" s="155">
        <v>1</v>
      </c>
      <c r="AR14" s="155">
        <v>0.8</v>
      </c>
      <c r="AS14" s="158"/>
      <c r="AT14" s="158">
        <f t="shared" ref="AT14:AT35" si="9">AS14-AS13</f>
        <v>0</v>
      </c>
      <c r="AU14" s="119">
        <v>0.89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57">
        <v>43221</v>
      </c>
      <c r="B15" s="40">
        <v>2.0833333333333299</v>
      </c>
      <c r="C15" s="40">
        <v>0.125</v>
      </c>
      <c r="D15" s="156">
        <v>3</v>
      </c>
      <c r="E15" s="154">
        <f t="shared" si="2"/>
        <v>2.1126760563380285</v>
      </c>
      <c r="F15" s="154">
        <v>7</v>
      </c>
      <c r="G15" s="118">
        <v>75</v>
      </c>
      <c r="H15" s="154">
        <f t="shared" si="0"/>
        <v>52.816901408450704</v>
      </c>
      <c r="I15" s="154">
        <v>78</v>
      </c>
      <c r="J15" s="41" t="s">
        <v>88</v>
      </c>
      <c r="K15" s="41">
        <f t="shared" si="3"/>
        <v>47.887323943661976</v>
      </c>
      <c r="L15" s="42">
        <f>(G15-5)/1.42</f>
        <v>49.295774647887328</v>
      </c>
      <c r="M15" s="41">
        <f>L15+(6/1.42)</f>
        <v>53.521126760563384</v>
      </c>
      <c r="N15" s="43">
        <v>14</v>
      </c>
      <c r="O15" s="44" t="s">
        <v>89</v>
      </c>
      <c r="P15" s="44">
        <v>11.2</v>
      </c>
      <c r="Q15" s="157">
        <v>139</v>
      </c>
      <c r="R15" s="157"/>
      <c r="S15" s="157">
        <v>93069812</v>
      </c>
      <c r="T15" s="45">
        <f t="shared" si="4"/>
        <v>2761</v>
      </c>
      <c r="U15" s="46">
        <f t="shared" si="5"/>
        <v>66.263999999999996</v>
      </c>
      <c r="V15" s="46">
        <f t="shared" si="6"/>
        <v>2.7610000000000001</v>
      </c>
      <c r="W15" s="96">
        <v>7</v>
      </c>
      <c r="X15" s="96">
        <f t="shared" si="1"/>
        <v>7</v>
      </c>
      <c r="Y15" s="97" t="s">
        <v>138</v>
      </c>
      <c r="Z15" s="158">
        <v>0</v>
      </c>
      <c r="AA15" s="158">
        <v>0</v>
      </c>
      <c r="AB15" s="158">
        <v>0</v>
      </c>
      <c r="AC15" s="158">
        <v>1185</v>
      </c>
      <c r="AD15" s="158">
        <v>1187</v>
      </c>
      <c r="AE15" s="158">
        <v>1185</v>
      </c>
      <c r="AF15" s="47" t="s">
        <v>90</v>
      </c>
      <c r="AG15" s="47" t="s">
        <v>90</v>
      </c>
      <c r="AH15" s="98" t="s">
        <v>90</v>
      </c>
      <c r="AI15" s="103">
        <v>15355112</v>
      </c>
      <c r="AJ15" s="45">
        <f t="shared" si="7"/>
        <v>1010</v>
      </c>
      <c r="AK15" s="48">
        <f t="shared" si="8"/>
        <v>365.80948931546538</v>
      </c>
      <c r="AL15" s="155">
        <v>0</v>
      </c>
      <c r="AM15" s="155">
        <v>0</v>
      </c>
      <c r="AN15" s="155">
        <v>0</v>
      </c>
      <c r="AO15" s="155">
        <v>1</v>
      </c>
      <c r="AP15" s="155">
        <v>1</v>
      </c>
      <c r="AQ15" s="155">
        <v>1</v>
      </c>
      <c r="AR15" s="155">
        <v>0.8</v>
      </c>
      <c r="AS15" s="158"/>
      <c r="AT15" s="158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357">
        <v>43221</v>
      </c>
      <c r="B16" s="40">
        <v>2.125</v>
      </c>
      <c r="C16" s="40">
        <v>0.16666666666666699</v>
      </c>
      <c r="D16" s="156">
        <v>3</v>
      </c>
      <c r="E16" s="154">
        <f t="shared" si="2"/>
        <v>2.1126760563380285</v>
      </c>
      <c r="F16" s="154">
        <v>8</v>
      </c>
      <c r="G16" s="118">
        <v>74</v>
      </c>
      <c r="H16" s="154">
        <f t="shared" si="0"/>
        <v>52.112676056338032</v>
      </c>
      <c r="I16" s="154">
        <v>79</v>
      </c>
      <c r="J16" s="41" t="s">
        <v>88</v>
      </c>
      <c r="K16" s="41">
        <f t="shared" si="3"/>
        <v>47.183098591549296</v>
      </c>
      <c r="L16" s="42">
        <f>(G16-5)/1.42</f>
        <v>48.591549295774648</v>
      </c>
      <c r="M16" s="41">
        <f>L16+(6/1.42)</f>
        <v>52.816901408450704</v>
      </c>
      <c r="N16" s="43">
        <v>14</v>
      </c>
      <c r="O16" s="44" t="s">
        <v>89</v>
      </c>
      <c r="P16" s="44">
        <v>12.8</v>
      </c>
      <c r="Q16" s="157">
        <v>141</v>
      </c>
      <c r="R16" s="157"/>
      <c r="S16" s="157">
        <v>93072570</v>
      </c>
      <c r="T16" s="45">
        <f t="shared" si="4"/>
        <v>2758</v>
      </c>
      <c r="U16" s="46">
        <f t="shared" si="5"/>
        <v>66.191999999999993</v>
      </c>
      <c r="V16" s="46">
        <f t="shared" si="6"/>
        <v>2.758</v>
      </c>
      <c r="W16" s="96">
        <v>8.5</v>
      </c>
      <c r="X16" s="96">
        <f t="shared" si="1"/>
        <v>8.5</v>
      </c>
      <c r="Y16" s="97" t="s">
        <v>138</v>
      </c>
      <c r="Z16" s="158">
        <v>0</v>
      </c>
      <c r="AA16" s="158">
        <v>0</v>
      </c>
      <c r="AB16" s="158">
        <v>0</v>
      </c>
      <c r="AC16" s="158">
        <v>1185</v>
      </c>
      <c r="AD16" s="158">
        <v>1187</v>
      </c>
      <c r="AE16" s="158">
        <v>1185</v>
      </c>
      <c r="AF16" s="47" t="s">
        <v>90</v>
      </c>
      <c r="AG16" s="47" t="s">
        <v>90</v>
      </c>
      <c r="AH16" s="98" t="s">
        <v>90</v>
      </c>
      <c r="AI16" s="103">
        <v>15356207</v>
      </c>
      <c r="AJ16" s="45">
        <f t="shared" si="7"/>
        <v>1095</v>
      </c>
      <c r="AK16" s="48">
        <f t="shared" si="8"/>
        <v>397.02683103698331</v>
      </c>
      <c r="AL16" s="155">
        <v>0</v>
      </c>
      <c r="AM16" s="155">
        <v>0</v>
      </c>
      <c r="AN16" s="155">
        <v>0</v>
      </c>
      <c r="AO16" s="155">
        <v>1</v>
      </c>
      <c r="AP16" s="155">
        <v>1</v>
      </c>
      <c r="AQ16" s="155">
        <v>1</v>
      </c>
      <c r="AR16" s="155">
        <v>0.8</v>
      </c>
      <c r="AS16" s="158"/>
      <c r="AT16" s="158">
        <f t="shared" si="9"/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357">
        <v>43221</v>
      </c>
      <c r="B17" s="40">
        <v>2.1666666666666701</v>
      </c>
      <c r="C17" s="40">
        <v>0.20833333333333301</v>
      </c>
      <c r="D17" s="156">
        <v>3</v>
      </c>
      <c r="E17" s="154">
        <f t="shared" si="2"/>
        <v>2.1126760563380285</v>
      </c>
      <c r="F17" s="154">
        <v>9</v>
      </c>
      <c r="G17" s="118">
        <v>83</v>
      </c>
      <c r="H17" s="154">
        <f t="shared" si="0"/>
        <v>58.450704225352112</v>
      </c>
      <c r="I17" s="154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7">
        <v>125</v>
      </c>
      <c r="R17" s="157"/>
      <c r="S17" s="157">
        <v>93075465</v>
      </c>
      <c r="T17" s="45">
        <f t="shared" si="4"/>
        <v>2895</v>
      </c>
      <c r="U17" s="46">
        <f t="shared" si="5"/>
        <v>69.48</v>
      </c>
      <c r="V17" s="46">
        <f t="shared" si="6"/>
        <v>2.895</v>
      </c>
      <c r="W17" s="96">
        <v>9.5</v>
      </c>
      <c r="X17" s="96">
        <f t="shared" si="1"/>
        <v>9.5</v>
      </c>
      <c r="Y17" s="97" t="s">
        <v>138</v>
      </c>
      <c r="Z17" s="158">
        <v>0</v>
      </c>
      <c r="AA17" s="158">
        <v>0</v>
      </c>
      <c r="AB17" s="158">
        <v>0</v>
      </c>
      <c r="AC17" s="158">
        <v>1185</v>
      </c>
      <c r="AD17" s="158">
        <v>1187</v>
      </c>
      <c r="AE17" s="158">
        <v>1185</v>
      </c>
      <c r="AF17" s="47" t="s">
        <v>90</v>
      </c>
      <c r="AG17" s="47" t="s">
        <v>90</v>
      </c>
      <c r="AH17" s="98" t="s">
        <v>90</v>
      </c>
      <c r="AI17" s="103">
        <v>15357285</v>
      </c>
      <c r="AJ17" s="45">
        <f t="shared" si="7"/>
        <v>1078</v>
      </c>
      <c r="AK17" s="48">
        <f t="shared" si="8"/>
        <v>372.36614853195164</v>
      </c>
      <c r="AL17" s="155">
        <v>0</v>
      </c>
      <c r="AM17" s="155">
        <v>0</v>
      </c>
      <c r="AN17" s="155">
        <v>0</v>
      </c>
      <c r="AO17" s="155">
        <v>1</v>
      </c>
      <c r="AP17" s="155">
        <v>1</v>
      </c>
      <c r="AQ17" s="155">
        <v>1</v>
      </c>
      <c r="AR17" s="155">
        <v>0</v>
      </c>
      <c r="AS17" s="158"/>
      <c r="AT17" s="158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57">
        <v>43221</v>
      </c>
      <c r="B18" s="40">
        <v>2.2083333333333299</v>
      </c>
      <c r="C18" s="40">
        <v>0.25</v>
      </c>
      <c r="D18" s="156">
        <v>3</v>
      </c>
      <c r="E18" s="154">
        <f t="shared" si="2"/>
        <v>2.1126760563380285</v>
      </c>
      <c r="F18" s="154">
        <v>9</v>
      </c>
      <c r="G18" s="118">
        <v>83</v>
      </c>
      <c r="H18" s="154">
        <f t="shared" si="0"/>
        <v>58.450704225352112</v>
      </c>
      <c r="I18" s="154">
        <v>80</v>
      </c>
      <c r="J18" s="41" t="s">
        <v>88</v>
      </c>
      <c r="K18" s="41">
        <f t="shared" si="3"/>
        <v>57.04225352112676</v>
      </c>
      <c r="L18" s="42">
        <f t="shared" ref="L18:L27" si="10">G18/1.42</f>
        <v>58.450704225352112</v>
      </c>
      <c r="M18" s="41">
        <f>L18+1.42</f>
        <v>59.870704225352114</v>
      </c>
      <c r="N18" s="43">
        <v>19</v>
      </c>
      <c r="O18" s="44" t="s">
        <v>100</v>
      </c>
      <c r="P18" s="44">
        <v>13.1</v>
      </c>
      <c r="Q18" s="157">
        <v>138</v>
      </c>
      <c r="R18" s="157"/>
      <c r="S18" s="157">
        <v>93079693</v>
      </c>
      <c r="T18" s="45">
        <f t="shared" si="4"/>
        <v>4228</v>
      </c>
      <c r="U18" s="46">
        <f t="shared" si="5"/>
        <v>101.47199999999999</v>
      </c>
      <c r="V18" s="46">
        <f t="shared" si="6"/>
        <v>4.2279999999999998</v>
      </c>
      <c r="W18" s="96">
        <v>9.5</v>
      </c>
      <c r="X18" s="96">
        <f t="shared" si="1"/>
        <v>9.5</v>
      </c>
      <c r="Y18" s="97" t="s">
        <v>138</v>
      </c>
      <c r="Z18" s="158">
        <v>0</v>
      </c>
      <c r="AA18" s="158">
        <v>0</v>
      </c>
      <c r="AB18" s="158">
        <v>1187</v>
      </c>
      <c r="AC18" s="158">
        <v>1185</v>
      </c>
      <c r="AD18" s="158">
        <v>1187</v>
      </c>
      <c r="AE18" s="158">
        <v>0</v>
      </c>
      <c r="AF18" s="47" t="s">
        <v>90</v>
      </c>
      <c r="AG18" s="47" t="s">
        <v>90</v>
      </c>
      <c r="AH18" s="98" t="s">
        <v>90</v>
      </c>
      <c r="AI18" s="103">
        <v>15358426</v>
      </c>
      <c r="AJ18" s="45">
        <f t="shared" si="7"/>
        <v>1141</v>
      </c>
      <c r="AK18" s="48">
        <f t="shared" si="8"/>
        <v>269.86754966887418</v>
      </c>
      <c r="AL18" s="155">
        <v>0</v>
      </c>
      <c r="AM18" s="155">
        <v>0</v>
      </c>
      <c r="AN18" s="155">
        <v>1</v>
      </c>
      <c r="AO18" s="155">
        <v>1</v>
      </c>
      <c r="AP18" s="155">
        <v>1</v>
      </c>
      <c r="AQ18" s="155">
        <v>0</v>
      </c>
      <c r="AR18" s="155">
        <v>0</v>
      </c>
      <c r="AS18" s="158"/>
      <c r="AT18" s="158">
        <f t="shared" si="9"/>
        <v>0</v>
      </c>
      <c r="AU18" s="119">
        <v>0.99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57">
        <v>43221</v>
      </c>
      <c r="B19" s="40">
        <v>2.25</v>
      </c>
      <c r="C19" s="40">
        <v>0.29166666666666669</v>
      </c>
      <c r="D19" s="156">
        <v>3</v>
      </c>
      <c r="E19" s="154">
        <f t="shared" si="2"/>
        <v>2.1126760563380285</v>
      </c>
      <c r="F19" s="154">
        <v>9</v>
      </c>
      <c r="G19" s="118">
        <v>80</v>
      </c>
      <c r="H19" s="154">
        <f t="shared" si="0"/>
        <v>56.338028169014088</v>
      </c>
      <c r="I19" s="154">
        <v>80</v>
      </c>
      <c r="J19" s="41" t="s">
        <v>88</v>
      </c>
      <c r="K19" s="41">
        <f t="shared" si="3"/>
        <v>54.929577464788736</v>
      </c>
      <c r="L19" s="42">
        <f t="shared" si="10"/>
        <v>56.338028169014088</v>
      </c>
      <c r="M19" s="41">
        <f>L19+1.42</f>
        <v>57.758028169014089</v>
      </c>
      <c r="N19" s="43">
        <v>19</v>
      </c>
      <c r="O19" s="44" t="s">
        <v>100</v>
      </c>
      <c r="P19" s="44">
        <v>16.7</v>
      </c>
      <c r="Q19" s="157">
        <v>130</v>
      </c>
      <c r="R19" s="157"/>
      <c r="S19" s="157">
        <v>93083894</v>
      </c>
      <c r="T19" s="45">
        <f t="shared" si="4"/>
        <v>4201</v>
      </c>
      <c r="U19" s="46">
        <f t="shared" si="5"/>
        <v>100.824</v>
      </c>
      <c r="V19" s="46">
        <f t="shared" si="6"/>
        <v>4.2009999999999996</v>
      </c>
      <c r="W19" s="96">
        <v>9.5</v>
      </c>
      <c r="X19" s="96">
        <f t="shared" si="1"/>
        <v>9.5</v>
      </c>
      <c r="Y19" s="97" t="s">
        <v>138</v>
      </c>
      <c r="Z19" s="158">
        <v>0</v>
      </c>
      <c r="AA19" s="158">
        <v>0</v>
      </c>
      <c r="AB19" s="158">
        <v>1187</v>
      </c>
      <c r="AC19" s="158">
        <v>1185</v>
      </c>
      <c r="AD19" s="158">
        <v>1187</v>
      </c>
      <c r="AE19" s="158">
        <v>0</v>
      </c>
      <c r="AF19" s="47" t="s">
        <v>90</v>
      </c>
      <c r="AG19" s="47" t="s">
        <v>90</v>
      </c>
      <c r="AH19" s="98" t="s">
        <v>90</v>
      </c>
      <c r="AI19" s="103">
        <v>15359551</v>
      </c>
      <c r="AJ19" s="45">
        <f t="shared" si="7"/>
        <v>1125</v>
      </c>
      <c r="AK19" s="48">
        <f t="shared" si="8"/>
        <v>267.79338252796953</v>
      </c>
      <c r="AL19" s="155">
        <v>0</v>
      </c>
      <c r="AM19" s="155">
        <v>0</v>
      </c>
      <c r="AN19" s="155">
        <v>1</v>
      </c>
      <c r="AO19" s="155">
        <v>1</v>
      </c>
      <c r="AP19" s="155">
        <v>1</v>
      </c>
      <c r="AQ19" s="155">
        <v>0</v>
      </c>
      <c r="AR19" s="155">
        <v>0</v>
      </c>
      <c r="AS19" s="158"/>
      <c r="AT19" s="158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57">
        <v>43221</v>
      </c>
      <c r="B20" s="40">
        <v>2.2916666666666701</v>
      </c>
      <c r="C20" s="40">
        <v>0.33333333333333298</v>
      </c>
      <c r="D20" s="156">
        <v>3</v>
      </c>
      <c r="E20" s="154">
        <f t="shared" si="2"/>
        <v>2.1126760563380285</v>
      </c>
      <c r="F20" s="154">
        <v>8</v>
      </c>
      <c r="G20" s="118">
        <v>78</v>
      </c>
      <c r="H20" s="154">
        <f t="shared" si="0"/>
        <v>54.929577464788736</v>
      </c>
      <c r="I20" s="154">
        <v>79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7">
        <v>131</v>
      </c>
      <c r="R20" s="157"/>
      <c r="S20" s="157">
        <v>93088279</v>
      </c>
      <c r="T20" s="45">
        <f t="shared" si="4"/>
        <v>4385</v>
      </c>
      <c r="U20" s="46">
        <f>T20*24/1000</f>
        <v>105.24</v>
      </c>
      <c r="V20" s="46">
        <f t="shared" si="6"/>
        <v>4.3849999999999998</v>
      </c>
      <c r="W20" s="96">
        <v>9</v>
      </c>
      <c r="X20" s="96">
        <f t="shared" si="1"/>
        <v>9</v>
      </c>
      <c r="Y20" s="97" t="s">
        <v>169</v>
      </c>
      <c r="Z20" s="158">
        <v>1047</v>
      </c>
      <c r="AA20" s="158">
        <v>0</v>
      </c>
      <c r="AB20" s="158">
        <v>1187</v>
      </c>
      <c r="AC20" s="158">
        <v>1185</v>
      </c>
      <c r="AD20" s="158">
        <v>1187</v>
      </c>
      <c r="AE20" s="158">
        <v>0</v>
      </c>
      <c r="AF20" s="47" t="s">
        <v>90</v>
      </c>
      <c r="AG20" s="47" t="s">
        <v>90</v>
      </c>
      <c r="AH20" s="98" t="s">
        <v>90</v>
      </c>
      <c r="AI20" s="103">
        <v>15360753</v>
      </c>
      <c r="AJ20" s="45">
        <f t="shared" si="7"/>
        <v>1202</v>
      </c>
      <c r="AK20" s="48">
        <f t="shared" si="8"/>
        <v>274.11630558722919</v>
      </c>
      <c r="AL20" s="155">
        <v>1</v>
      </c>
      <c r="AM20" s="155">
        <v>0</v>
      </c>
      <c r="AN20" s="155">
        <v>1</v>
      </c>
      <c r="AO20" s="155">
        <v>1</v>
      </c>
      <c r="AP20" s="155">
        <v>1</v>
      </c>
      <c r="AQ20" s="155">
        <v>0</v>
      </c>
      <c r="AR20" s="155">
        <v>0</v>
      </c>
      <c r="AS20" s="158"/>
      <c r="AT20" s="158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357">
        <v>43221</v>
      </c>
      <c r="B21" s="40">
        <v>2.3333333333333299</v>
      </c>
      <c r="C21" s="40">
        <v>0.375</v>
      </c>
      <c r="D21" s="156">
        <v>3</v>
      </c>
      <c r="E21" s="154">
        <f t="shared" si="2"/>
        <v>2.1126760563380285</v>
      </c>
      <c r="F21" s="154">
        <v>8</v>
      </c>
      <c r="G21" s="118">
        <v>78</v>
      </c>
      <c r="H21" s="154">
        <f t="shared" si="0"/>
        <v>54.929577464788736</v>
      </c>
      <c r="I21" s="154">
        <v>78</v>
      </c>
      <c r="J21" s="41" t="s">
        <v>88</v>
      </c>
      <c r="K21" s="41">
        <f t="shared" si="3"/>
        <v>53.521126760563384</v>
      </c>
      <c r="L21" s="42">
        <f t="shared" si="10"/>
        <v>54.929577464788736</v>
      </c>
      <c r="M21" s="41">
        <f t="shared" si="11"/>
        <v>56.349577464788737</v>
      </c>
      <c r="N21" s="43">
        <v>19</v>
      </c>
      <c r="O21" s="44" t="s">
        <v>100</v>
      </c>
      <c r="P21" s="44">
        <v>18.399999999999999</v>
      </c>
      <c r="Q21" s="157">
        <v>128</v>
      </c>
      <c r="R21" s="157"/>
      <c r="S21" s="157">
        <v>93092646</v>
      </c>
      <c r="T21" s="45">
        <f t="shared" si="4"/>
        <v>4367</v>
      </c>
      <c r="U21" s="46">
        <f t="shared" si="5"/>
        <v>104.80800000000001</v>
      </c>
      <c r="V21" s="46">
        <f t="shared" si="6"/>
        <v>4.367</v>
      </c>
      <c r="W21" s="96">
        <v>8.3000000000000007</v>
      </c>
      <c r="X21" s="96">
        <f t="shared" si="1"/>
        <v>8.3000000000000007</v>
      </c>
      <c r="Y21" s="97" t="s">
        <v>169</v>
      </c>
      <c r="Z21" s="158">
        <v>1048</v>
      </c>
      <c r="AA21" s="158">
        <v>0</v>
      </c>
      <c r="AB21" s="158">
        <v>1187</v>
      </c>
      <c r="AC21" s="158">
        <v>1185</v>
      </c>
      <c r="AD21" s="158">
        <v>1187</v>
      </c>
      <c r="AE21" s="158">
        <v>0</v>
      </c>
      <c r="AF21" s="47" t="s">
        <v>90</v>
      </c>
      <c r="AG21" s="47" t="s">
        <v>90</v>
      </c>
      <c r="AH21" s="98" t="s">
        <v>90</v>
      </c>
      <c r="AI21" s="103">
        <v>15361970</v>
      </c>
      <c r="AJ21" s="45">
        <f t="shared" si="7"/>
        <v>1217</v>
      </c>
      <c r="AK21" s="48">
        <f t="shared" si="8"/>
        <v>278.68101671628119</v>
      </c>
      <c r="AL21" s="155">
        <v>1</v>
      </c>
      <c r="AM21" s="155">
        <v>0</v>
      </c>
      <c r="AN21" s="155">
        <v>1</v>
      </c>
      <c r="AO21" s="155">
        <v>1</v>
      </c>
      <c r="AP21" s="155">
        <v>1</v>
      </c>
      <c r="AQ21" s="155">
        <v>0</v>
      </c>
      <c r="AR21" s="155">
        <v>0</v>
      </c>
      <c r="AS21" s="158"/>
      <c r="AT21" s="158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147</v>
      </c>
    </row>
    <row r="22" spans="1:54" x14ac:dyDescent="0.35">
      <c r="A22" s="357">
        <v>43221</v>
      </c>
      <c r="B22" s="40">
        <v>2.375</v>
      </c>
      <c r="C22" s="40">
        <v>0.41666666666666669</v>
      </c>
      <c r="D22" s="156">
        <v>3</v>
      </c>
      <c r="E22" s="154">
        <f t="shared" si="2"/>
        <v>2.1126760563380285</v>
      </c>
      <c r="F22" s="154">
        <v>7</v>
      </c>
      <c r="G22" s="118">
        <v>76</v>
      </c>
      <c r="H22" s="154">
        <f t="shared" si="0"/>
        <v>53.521126760563384</v>
      </c>
      <c r="I22" s="154">
        <v>78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7">
        <v>130</v>
      </c>
      <c r="R22" s="157"/>
      <c r="S22" s="157">
        <v>93097015</v>
      </c>
      <c r="T22" s="45">
        <f t="shared" si="4"/>
        <v>4369</v>
      </c>
      <c r="U22" s="46">
        <f t="shared" si="5"/>
        <v>104.85599999999999</v>
      </c>
      <c r="V22" s="46">
        <f t="shared" si="6"/>
        <v>4.3689999999999998</v>
      </c>
      <c r="W22" s="96">
        <v>7.5</v>
      </c>
      <c r="X22" s="96">
        <f t="shared" si="1"/>
        <v>7.5</v>
      </c>
      <c r="Y22" s="97" t="s">
        <v>169</v>
      </c>
      <c r="Z22" s="158">
        <v>1088</v>
      </c>
      <c r="AA22" s="158">
        <v>0</v>
      </c>
      <c r="AB22" s="158">
        <v>1187</v>
      </c>
      <c r="AC22" s="158">
        <v>1185</v>
      </c>
      <c r="AD22" s="158">
        <v>1187</v>
      </c>
      <c r="AE22" s="158">
        <v>0</v>
      </c>
      <c r="AF22" s="47" t="s">
        <v>90</v>
      </c>
      <c r="AG22" s="47" t="s">
        <v>90</v>
      </c>
      <c r="AH22" s="98" t="s">
        <v>90</v>
      </c>
      <c r="AI22" s="103">
        <v>15363251</v>
      </c>
      <c r="AJ22" s="45">
        <f t="shared" si="7"/>
        <v>1281</v>
      </c>
      <c r="AK22" s="48">
        <f t="shared" si="8"/>
        <v>293.20210574502175</v>
      </c>
      <c r="AL22" s="155">
        <v>1</v>
      </c>
      <c r="AM22" s="155">
        <v>0</v>
      </c>
      <c r="AN22" s="155">
        <v>1</v>
      </c>
      <c r="AO22" s="155">
        <v>1</v>
      </c>
      <c r="AP22" s="155">
        <v>1</v>
      </c>
      <c r="AQ22" s="155">
        <v>0</v>
      </c>
      <c r="AR22" s="155">
        <v>0</v>
      </c>
      <c r="AS22" s="158"/>
      <c r="AT22" s="158">
        <f t="shared" si="9"/>
        <v>0</v>
      </c>
      <c r="AU22" s="119">
        <v>0.49</v>
      </c>
      <c r="AV22" s="50" t="s">
        <v>125</v>
      </c>
      <c r="BB22" s="136" t="s">
        <v>157</v>
      </c>
    </row>
    <row r="23" spans="1:54" x14ac:dyDescent="0.35">
      <c r="A23" s="357">
        <v>43221</v>
      </c>
      <c r="B23" s="40">
        <v>2.4166666666666701</v>
      </c>
      <c r="C23" s="40">
        <v>0.45833333333333298</v>
      </c>
      <c r="D23" s="156">
        <v>3</v>
      </c>
      <c r="E23" s="154">
        <f t="shared" si="2"/>
        <v>2.1126760563380285</v>
      </c>
      <c r="F23" s="154">
        <v>7</v>
      </c>
      <c r="G23" s="118">
        <v>76</v>
      </c>
      <c r="H23" s="154">
        <f t="shared" si="0"/>
        <v>53.521126760563384</v>
      </c>
      <c r="I23" s="154">
        <v>77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7">
        <v>133</v>
      </c>
      <c r="R23" s="157"/>
      <c r="S23" s="157">
        <v>93101025</v>
      </c>
      <c r="T23" s="45">
        <f t="shared" si="4"/>
        <v>4010</v>
      </c>
      <c r="U23" s="46">
        <f t="shared" si="5"/>
        <v>96.24</v>
      </c>
      <c r="V23" s="46">
        <f t="shared" si="6"/>
        <v>4.01</v>
      </c>
      <c r="W23" s="96">
        <v>6.8</v>
      </c>
      <c r="X23" s="96">
        <f>W23</f>
        <v>6.8</v>
      </c>
      <c r="Y23" s="97" t="s">
        <v>169</v>
      </c>
      <c r="Z23" s="158">
        <v>1031</v>
      </c>
      <c r="AA23" s="158">
        <v>0</v>
      </c>
      <c r="AB23" s="158">
        <v>1187</v>
      </c>
      <c r="AC23" s="158">
        <v>1185</v>
      </c>
      <c r="AD23" s="158">
        <v>1187</v>
      </c>
      <c r="AE23" s="158">
        <v>0</v>
      </c>
      <c r="AF23" s="47" t="s">
        <v>90</v>
      </c>
      <c r="AG23" s="47" t="s">
        <v>90</v>
      </c>
      <c r="AH23" s="98" t="s">
        <v>90</v>
      </c>
      <c r="AI23" s="103">
        <v>15364457</v>
      </c>
      <c r="AJ23" s="45">
        <f t="shared" si="7"/>
        <v>1206</v>
      </c>
      <c r="AK23" s="48">
        <f t="shared" si="8"/>
        <v>300.7481296758105</v>
      </c>
      <c r="AL23" s="155">
        <v>1</v>
      </c>
      <c r="AM23" s="155">
        <v>0</v>
      </c>
      <c r="AN23" s="155">
        <v>1</v>
      </c>
      <c r="AO23" s="155">
        <v>1</v>
      </c>
      <c r="AP23" s="155">
        <v>1</v>
      </c>
      <c r="AQ23" s="155">
        <v>0</v>
      </c>
      <c r="AR23" s="155">
        <v>0</v>
      </c>
      <c r="AS23" s="158"/>
      <c r="AT23" s="158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357">
        <v>43221</v>
      </c>
      <c r="B24" s="40">
        <v>2.4583333333333299</v>
      </c>
      <c r="C24" s="40">
        <v>0.5</v>
      </c>
      <c r="D24" s="156">
        <v>3</v>
      </c>
      <c r="E24" s="154">
        <f t="shared" si="2"/>
        <v>2.1126760563380285</v>
      </c>
      <c r="F24" s="154">
        <v>6</v>
      </c>
      <c r="G24" s="118">
        <v>75</v>
      </c>
      <c r="H24" s="154">
        <f t="shared" si="0"/>
        <v>52.816901408450704</v>
      </c>
      <c r="I24" s="154">
        <v>77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7">
        <v>129</v>
      </c>
      <c r="R24" s="157"/>
      <c r="S24" s="157">
        <v>93105006</v>
      </c>
      <c r="T24" s="45">
        <f t="shared" si="4"/>
        <v>3981</v>
      </c>
      <c r="U24" s="46">
        <f>T24*24/1000</f>
        <v>95.543999999999997</v>
      </c>
      <c r="V24" s="46">
        <f t="shared" si="6"/>
        <v>3.9809999999999999</v>
      </c>
      <c r="W24" s="96">
        <v>6.2</v>
      </c>
      <c r="X24" s="96">
        <f t="shared" si="1"/>
        <v>6.2</v>
      </c>
      <c r="Y24" s="97" t="s">
        <v>169</v>
      </c>
      <c r="Z24" s="158">
        <v>1026</v>
      </c>
      <c r="AA24" s="158">
        <v>0</v>
      </c>
      <c r="AB24" s="158">
        <v>1187</v>
      </c>
      <c r="AC24" s="158">
        <v>1185</v>
      </c>
      <c r="AD24" s="158">
        <v>1187</v>
      </c>
      <c r="AE24" s="158">
        <v>0</v>
      </c>
      <c r="AF24" s="47" t="s">
        <v>90</v>
      </c>
      <c r="AG24" s="47" t="s">
        <v>90</v>
      </c>
      <c r="AH24" s="98" t="s">
        <v>90</v>
      </c>
      <c r="AI24" s="103">
        <v>15365652</v>
      </c>
      <c r="AJ24" s="45">
        <f t="shared" si="7"/>
        <v>1195</v>
      </c>
      <c r="AK24" s="48">
        <f t="shared" si="8"/>
        <v>300.1758352172821</v>
      </c>
      <c r="AL24" s="155">
        <v>1</v>
      </c>
      <c r="AM24" s="155">
        <v>0</v>
      </c>
      <c r="AN24" s="155">
        <v>1</v>
      </c>
      <c r="AO24" s="155">
        <v>1</v>
      </c>
      <c r="AP24" s="155">
        <v>1</v>
      </c>
      <c r="AQ24" s="155">
        <v>0</v>
      </c>
      <c r="AR24" s="155">
        <v>0</v>
      </c>
      <c r="AS24" s="158"/>
      <c r="AT24" s="158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357">
        <v>43221</v>
      </c>
      <c r="B25" s="40">
        <v>2.5</v>
      </c>
      <c r="C25" s="40">
        <v>0.54166666666666696</v>
      </c>
      <c r="D25" s="156">
        <v>3</v>
      </c>
      <c r="E25" s="154">
        <f t="shared" si="2"/>
        <v>2.1126760563380285</v>
      </c>
      <c r="F25" s="154">
        <v>6</v>
      </c>
      <c r="G25" s="118">
        <v>75</v>
      </c>
      <c r="H25" s="154">
        <f t="shared" si="0"/>
        <v>52.816901408450704</v>
      </c>
      <c r="I25" s="154">
        <v>76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7">
        <v>129</v>
      </c>
      <c r="R25" s="157"/>
      <c r="S25" s="157">
        <v>93108915</v>
      </c>
      <c r="T25" s="45">
        <f t="shared" si="4"/>
        <v>3909</v>
      </c>
      <c r="U25" s="46">
        <f>T25*24/1000</f>
        <v>93.816000000000003</v>
      </c>
      <c r="V25" s="46">
        <f t="shared" si="6"/>
        <v>3.9089999999999998</v>
      </c>
      <c r="W25" s="96">
        <v>5.7</v>
      </c>
      <c r="X25" s="96">
        <f t="shared" si="1"/>
        <v>5.7</v>
      </c>
      <c r="Y25" s="97" t="s">
        <v>169</v>
      </c>
      <c r="Z25" s="158">
        <v>1026</v>
      </c>
      <c r="AA25" s="158">
        <v>0</v>
      </c>
      <c r="AB25" s="158">
        <v>1187</v>
      </c>
      <c r="AC25" s="158">
        <v>1185</v>
      </c>
      <c r="AD25" s="158">
        <v>1187</v>
      </c>
      <c r="AE25" s="158">
        <v>0</v>
      </c>
      <c r="AF25" s="47" t="s">
        <v>90</v>
      </c>
      <c r="AG25" s="47" t="s">
        <v>90</v>
      </c>
      <c r="AH25" s="98" t="s">
        <v>90</v>
      </c>
      <c r="AI25" s="103">
        <v>15366815</v>
      </c>
      <c r="AJ25" s="45">
        <f t="shared" si="7"/>
        <v>1163</v>
      </c>
      <c r="AK25" s="48">
        <f t="shared" si="8"/>
        <v>297.51854694295218</v>
      </c>
      <c r="AL25" s="155">
        <v>1</v>
      </c>
      <c r="AM25" s="155">
        <v>0</v>
      </c>
      <c r="AN25" s="155">
        <v>1</v>
      </c>
      <c r="AO25" s="155">
        <v>1</v>
      </c>
      <c r="AP25" s="155">
        <v>1</v>
      </c>
      <c r="AQ25" s="155">
        <v>0</v>
      </c>
      <c r="AR25" s="155">
        <v>0</v>
      </c>
      <c r="AS25" s="158"/>
      <c r="AT25" s="158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57">
        <v>43221</v>
      </c>
      <c r="B26" s="40">
        <v>2.5416666666666701</v>
      </c>
      <c r="C26" s="40">
        <v>0.58333333333333404</v>
      </c>
      <c r="D26" s="156">
        <v>3</v>
      </c>
      <c r="E26" s="154">
        <f t="shared" si="2"/>
        <v>2.1126760563380285</v>
      </c>
      <c r="F26" s="154">
        <v>5</v>
      </c>
      <c r="G26" s="118">
        <v>75</v>
      </c>
      <c r="H26" s="154">
        <f>G26/1.42</f>
        <v>52.816901408450704</v>
      </c>
      <c r="I26" s="154">
        <v>77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7">
        <v>129</v>
      </c>
      <c r="R26" s="157"/>
      <c r="S26" s="157">
        <v>93113229</v>
      </c>
      <c r="T26" s="45">
        <f t="shared" si="4"/>
        <v>4314</v>
      </c>
      <c r="U26" s="46">
        <f t="shared" si="5"/>
        <v>103.536</v>
      </c>
      <c r="V26" s="46">
        <f t="shared" si="6"/>
        <v>4.3140000000000001</v>
      </c>
      <c r="W26" s="96">
        <v>5.2</v>
      </c>
      <c r="X26" s="96">
        <f t="shared" si="1"/>
        <v>5.2</v>
      </c>
      <c r="Y26" s="97" t="s">
        <v>169</v>
      </c>
      <c r="Z26" s="158">
        <v>1016</v>
      </c>
      <c r="AA26" s="158">
        <v>0</v>
      </c>
      <c r="AB26" s="158">
        <v>1187</v>
      </c>
      <c r="AC26" s="158">
        <v>1185</v>
      </c>
      <c r="AD26" s="158">
        <v>1187</v>
      </c>
      <c r="AE26" s="158">
        <v>0</v>
      </c>
      <c r="AF26" s="47" t="s">
        <v>90</v>
      </c>
      <c r="AG26" s="47" t="s">
        <v>90</v>
      </c>
      <c r="AH26" s="98" t="s">
        <v>90</v>
      </c>
      <c r="AI26" s="103">
        <v>15367992</v>
      </c>
      <c r="AJ26" s="45">
        <f t="shared" si="7"/>
        <v>1177</v>
      </c>
      <c r="AK26" s="48">
        <f t="shared" si="8"/>
        <v>272.83263792304126</v>
      </c>
      <c r="AL26" s="155">
        <v>1</v>
      </c>
      <c r="AM26" s="155">
        <v>0</v>
      </c>
      <c r="AN26" s="155">
        <v>1</v>
      </c>
      <c r="AO26" s="155">
        <v>1</v>
      </c>
      <c r="AP26" s="155">
        <v>1</v>
      </c>
      <c r="AQ26" s="155">
        <v>0</v>
      </c>
      <c r="AR26" s="155">
        <v>0</v>
      </c>
      <c r="AS26" s="158"/>
      <c r="AT26" s="158">
        <f t="shared" si="9"/>
        <v>0</v>
      </c>
      <c r="AU26" s="119">
        <v>1.03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57">
        <v>43221</v>
      </c>
      <c r="B27" s="40">
        <v>2.5833333333333299</v>
      </c>
      <c r="C27" s="40">
        <v>0.625</v>
      </c>
      <c r="D27" s="156">
        <v>3</v>
      </c>
      <c r="E27" s="154">
        <f t="shared" si="2"/>
        <v>2.1126760563380285</v>
      </c>
      <c r="F27" s="154">
        <v>5</v>
      </c>
      <c r="G27" s="118">
        <v>76</v>
      </c>
      <c r="H27" s="154">
        <f>G27/1.42</f>
        <v>53.521126760563384</v>
      </c>
      <c r="I27" s="154">
        <v>77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7">
        <v>129</v>
      </c>
      <c r="R27" s="157"/>
      <c r="S27" s="157">
        <v>93117368</v>
      </c>
      <c r="T27" s="45">
        <f t="shared" si="4"/>
        <v>4139</v>
      </c>
      <c r="U27" s="46">
        <f t="shared" si="5"/>
        <v>99.335999999999999</v>
      </c>
      <c r="V27" s="46">
        <f t="shared" si="6"/>
        <v>4.1390000000000002</v>
      </c>
      <c r="W27" s="96">
        <v>4.8</v>
      </c>
      <c r="X27" s="96">
        <f t="shared" si="1"/>
        <v>4.8</v>
      </c>
      <c r="Y27" s="97" t="s">
        <v>169</v>
      </c>
      <c r="Z27" s="158">
        <v>1015</v>
      </c>
      <c r="AA27" s="158">
        <v>0</v>
      </c>
      <c r="AB27" s="158">
        <v>1187</v>
      </c>
      <c r="AC27" s="158">
        <v>1185</v>
      </c>
      <c r="AD27" s="158">
        <v>1187</v>
      </c>
      <c r="AE27" s="158">
        <v>0</v>
      </c>
      <c r="AF27" s="47" t="s">
        <v>90</v>
      </c>
      <c r="AG27" s="47" t="s">
        <v>90</v>
      </c>
      <c r="AH27" s="98" t="s">
        <v>90</v>
      </c>
      <c r="AI27" s="103">
        <v>15369152</v>
      </c>
      <c r="AJ27" s="45">
        <f t="shared" si="7"/>
        <v>1160</v>
      </c>
      <c r="AK27" s="48">
        <f t="shared" si="8"/>
        <v>280.26093259241361</v>
      </c>
      <c r="AL27" s="155">
        <v>1</v>
      </c>
      <c r="AM27" s="155">
        <v>0</v>
      </c>
      <c r="AN27" s="155">
        <v>1</v>
      </c>
      <c r="AO27" s="155">
        <v>1</v>
      </c>
      <c r="AP27" s="155">
        <v>1</v>
      </c>
      <c r="AQ27" s="155">
        <v>0</v>
      </c>
      <c r="AR27" s="155">
        <v>0</v>
      </c>
      <c r="AS27" s="158"/>
      <c r="AT27" s="158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57">
        <v>43221</v>
      </c>
      <c r="B28" s="40">
        <v>2.625</v>
      </c>
      <c r="C28" s="40">
        <v>0.66666666666666696</v>
      </c>
      <c r="D28" s="156">
        <v>3</v>
      </c>
      <c r="E28" s="154">
        <f t="shared" si="2"/>
        <v>2.1126760563380285</v>
      </c>
      <c r="F28" s="154">
        <v>3</v>
      </c>
      <c r="G28" s="118">
        <v>76</v>
      </c>
      <c r="H28" s="154">
        <f t="shared" si="0"/>
        <v>53.521126760563384</v>
      </c>
      <c r="I28" s="154">
        <v>77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7">
        <v>130</v>
      </c>
      <c r="R28" s="157"/>
      <c r="S28" s="157">
        <v>93121898</v>
      </c>
      <c r="T28" s="45">
        <f t="shared" si="4"/>
        <v>4530</v>
      </c>
      <c r="U28" s="46">
        <f t="shared" si="5"/>
        <v>108.72</v>
      </c>
      <c r="V28" s="46">
        <f t="shared" si="6"/>
        <v>4.53</v>
      </c>
      <c r="W28" s="96">
        <v>4.4000000000000004</v>
      </c>
      <c r="X28" s="96">
        <f t="shared" si="1"/>
        <v>4.4000000000000004</v>
      </c>
      <c r="Y28" s="97" t="s">
        <v>169</v>
      </c>
      <c r="Z28" s="158">
        <v>1016</v>
      </c>
      <c r="AA28" s="158">
        <v>0</v>
      </c>
      <c r="AB28" s="158">
        <v>1187</v>
      </c>
      <c r="AC28" s="158">
        <v>1185</v>
      </c>
      <c r="AD28" s="158">
        <v>1187</v>
      </c>
      <c r="AE28" s="158">
        <v>0</v>
      </c>
      <c r="AF28" s="47" t="s">
        <v>90</v>
      </c>
      <c r="AG28" s="47" t="s">
        <v>90</v>
      </c>
      <c r="AH28" s="98" t="s">
        <v>90</v>
      </c>
      <c r="AI28" s="103">
        <v>15370331</v>
      </c>
      <c r="AJ28" s="45">
        <f>IF(ISBLANK(AI28),"-",AI28-AI27)</f>
        <v>1179</v>
      </c>
      <c r="AK28" s="48">
        <f t="shared" si="8"/>
        <v>260.26490066225165</v>
      </c>
      <c r="AL28" s="155">
        <v>1</v>
      </c>
      <c r="AM28" s="155">
        <v>0</v>
      </c>
      <c r="AN28" s="155">
        <v>1</v>
      </c>
      <c r="AO28" s="155">
        <v>1</v>
      </c>
      <c r="AP28" s="155">
        <v>1</v>
      </c>
      <c r="AQ28" s="155">
        <v>0</v>
      </c>
      <c r="AR28" s="155">
        <v>0</v>
      </c>
      <c r="AS28" s="158"/>
      <c r="AT28" s="158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357">
        <v>43221</v>
      </c>
      <c r="B29" s="40">
        <v>2.6666666666666701</v>
      </c>
      <c r="C29" s="40">
        <v>0.70833333333333404</v>
      </c>
      <c r="D29" s="156">
        <v>3</v>
      </c>
      <c r="E29" s="154">
        <f t="shared" si="2"/>
        <v>2.1126760563380285</v>
      </c>
      <c r="F29" s="154">
        <v>2</v>
      </c>
      <c r="G29" s="118">
        <v>75</v>
      </c>
      <c r="H29" s="154">
        <f t="shared" si="0"/>
        <v>52.816901408450704</v>
      </c>
      <c r="I29" s="154">
        <v>76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7">
        <v>130</v>
      </c>
      <c r="R29" s="157"/>
      <c r="S29" s="157">
        <v>93126437</v>
      </c>
      <c r="T29" s="45">
        <f t="shared" si="4"/>
        <v>4539</v>
      </c>
      <c r="U29" s="46">
        <f t="shared" si="5"/>
        <v>108.93600000000001</v>
      </c>
      <c r="V29" s="46">
        <f t="shared" si="6"/>
        <v>4.5389999999999997</v>
      </c>
      <c r="W29" s="96">
        <v>4</v>
      </c>
      <c r="X29" s="96">
        <f t="shared" si="1"/>
        <v>4</v>
      </c>
      <c r="Y29" s="97" t="s">
        <v>169</v>
      </c>
      <c r="Z29" s="158">
        <v>1015</v>
      </c>
      <c r="AA29" s="158">
        <v>0</v>
      </c>
      <c r="AB29" s="158">
        <v>1187</v>
      </c>
      <c r="AC29" s="158">
        <v>1185</v>
      </c>
      <c r="AD29" s="158">
        <v>1187</v>
      </c>
      <c r="AE29" s="158">
        <v>0</v>
      </c>
      <c r="AF29" s="47" t="s">
        <v>90</v>
      </c>
      <c r="AG29" s="47" t="s">
        <v>90</v>
      </c>
      <c r="AH29" s="98" t="s">
        <v>90</v>
      </c>
      <c r="AI29" s="103">
        <v>15371526</v>
      </c>
      <c r="AJ29" s="45">
        <f t="shared" si="7"/>
        <v>1195</v>
      </c>
      <c r="AK29" s="48">
        <f>AJ28/V29</f>
        <v>259.74884335756775</v>
      </c>
      <c r="AL29" s="155">
        <v>1</v>
      </c>
      <c r="AM29" s="155">
        <v>0</v>
      </c>
      <c r="AN29" s="155">
        <v>1</v>
      </c>
      <c r="AO29" s="155">
        <v>1</v>
      </c>
      <c r="AP29" s="155">
        <v>1</v>
      </c>
      <c r="AQ29" s="155">
        <v>0</v>
      </c>
      <c r="AR29" s="155">
        <v>0</v>
      </c>
      <c r="AS29" s="158"/>
      <c r="AT29" s="158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357">
        <v>43221</v>
      </c>
      <c r="B30" s="40">
        <v>2.7083333333333299</v>
      </c>
      <c r="C30" s="40">
        <v>0.750000000000002</v>
      </c>
      <c r="D30" s="156">
        <v>3</v>
      </c>
      <c r="E30" s="154">
        <f t="shared" si="2"/>
        <v>2.1126760563380285</v>
      </c>
      <c r="F30" s="154">
        <v>2</v>
      </c>
      <c r="G30" s="118">
        <v>75</v>
      </c>
      <c r="H30" s="154">
        <f t="shared" si="0"/>
        <v>52.816901408450704</v>
      </c>
      <c r="I30" s="154">
        <v>76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7">
        <v>130</v>
      </c>
      <c r="R30" s="157"/>
      <c r="S30" s="157">
        <v>93131047</v>
      </c>
      <c r="T30" s="45">
        <f t="shared" si="4"/>
        <v>4610</v>
      </c>
      <c r="U30" s="46">
        <f t="shared" si="5"/>
        <v>110.64</v>
      </c>
      <c r="V30" s="46">
        <f t="shared" si="6"/>
        <v>4.6100000000000003</v>
      </c>
      <c r="W30" s="96">
        <v>3.6</v>
      </c>
      <c r="X30" s="96">
        <f t="shared" si="1"/>
        <v>3.6</v>
      </c>
      <c r="Y30" s="97" t="s">
        <v>169</v>
      </c>
      <c r="Z30" s="158">
        <v>1016</v>
      </c>
      <c r="AA30" s="158">
        <v>0</v>
      </c>
      <c r="AB30" s="158">
        <v>1187</v>
      </c>
      <c r="AC30" s="158">
        <v>1185</v>
      </c>
      <c r="AD30" s="158">
        <v>1187</v>
      </c>
      <c r="AE30" s="158">
        <v>0</v>
      </c>
      <c r="AF30" s="47" t="s">
        <v>90</v>
      </c>
      <c r="AG30" s="47" t="s">
        <v>90</v>
      </c>
      <c r="AH30" s="98" t="s">
        <v>90</v>
      </c>
      <c r="AI30" s="103">
        <v>15372695</v>
      </c>
      <c r="AJ30" s="45">
        <f t="shared" si="7"/>
        <v>1169</v>
      </c>
      <c r="AK30" s="48">
        <f>AJ29/V30</f>
        <v>259.21908893709326</v>
      </c>
      <c r="AL30" s="155">
        <v>1</v>
      </c>
      <c r="AM30" s="155">
        <v>0</v>
      </c>
      <c r="AN30" s="155">
        <v>1</v>
      </c>
      <c r="AO30" s="155">
        <v>1</v>
      </c>
      <c r="AP30" s="155">
        <v>1</v>
      </c>
      <c r="AQ30" s="155">
        <v>0</v>
      </c>
      <c r="AR30" s="155">
        <v>0</v>
      </c>
      <c r="AS30" s="158"/>
      <c r="AT30" s="158">
        <f t="shared" si="9"/>
        <v>0</v>
      </c>
      <c r="AU30" s="159">
        <v>1.1499999999999999</v>
      </c>
      <c r="AV30" s="50" t="s">
        <v>124</v>
      </c>
      <c r="AY30" s="55" t="s">
        <v>114</v>
      </c>
      <c r="AZ30" s="55">
        <v>101.325</v>
      </c>
      <c r="BB30" s="74" t="s">
        <v>143</v>
      </c>
    </row>
    <row r="31" spans="1:54" x14ac:dyDescent="0.35">
      <c r="A31" s="357">
        <v>43221</v>
      </c>
      <c r="B31" s="40">
        <v>2.75</v>
      </c>
      <c r="C31" s="40">
        <v>0.79166666666666896</v>
      </c>
      <c r="D31" s="156">
        <v>3</v>
      </c>
      <c r="E31" s="154">
        <f t="shared" si="2"/>
        <v>2.1126760563380285</v>
      </c>
      <c r="F31" s="154">
        <v>1</v>
      </c>
      <c r="G31" s="118">
        <v>74</v>
      </c>
      <c r="H31" s="154">
        <f t="shared" si="0"/>
        <v>52.112676056338032</v>
      </c>
      <c r="I31" s="154">
        <v>75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7">
        <v>131</v>
      </c>
      <c r="R31" s="157"/>
      <c r="S31" s="157">
        <v>93135633</v>
      </c>
      <c r="T31" s="45">
        <f t="shared" si="4"/>
        <v>4586</v>
      </c>
      <c r="U31" s="46">
        <f t="shared" si="5"/>
        <v>110.06399999999999</v>
      </c>
      <c r="V31" s="46">
        <f t="shared" si="6"/>
        <v>4.5860000000000003</v>
      </c>
      <c r="W31" s="96">
        <v>3.2</v>
      </c>
      <c r="X31" s="96">
        <f t="shared" si="1"/>
        <v>3.2</v>
      </c>
      <c r="Y31" s="97" t="s">
        <v>169</v>
      </c>
      <c r="Z31" s="158">
        <v>1015</v>
      </c>
      <c r="AA31" s="158">
        <v>0</v>
      </c>
      <c r="AB31" s="158">
        <v>1187</v>
      </c>
      <c r="AC31" s="158">
        <v>1185</v>
      </c>
      <c r="AD31" s="158">
        <v>1187</v>
      </c>
      <c r="AE31" s="158">
        <v>0</v>
      </c>
      <c r="AF31" s="47" t="s">
        <v>90</v>
      </c>
      <c r="AG31" s="47" t="s">
        <v>90</v>
      </c>
      <c r="AH31" s="98" t="s">
        <v>90</v>
      </c>
      <c r="AI31" s="103">
        <v>15373873</v>
      </c>
      <c r="AJ31" s="45">
        <f t="shared" si="7"/>
        <v>1178</v>
      </c>
      <c r="AK31" s="48">
        <f t="shared" si="8"/>
        <v>256.86873092019187</v>
      </c>
      <c r="AL31" s="155">
        <v>1</v>
      </c>
      <c r="AM31" s="155">
        <v>0</v>
      </c>
      <c r="AN31" s="155">
        <v>1</v>
      </c>
      <c r="AO31" s="155">
        <v>1</v>
      </c>
      <c r="AP31" s="155">
        <v>1</v>
      </c>
      <c r="AQ31" s="155">
        <v>0</v>
      </c>
      <c r="AR31" s="155">
        <v>0</v>
      </c>
      <c r="AS31" s="158"/>
      <c r="AT31" s="158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357">
        <v>43221</v>
      </c>
      <c r="B32" s="40">
        <v>2.7916666666666701</v>
      </c>
      <c r="C32" s="40">
        <v>0.83333333333333703</v>
      </c>
      <c r="D32" s="156">
        <v>3</v>
      </c>
      <c r="E32" s="154">
        <f t="shared" si="2"/>
        <v>2.1126760563380285</v>
      </c>
      <c r="F32" s="154">
        <v>0</v>
      </c>
      <c r="G32" s="118">
        <v>74</v>
      </c>
      <c r="H32" s="154">
        <f t="shared" si="0"/>
        <v>52.112676056338032</v>
      </c>
      <c r="I32" s="154">
        <v>75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7">
        <v>129</v>
      </c>
      <c r="R32" s="157"/>
      <c r="S32" s="157">
        <v>93140102</v>
      </c>
      <c r="T32" s="45">
        <f t="shared" si="4"/>
        <v>4469</v>
      </c>
      <c r="U32" s="46">
        <f t="shared" si="5"/>
        <v>107.256</v>
      </c>
      <c r="V32" s="46">
        <f t="shared" si="6"/>
        <v>4.4690000000000003</v>
      </c>
      <c r="W32" s="96">
        <v>2.8</v>
      </c>
      <c r="X32" s="96">
        <f t="shared" si="1"/>
        <v>2.8</v>
      </c>
      <c r="Y32" s="97" t="s">
        <v>169</v>
      </c>
      <c r="Z32" s="158">
        <v>1017</v>
      </c>
      <c r="AA32" s="158">
        <v>0</v>
      </c>
      <c r="AB32" s="158">
        <v>1187</v>
      </c>
      <c r="AC32" s="158">
        <v>1185</v>
      </c>
      <c r="AD32" s="158">
        <v>1187</v>
      </c>
      <c r="AE32" s="158">
        <v>0</v>
      </c>
      <c r="AF32" s="47" t="s">
        <v>90</v>
      </c>
      <c r="AG32" s="47" t="s">
        <v>90</v>
      </c>
      <c r="AH32" s="98" t="s">
        <v>90</v>
      </c>
      <c r="AI32" s="103">
        <v>15375052</v>
      </c>
      <c r="AJ32" s="45">
        <f t="shared" si="7"/>
        <v>1179</v>
      </c>
      <c r="AK32" s="48">
        <f t="shared" si="8"/>
        <v>263.81740881628997</v>
      </c>
      <c r="AL32" s="155">
        <v>1</v>
      </c>
      <c r="AM32" s="155">
        <v>0</v>
      </c>
      <c r="AN32" s="155">
        <v>1</v>
      </c>
      <c r="AO32" s="155">
        <v>1</v>
      </c>
      <c r="AP32" s="155">
        <v>1</v>
      </c>
      <c r="AQ32" s="155">
        <v>0</v>
      </c>
      <c r="AR32" s="155">
        <v>0</v>
      </c>
      <c r="AS32" s="158"/>
      <c r="AT32" s="158">
        <v>0</v>
      </c>
      <c r="AU32" s="49"/>
      <c r="AV32" s="50" t="s">
        <v>124</v>
      </c>
      <c r="AY32" s="308" t="s">
        <v>115</v>
      </c>
      <c r="AZ32" s="308"/>
      <c r="BB32" s="74" t="s">
        <v>156</v>
      </c>
    </row>
    <row r="33" spans="1:54" x14ac:dyDescent="0.35">
      <c r="A33" s="357">
        <v>43221</v>
      </c>
      <c r="B33" s="40">
        <v>2.8333333333333299</v>
      </c>
      <c r="C33" s="40">
        <v>0.875</v>
      </c>
      <c r="D33" s="156">
        <v>3</v>
      </c>
      <c r="E33" s="154">
        <f t="shared" si="2"/>
        <v>2.1126760563380285</v>
      </c>
      <c r="F33" s="154">
        <v>0</v>
      </c>
      <c r="G33" s="118">
        <v>74</v>
      </c>
      <c r="H33" s="154">
        <f t="shared" si="0"/>
        <v>52.112676056338032</v>
      </c>
      <c r="I33" s="154">
        <v>75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7">
        <v>129</v>
      </c>
      <c r="R33" s="157"/>
      <c r="S33" s="157">
        <v>93144912</v>
      </c>
      <c r="T33" s="45">
        <f t="shared" si="4"/>
        <v>4810</v>
      </c>
      <c r="U33" s="46">
        <f t="shared" si="5"/>
        <v>115.44</v>
      </c>
      <c r="V33" s="46">
        <f t="shared" si="6"/>
        <v>4.8099999999999996</v>
      </c>
      <c r="W33" s="96">
        <v>2.5</v>
      </c>
      <c r="X33" s="96">
        <f t="shared" si="1"/>
        <v>2.5</v>
      </c>
      <c r="Y33" s="97" t="s">
        <v>169</v>
      </c>
      <c r="Z33" s="158">
        <v>1015</v>
      </c>
      <c r="AA33" s="158">
        <v>0</v>
      </c>
      <c r="AB33" s="158">
        <v>1187</v>
      </c>
      <c r="AC33" s="158">
        <v>1185</v>
      </c>
      <c r="AD33" s="158">
        <v>1187</v>
      </c>
      <c r="AE33" s="158">
        <v>0</v>
      </c>
      <c r="AF33" s="47" t="s">
        <v>90</v>
      </c>
      <c r="AG33" s="47" t="s">
        <v>90</v>
      </c>
      <c r="AH33" s="98" t="s">
        <v>90</v>
      </c>
      <c r="AI33" s="103">
        <v>15376224</v>
      </c>
      <c r="AJ33" s="45">
        <f t="shared" si="7"/>
        <v>1172</v>
      </c>
      <c r="AK33" s="48">
        <f t="shared" si="8"/>
        <v>243.65904365904368</v>
      </c>
      <c r="AL33" s="155">
        <v>1</v>
      </c>
      <c r="AM33" s="155">
        <v>0</v>
      </c>
      <c r="AN33" s="155">
        <v>1</v>
      </c>
      <c r="AO33" s="155">
        <v>1</v>
      </c>
      <c r="AP33" s="155">
        <v>1</v>
      </c>
      <c r="AQ33" s="155">
        <v>0</v>
      </c>
      <c r="AR33" s="155">
        <v>0</v>
      </c>
      <c r="AS33" s="158"/>
      <c r="AT33" s="158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57">
        <v>43221</v>
      </c>
      <c r="B34" s="40">
        <v>2.875</v>
      </c>
      <c r="C34" s="40">
        <v>0.91666666666667096</v>
      </c>
      <c r="D34" s="156">
        <v>3</v>
      </c>
      <c r="E34" s="154">
        <f t="shared" si="2"/>
        <v>2.1126760563380285</v>
      </c>
      <c r="F34" s="154">
        <v>-1</v>
      </c>
      <c r="G34" s="118">
        <v>77</v>
      </c>
      <c r="H34" s="154">
        <f t="shared" si="0"/>
        <v>54.225352112676056</v>
      </c>
      <c r="I34" s="154">
        <v>76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7">
        <v>128</v>
      </c>
      <c r="R34" s="157"/>
      <c r="S34" s="157">
        <v>93150073</v>
      </c>
      <c r="T34" s="45">
        <f t="shared" si="4"/>
        <v>5161</v>
      </c>
      <c r="U34" s="46">
        <f t="shared" si="5"/>
        <v>123.864</v>
      </c>
      <c r="V34" s="46">
        <f t="shared" si="6"/>
        <v>5.1609999999999996</v>
      </c>
      <c r="W34" s="96">
        <v>2.2000000000000002</v>
      </c>
      <c r="X34" s="96">
        <f t="shared" si="1"/>
        <v>2.2000000000000002</v>
      </c>
      <c r="Y34" s="97" t="s">
        <v>169</v>
      </c>
      <c r="Z34" s="158">
        <v>1015</v>
      </c>
      <c r="AA34" s="158">
        <v>0</v>
      </c>
      <c r="AB34" s="158">
        <v>1187</v>
      </c>
      <c r="AC34" s="158">
        <v>1185</v>
      </c>
      <c r="AD34" s="158">
        <v>1187</v>
      </c>
      <c r="AE34" s="158">
        <v>0</v>
      </c>
      <c r="AF34" s="47" t="s">
        <v>90</v>
      </c>
      <c r="AG34" s="47" t="s">
        <v>90</v>
      </c>
      <c r="AH34" s="98" t="s">
        <v>90</v>
      </c>
      <c r="AI34" s="103">
        <v>15377414</v>
      </c>
      <c r="AJ34" s="45">
        <f t="shared" si="7"/>
        <v>1190</v>
      </c>
      <c r="AK34" s="48">
        <f t="shared" si="8"/>
        <v>230.57546987018023</v>
      </c>
      <c r="AL34" s="155">
        <v>1</v>
      </c>
      <c r="AM34" s="155">
        <v>0</v>
      </c>
      <c r="AN34" s="155">
        <v>1</v>
      </c>
      <c r="AO34" s="155">
        <v>1</v>
      </c>
      <c r="AP34" s="155">
        <v>1</v>
      </c>
      <c r="AQ34" s="155">
        <v>0</v>
      </c>
      <c r="AR34" s="155">
        <v>0</v>
      </c>
      <c r="AS34" s="158"/>
      <c r="AT34" s="158">
        <f>AS34-AS33</f>
        <v>0</v>
      </c>
      <c r="AU34" s="119">
        <v>0.99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357">
        <v>43221</v>
      </c>
      <c r="B35" s="40">
        <v>2.9166666666666701</v>
      </c>
      <c r="C35" s="40">
        <v>0.95833333333333803</v>
      </c>
      <c r="D35" s="156">
        <v>3</v>
      </c>
      <c r="E35" s="154">
        <f t="shared" si="2"/>
        <v>2.1126760563380285</v>
      </c>
      <c r="F35" s="154">
        <v>-2</v>
      </c>
      <c r="G35" s="118">
        <v>72</v>
      </c>
      <c r="H35" s="154">
        <f t="shared" si="0"/>
        <v>50.70422535211268</v>
      </c>
      <c r="I35" s="154">
        <v>70</v>
      </c>
      <c r="J35" s="41" t="s">
        <v>88</v>
      </c>
      <c r="K35" s="41">
        <f>L35-(2/1.42)</f>
        <v>45.774647887323944</v>
      </c>
      <c r="L35" s="42">
        <f>(G35-5)/1.42</f>
        <v>47.183098591549296</v>
      </c>
      <c r="M35" s="41">
        <f t="shared" si="12"/>
        <v>51.408450704225352</v>
      </c>
      <c r="N35" s="43">
        <v>14</v>
      </c>
      <c r="O35" s="44" t="s">
        <v>116</v>
      </c>
      <c r="P35" s="44">
        <v>11.9</v>
      </c>
      <c r="Q35" s="157">
        <v>140</v>
      </c>
      <c r="R35" s="157"/>
      <c r="S35" s="157">
        <v>93154405</v>
      </c>
      <c r="T35" s="45">
        <f t="shared" si="4"/>
        <v>4332</v>
      </c>
      <c r="U35" s="46">
        <f t="shared" si="5"/>
        <v>103.968</v>
      </c>
      <c r="V35" s="46">
        <f t="shared" si="6"/>
        <v>4.3319999999999999</v>
      </c>
      <c r="W35" s="96">
        <v>2.6</v>
      </c>
      <c r="X35" s="96">
        <f t="shared" si="1"/>
        <v>2.6</v>
      </c>
      <c r="Y35" s="97" t="s">
        <v>138</v>
      </c>
      <c r="Z35" s="158">
        <v>0</v>
      </c>
      <c r="AA35" s="158">
        <v>0</v>
      </c>
      <c r="AB35" s="158">
        <v>1187</v>
      </c>
      <c r="AC35" s="158">
        <v>1185</v>
      </c>
      <c r="AD35" s="158">
        <v>1187</v>
      </c>
      <c r="AE35" s="158">
        <v>0</v>
      </c>
      <c r="AF35" s="47" t="s">
        <v>90</v>
      </c>
      <c r="AG35" s="47" t="s">
        <v>90</v>
      </c>
      <c r="AH35" s="98" t="s">
        <v>90</v>
      </c>
      <c r="AI35" s="103">
        <v>15378522</v>
      </c>
      <c r="AJ35" s="45">
        <f t="shared" si="7"/>
        <v>1108</v>
      </c>
      <c r="AK35" s="48">
        <f t="shared" si="8"/>
        <v>255.77100646352724</v>
      </c>
      <c r="AL35" s="155">
        <v>0</v>
      </c>
      <c r="AM35" s="155">
        <v>0</v>
      </c>
      <c r="AN35" s="155">
        <v>1</v>
      </c>
      <c r="AO35" s="155">
        <v>1</v>
      </c>
      <c r="AP35" s="155">
        <v>1</v>
      </c>
      <c r="AQ35" s="155">
        <v>0</v>
      </c>
      <c r="AR35" s="155">
        <v>0</v>
      </c>
      <c r="AS35" s="158"/>
      <c r="AT35" s="158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357">
        <v>43221</v>
      </c>
      <c r="B36" s="40">
        <v>2.9583333333333299</v>
      </c>
      <c r="C36" s="40">
        <v>1</v>
      </c>
      <c r="D36" s="156">
        <v>3</v>
      </c>
      <c r="E36" s="154">
        <f t="shared" si="2"/>
        <v>2.1126760563380285</v>
      </c>
      <c r="F36" s="154">
        <v>-1</v>
      </c>
      <c r="G36" s="118">
        <v>70</v>
      </c>
      <c r="H36" s="154">
        <f t="shared" si="0"/>
        <v>49.295774647887328</v>
      </c>
      <c r="I36" s="154">
        <v>70</v>
      </c>
      <c r="J36" s="41" t="s">
        <v>88</v>
      </c>
      <c r="K36" s="41">
        <f t="shared" si="3"/>
        <v>44.366197183098592</v>
      </c>
      <c r="L36" s="42">
        <f>(G36-5)/1.42</f>
        <v>45.774647887323944</v>
      </c>
      <c r="M36" s="41">
        <f t="shared" si="12"/>
        <v>50</v>
      </c>
      <c r="N36" s="43">
        <v>14</v>
      </c>
      <c r="O36" s="44" t="s">
        <v>116</v>
      </c>
      <c r="P36" s="58">
        <v>11.5</v>
      </c>
      <c r="Q36" s="157">
        <v>136</v>
      </c>
      <c r="R36" s="157"/>
      <c r="S36" s="157">
        <v>93158979</v>
      </c>
      <c r="T36" s="45">
        <f t="shared" si="4"/>
        <v>4574</v>
      </c>
      <c r="U36" s="46">
        <f t="shared" si="5"/>
        <v>109.776</v>
      </c>
      <c r="V36" s="46">
        <f t="shared" si="6"/>
        <v>4.5739999999999998</v>
      </c>
      <c r="W36" s="96">
        <v>3.9</v>
      </c>
      <c r="X36" s="96">
        <f t="shared" si="1"/>
        <v>3.9</v>
      </c>
      <c r="Y36" s="97" t="s">
        <v>138</v>
      </c>
      <c r="Z36" s="158">
        <v>0</v>
      </c>
      <c r="AA36" s="158">
        <v>0</v>
      </c>
      <c r="AB36" s="158">
        <v>1187</v>
      </c>
      <c r="AC36" s="158">
        <v>1185</v>
      </c>
      <c r="AD36" s="158">
        <v>1187</v>
      </c>
      <c r="AE36" s="158">
        <v>0</v>
      </c>
      <c r="AF36" s="47" t="s">
        <v>90</v>
      </c>
      <c r="AG36" s="47" t="s">
        <v>90</v>
      </c>
      <c r="AH36" s="98" t="s">
        <v>90</v>
      </c>
      <c r="AI36" s="103">
        <v>15379652</v>
      </c>
      <c r="AJ36" s="45">
        <f t="shared" si="7"/>
        <v>1130</v>
      </c>
      <c r="AK36" s="48">
        <f t="shared" si="8"/>
        <v>247.04853519895059</v>
      </c>
      <c r="AL36" s="155">
        <v>0</v>
      </c>
      <c r="AM36" s="155">
        <v>0</v>
      </c>
      <c r="AN36" s="155">
        <v>1</v>
      </c>
      <c r="AO36" s="155">
        <v>1</v>
      </c>
      <c r="AP36" s="155">
        <v>1</v>
      </c>
      <c r="AQ36" s="155">
        <v>0</v>
      </c>
      <c r="AR36" s="155">
        <v>0</v>
      </c>
      <c r="AS36" s="158"/>
      <c r="AT36" s="158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73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09" t="s">
        <v>118</v>
      </c>
      <c r="O37" s="310"/>
      <c r="P37" s="311"/>
      <c r="Q37" s="101"/>
      <c r="R37" s="101"/>
      <c r="S37" s="101"/>
      <c r="T37" s="60">
        <f>SUM(T13:T36)</f>
        <v>97996</v>
      </c>
      <c r="U37" s="46">
        <f t="shared" si="5"/>
        <v>2351.904</v>
      </c>
      <c r="V37" s="46">
        <f t="shared" si="6"/>
        <v>97.995999999999995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27846</v>
      </c>
      <c r="AK37" s="61">
        <f>$AJ$37/$V37</f>
        <v>284.15445528388915</v>
      </c>
      <c r="AL37" s="155"/>
      <c r="AM37" s="155"/>
      <c r="AN37" s="155"/>
      <c r="AO37" s="155"/>
      <c r="AP37" s="155"/>
      <c r="AQ37" s="155"/>
      <c r="AR37" s="62"/>
      <c r="AS37" s="63">
        <f>AS36-AS11</f>
        <v>0</v>
      </c>
      <c r="AT37" s="64">
        <f>SUM(AT13:AT36)</f>
        <v>0</v>
      </c>
      <c r="AU37" s="65">
        <f>AVERAGE(AU13:AU36)</f>
        <v>0.92333333333333345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7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8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8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4"/>
      <c r="D47" s="164"/>
      <c r="E47" s="164"/>
      <c r="F47" s="164"/>
      <c r="G47" s="164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71" t="s">
        <v>160</v>
      </c>
      <c r="C48" s="172"/>
      <c r="D48" s="172"/>
      <c r="E48" s="172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2" t="s">
        <v>152</v>
      </c>
      <c r="C49" s="170"/>
      <c r="D49" s="170"/>
      <c r="E49" s="170"/>
      <c r="F49" s="161"/>
      <c r="G49" s="161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15" t="s">
        <v>161</v>
      </c>
      <c r="C50" s="143"/>
      <c r="D50" s="143"/>
      <c r="E50" s="143"/>
      <c r="F50" s="130"/>
      <c r="G50" s="130"/>
      <c r="H50" s="160"/>
      <c r="I50" s="160"/>
      <c r="J50" s="160"/>
      <c r="K50" s="160"/>
      <c r="L50" s="160"/>
      <c r="M50" s="160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15" t="s">
        <v>162</v>
      </c>
      <c r="C51" s="143"/>
      <c r="D51" s="143"/>
      <c r="E51" s="143"/>
      <c r="F51" s="130"/>
      <c r="G51" s="130"/>
      <c r="H51" s="160"/>
      <c r="I51" s="160"/>
      <c r="J51" s="160"/>
      <c r="K51" s="160"/>
      <c r="L51" s="160"/>
      <c r="M51" s="160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2" t="s">
        <v>163</v>
      </c>
      <c r="C52" s="120"/>
      <c r="D52" s="115"/>
      <c r="E52" s="115"/>
      <c r="F52" s="115"/>
      <c r="G52" s="115"/>
      <c r="H52" s="160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15" t="s">
        <v>165</v>
      </c>
      <c r="C53" s="170"/>
      <c r="D53" s="170"/>
      <c r="E53" s="170"/>
      <c r="F53" s="170"/>
      <c r="G53" s="115"/>
      <c r="H53" s="115"/>
      <c r="I53" s="115"/>
      <c r="J53" s="115"/>
      <c r="K53" s="115"/>
      <c r="L53" s="115"/>
      <c r="M53" s="115"/>
      <c r="N53" s="163"/>
      <c r="O53" s="163"/>
      <c r="P53" s="163"/>
      <c r="Q53" s="163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15" t="s">
        <v>168</v>
      </c>
      <c r="C54" s="170"/>
      <c r="D54" s="170"/>
      <c r="E54" s="170"/>
      <c r="F54" s="170"/>
      <c r="G54" s="170"/>
      <c r="H54" s="170"/>
      <c r="I54" s="170"/>
      <c r="J54" s="169"/>
      <c r="K54" s="166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2" t="s">
        <v>167</v>
      </c>
      <c r="C55" s="153"/>
      <c r="D55" s="153"/>
      <c r="E55" s="153"/>
      <c r="F55" s="153"/>
      <c r="G55" s="153"/>
      <c r="H55" s="153"/>
      <c r="I55" s="153"/>
      <c r="J55" s="169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2" t="s">
        <v>166</v>
      </c>
      <c r="C56" s="153"/>
      <c r="D56" s="153"/>
      <c r="E56" s="153"/>
      <c r="F56" s="153"/>
      <c r="G56" s="153"/>
      <c r="H56" s="153"/>
      <c r="I56" s="153"/>
      <c r="J56" s="153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2" t="s">
        <v>170</v>
      </c>
      <c r="C57" s="153"/>
      <c r="D57" s="153"/>
      <c r="E57" s="153"/>
      <c r="F57" s="153"/>
      <c r="G57" s="153"/>
      <c r="H57" s="153"/>
      <c r="I57" s="153"/>
      <c r="J57" s="153"/>
      <c r="K57" s="166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2" t="s">
        <v>171</v>
      </c>
      <c r="C58" s="115"/>
      <c r="D58" s="115"/>
      <c r="E58" s="115"/>
      <c r="F58" s="115"/>
      <c r="G58" s="115"/>
      <c r="H58" s="115"/>
      <c r="I58" s="153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32" t="s">
        <v>172</v>
      </c>
      <c r="C59" s="153"/>
      <c r="D59" s="153"/>
      <c r="E59" s="153"/>
      <c r="F59" s="153"/>
      <c r="G59" s="153"/>
      <c r="H59" s="153"/>
      <c r="I59" s="153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53" t="s">
        <v>173</v>
      </c>
      <c r="C60" s="153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32" t="s">
        <v>174</v>
      </c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2" t="s">
        <v>175</v>
      </c>
      <c r="C62" s="115"/>
      <c r="D62" s="166"/>
      <c r="E62" s="166"/>
      <c r="F62" s="166"/>
      <c r="G62" s="166"/>
      <c r="H62" s="166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2" t="s">
        <v>176</v>
      </c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2"/>
      <c r="C64" s="165"/>
      <c r="D64" s="165"/>
      <c r="E64" s="165"/>
      <c r="F64" s="165"/>
      <c r="G64" s="165"/>
      <c r="H64" s="165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5"/>
      <c r="C65" s="165"/>
      <c r="D65" s="165"/>
      <c r="E65" s="165"/>
      <c r="F65" s="165"/>
      <c r="G65" s="165"/>
      <c r="H65" s="165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AV65" s="86"/>
      <c r="AW65" s="86"/>
      <c r="AX65" s="86"/>
      <c r="AY65" s="86"/>
      <c r="AZ65" s="86"/>
      <c r="BA65" s="86"/>
      <c r="BB65" s="86"/>
    </row>
    <row r="66" spans="2:54" x14ac:dyDescent="0.35">
      <c r="B66" s="149"/>
      <c r="C66" s="150"/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1"/>
      <c r="R66" s="20"/>
      <c r="S66" s="20"/>
      <c r="T66" s="150"/>
      <c r="U66" s="150"/>
      <c r="V66" s="150"/>
      <c r="AV66" s="86"/>
      <c r="AW66" s="86"/>
      <c r="AX66" s="86"/>
      <c r="AY66" s="86"/>
      <c r="AZ66" s="86"/>
      <c r="BA66" s="86"/>
      <c r="BB66" s="86"/>
    </row>
    <row r="67" spans="2:54" x14ac:dyDescent="0.35">
      <c r="B67" s="152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AF13:AH36 T13:V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3" name="Range1_16_1_1_1_1_1_1_2_2_2_2_2_2_2_2_2_2_2_2_2_2_2_2_2_2_2_2_2_2_2_1_2_2_2_2_2_2_2_2_2_2_3_2_2_2_2_2_2_2_2_2_2_1_1_1_1_2_2_1_1_1_1_1_1_1_1_1_1_3_1_3"/>
    <protectedRange sqref="R4:W4" name="Range1_16_1_1_1_1_1_1_2_2_2_2_2_2_2_2_2_2_2_2_2_2_2_2_2_2_2_2_2_2_2_1_2_2_2_2_2_2_2_2_2_2_3_2_2_2_2_2_2_2_2_2_2_1_1_1_1_2_2_1_1_1_1_1_1_1_1_1_1_1_1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R5:W5" name="Range1_16_1_1_1_1_1_1_2_2_2_2_2_2_2_2_2_2_2_2_2_2_2_2_2_2_2_2_2_2_2_1_2_2_2_2_2_2_2_2_2_2_3_2_2_2_2_2_2_2_2_2_2_1_1_1_1_2_2_1_1_1_1_1_1_1_1_1_1_1_1_1_2_1_1_1_1_1_1_2_1_1_1_1_2_1_1_1_1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B54" name="Range2_12_5_1_1_1_2_1_1_1_1_1_1_1_1_1_1_1_2_1_1_1_1_1_1_1_1_1_1_1_1_1_1_1_1_1_1_1_1_1_1_2_1_1_1_1_1_1_1_1_1_1_1_2_1_1_1_1_2_1_1_1_1_1_1_1_1_1_1_1_2_1_1_1_1_1_1_1_1_1_1_1_1_1_1_3_1_1_1_1_2_1_1_1_1_1_1_1_2_1_1_1_1_1_1_1_1_1_1_1_1_1_1_1_1_1_1_1_1_1_1_1_1__5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526" priority="5" operator="containsText" text="N/A">
      <formula>NOT(ISERROR(SEARCH("N/A",Z13)))</formula>
    </cfRule>
    <cfRule type="cellIs" dxfId="525" priority="17" operator="equal">
      <formula>0</formula>
    </cfRule>
  </conditionalFormatting>
  <conditionalFormatting sqref="Z13:AG36">
    <cfRule type="cellIs" dxfId="524" priority="16" operator="greaterThanOrEqual">
      <formula>1185</formula>
    </cfRule>
  </conditionalFormatting>
  <conditionalFormatting sqref="Z13:AG36">
    <cfRule type="cellIs" dxfId="523" priority="15" operator="between">
      <formula>0.1</formula>
      <formula>1184</formula>
    </cfRule>
  </conditionalFormatting>
  <conditionalFormatting sqref="Z8:Z9 AT13:AT36 AL37:AQ37 AL13:AR36">
    <cfRule type="cellIs" dxfId="522" priority="14" operator="equal">
      <formula>0</formula>
    </cfRule>
  </conditionalFormatting>
  <conditionalFormatting sqref="Z8:Z9 AT13:AT36 AL37:AQ37 AL13:AR36">
    <cfRule type="cellIs" dxfId="521" priority="13" operator="greaterThan">
      <formula>1179</formula>
    </cfRule>
  </conditionalFormatting>
  <conditionalFormatting sqref="Z8:Z9 AT13:AT36 AL37:AQ37 AL13:AR36">
    <cfRule type="cellIs" dxfId="520" priority="12" operator="greaterThan">
      <formula>99</formula>
    </cfRule>
  </conditionalFormatting>
  <conditionalFormatting sqref="Z8:Z9 AT13:AT36 AL37:AQ37 AL13:AR36">
    <cfRule type="cellIs" dxfId="519" priority="11" operator="greaterThan">
      <formula>0.99</formula>
    </cfRule>
  </conditionalFormatting>
  <conditionalFormatting sqref="AD8:AD9">
    <cfRule type="cellIs" dxfId="518" priority="10" operator="equal">
      <formula>0</formula>
    </cfRule>
  </conditionalFormatting>
  <conditionalFormatting sqref="AD8:AD9">
    <cfRule type="cellIs" dxfId="517" priority="9" operator="greaterThan">
      <formula>1179</formula>
    </cfRule>
  </conditionalFormatting>
  <conditionalFormatting sqref="AD8:AD9">
    <cfRule type="cellIs" dxfId="516" priority="8" operator="greaterThan">
      <formula>99</formula>
    </cfRule>
  </conditionalFormatting>
  <conditionalFormatting sqref="AD8:AD9">
    <cfRule type="cellIs" dxfId="515" priority="7" operator="greaterThan">
      <formula>0.99</formula>
    </cfRule>
  </conditionalFormatting>
  <conditionalFormatting sqref="AK13:AK36">
    <cfRule type="cellIs" dxfId="514" priority="6" operator="greaterThan">
      <formula>$AK$8</formula>
    </cfRule>
  </conditionalFormatting>
  <conditionalFormatting sqref="AS13:AS36">
    <cfRule type="containsText" dxfId="513" priority="1" operator="containsText" text="N/A">
      <formula>NOT(ISERROR(SEARCH("N/A",AS13)))</formula>
    </cfRule>
    <cfRule type="cellIs" dxfId="512" priority="4" operator="equal">
      <formula>0</formula>
    </cfRule>
  </conditionalFormatting>
  <conditionalFormatting sqref="AS13:AS36">
    <cfRule type="cellIs" dxfId="511" priority="3" operator="greaterThanOrEqual">
      <formula>1185</formula>
    </cfRule>
  </conditionalFormatting>
  <conditionalFormatting sqref="AS13:AS36">
    <cfRule type="cellIs" dxfId="510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000-000000000000}">
      <formula1>$BB$11:$BB$42</formula1>
    </dataValidation>
    <dataValidation type="list" allowBlank="1" showInputMessage="1" showErrorMessage="1" sqref="AY33:AZ33" xr:uid="{00000000-0002-0000-0000-000001000000}">
      <formula1>$AY$26:$AY$30</formula1>
    </dataValidation>
    <dataValidation type="list" allowBlank="1" showInputMessage="1" showErrorMessage="1" sqref="AS8:AT9 P11:P12 N11:N12 D8:E9 Q8:V9" xr:uid="{00000000-0002-0000-0000-000002000000}">
      <formula1>#REF!</formula1>
    </dataValidation>
    <dataValidation type="list" allowBlank="1" showInputMessage="1" showErrorMessage="1" sqref="J13:J36" xr:uid="{00000000-0002-0000-0000-000003000000}">
      <formula1>$AY$11:$AY$21</formula1>
    </dataValidation>
  </dataValidations>
  <hyperlinks>
    <hyperlink ref="J10:J11" location="'1'!AH8" display="Plant Status" xr:uid="{00000000-0004-0000-0000-000000000000}"/>
  </hyperlinks>
  <pageMargins left="0.7" right="0.7" top="0.75" bottom="0.75" header="0.3" footer="0.3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7030A0"/>
  </sheetPr>
  <dimension ref="A2:BB88"/>
  <sheetViews>
    <sheetView topLeftCell="A10" zoomScaleNormal="100" workbookViewId="0">
      <selection activeCell="R4" sqref="R4:W4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47" t="s">
        <v>157</v>
      </c>
      <c r="S3" s="348"/>
      <c r="T3" s="348"/>
      <c r="U3" s="348"/>
      <c r="V3" s="348"/>
      <c r="W3" s="34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47" t="s">
        <v>147</v>
      </c>
      <c r="S4" s="348"/>
      <c r="T4" s="348"/>
      <c r="U4" s="348"/>
      <c r="V4" s="348"/>
      <c r="W4" s="34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47" t="s">
        <v>151</v>
      </c>
      <c r="S5" s="348"/>
      <c r="T5" s="348"/>
      <c r="U5" s="348"/>
      <c r="V5" s="348"/>
      <c r="W5" s="34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50" t="s">
        <v>6</v>
      </c>
      <c r="C6" s="351"/>
      <c r="D6" s="352" t="s">
        <v>7</v>
      </c>
      <c r="E6" s="353"/>
      <c r="F6" s="353"/>
      <c r="G6" s="353"/>
      <c r="H6" s="353"/>
      <c r="I6" s="353"/>
      <c r="J6" s="354"/>
      <c r="K6" s="87"/>
      <c r="L6" s="87"/>
      <c r="M6" s="187"/>
      <c r="N6" s="355">
        <v>41686</v>
      </c>
      <c r="O6" s="356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37" t="s">
        <v>8</v>
      </c>
      <c r="C7" s="338"/>
      <c r="D7" s="337" t="s">
        <v>9</v>
      </c>
      <c r="E7" s="339"/>
      <c r="F7" s="339"/>
      <c r="G7" s="339"/>
      <c r="H7" s="339"/>
      <c r="I7" s="338"/>
      <c r="J7" s="192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192" t="s">
        <v>14</v>
      </c>
      <c r="R7" s="337" t="s">
        <v>15</v>
      </c>
      <c r="S7" s="339"/>
      <c r="T7" s="339"/>
      <c r="U7" s="339"/>
      <c r="V7" s="338"/>
      <c r="W7" s="337" t="s">
        <v>16</v>
      </c>
      <c r="X7" s="338"/>
      <c r="Y7" s="99" t="s">
        <v>17</v>
      </c>
      <c r="Z7" s="337" t="s">
        <v>18</v>
      </c>
      <c r="AA7" s="338"/>
      <c r="AB7" s="337" t="s">
        <v>19</v>
      </c>
      <c r="AC7" s="338"/>
      <c r="AD7" s="337" t="s">
        <v>20</v>
      </c>
      <c r="AE7" s="338"/>
      <c r="AF7" s="337" t="s">
        <v>21</v>
      </c>
      <c r="AG7" s="338"/>
      <c r="AH7" s="99" t="s">
        <v>22</v>
      </c>
      <c r="AI7" s="99" t="s">
        <v>23</v>
      </c>
      <c r="AJ7" s="99" t="s">
        <v>24</v>
      </c>
      <c r="AK7" s="99" t="s">
        <v>25</v>
      </c>
      <c r="AL7" s="337" t="s">
        <v>26</v>
      </c>
      <c r="AM7" s="339"/>
      <c r="AN7" s="339"/>
      <c r="AO7" s="339"/>
      <c r="AP7" s="339"/>
      <c r="AQ7" s="338"/>
      <c r="AR7" s="337" t="s">
        <v>27</v>
      </c>
      <c r="AS7" s="339"/>
      <c r="AT7" s="33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40">
        <v>43222</v>
      </c>
      <c r="C8" s="341"/>
      <c r="D8" s="342" t="s">
        <v>29</v>
      </c>
      <c r="E8" s="343"/>
      <c r="F8" s="343"/>
      <c r="G8" s="343"/>
      <c r="H8" s="343"/>
      <c r="I8" s="344"/>
      <c r="J8" s="28"/>
      <c r="K8" s="342" t="s">
        <v>29</v>
      </c>
      <c r="L8" s="343"/>
      <c r="M8" s="34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42" t="s">
        <v>33</v>
      </c>
      <c r="X8" s="344"/>
      <c r="Y8" s="30" t="s">
        <v>34</v>
      </c>
      <c r="Z8" s="326">
        <v>0</v>
      </c>
      <c r="AA8" s="327"/>
      <c r="AB8" s="345" t="s">
        <v>35</v>
      </c>
      <c r="AC8" s="346"/>
      <c r="AD8" s="326">
        <v>1185</v>
      </c>
      <c r="AE8" s="327"/>
      <c r="AF8" s="328">
        <v>800</v>
      </c>
      <c r="AG8" s="329"/>
      <c r="AH8" s="28"/>
      <c r="AI8" s="30">
        <f>AI36-AI11</f>
        <v>27923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193"/>
      <c r="C9" s="194"/>
      <c r="D9" s="195"/>
      <c r="E9" s="196"/>
      <c r="F9" s="196"/>
      <c r="G9" s="196"/>
      <c r="H9" s="196"/>
      <c r="I9" s="197"/>
      <c r="J9" s="121"/>
      <c r="K9" s="195"/>
      <c r="L9" s="196"/>
      <c r="M9" s="197"/>
      <c r="N9" s="29"/>
      <c r="O9" s="29"/>
      <c r="P9" s="29"/>
      <c r="Q9" s="121"/>
      <c r="R9" s="121"/>
      <c r="S9" s="121"/>
      <c r="T9" s="122"/>
      <c r="U9" s="123"/>
      <c r="V9" s="124"/>
      <c r="W9" s="195"/>
      <c r="X9" s="197"/>
      <c r="Y9" s="30"/>
      <c r="Z9" s="190"/>
      <c r="AA9" s="125"/>
      <c r="AB9" s="126"/>
      <c r="AC9" s="126"/>
      <c r="AD9" s="125"/>
      <c r="AE9" s="125"/>
      <c r="AF9" s="127"/>
      <c r="AG9" s="191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30" t="s">
        <v>39</v>
      </c>
      <c r="C10" s="331"/>
      <c r="D10" s="330" t="s">
        <v>40</v>
      </c>
      <c r="E10" s="332"/>
      <c r="F10" s="331"/>
      <c r="G10" s="330" t="s">
        <v>41</v>
      </c>
      <c r="H10" s="332"/>
      <c r="I10" s="331"/>
      <c r="J10" s="333" t="s">
        <v>42</v>
      </c>
      <c r="K10" s="330" t="s">
        <v>43</v>
      </c>
      <c r="L10" s="332"/>
      <c r="M10" s="331"/>
      <c r="N10" s="99" t="s">
        <v>44</v>
      </c>
      <c r="O10" s="335" t="s">
        <v>45</v>
      </c>
      <c r="P10" s="33" t="s">
        <v>46</v>
      </c>
      <c r="Q10" s="324" t="s">
        <v>47</v>
      </c>
      <c r="R10" s="324" t="s">
        <v>48</v>
      </c>
      <c r="S10" s="34" t="s">
        <v>49</v>
      </c>
      <c r="T10" s="312" t="s">
        <v>50</v>
      </c>
      <c r="U10" s="313"/>
      <c r="V10" s="314"/>
      <c r="W10" s="188" t="s">
        <v>51</v>
      </c>
      <c r="X10" s="188" t="s">
        <v>52</v>
      </c>
      <c r="Y10" s="318" t="s">
        <v>53</v>
      </c>
      <c r="Z10" s="319" t="s">
        <v>54</v>
      </c>
      <c r="AA10" s="320"/>
      <c r="AB10" s="320"/>
      <c r="AC10" s="320"/>
      <c r="AD10" s="320"/>
      <c r="AE10" s="320"/>
      <c r="AF10" s="320"/>
      <c r="AG10" s="321"/>
      <c r="AH10" s="186" t="s">
        <v>55</v>
      </c>
      <c r="AI10" s="186" t="s">
        <v>56</v>
      </c>
      <c r="AJ10" s="307" t="s">
        <v>57</v>
      </c>
      <c r="AK10" s="322" t="s">
        <v>58</v>
      </c>
      <c r="AL10" s="188" t="s">
        <v>59</v>
      </c>
      <c r="AM10" s="188" t="s">
        <v>60</v>
      </c>
      <c r="AN10" s="188" t="s">
        <v>61</v>
      </c>
      <c r="AO10" s="188" t="s">
        <v>62</v>
      </c>
      <c r="AP10" s="188" t="s">
        <v>63</v>
      </c>
      <c r="AQ10" s="188" t="s">
        <v>123</v>
      </c>
      <c r="AR10" s="188" t="s">
        <v>64</v>
      </c>
      <c r="AS10" s="188" t="s">
        <v>65</v>
      </c>
      <c r="AT10" s="324" t="s">
        <v>66</v>
      </c>
      <c r="AU10" s="188" t="s">
        <v>67</v>
      </c>
      <c r="AV10" s="30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88" t="s">
        <v>72</v>
      </c>
      <c r="C11" s="188" t="s">
        <v>73</v>
      </c>
      <c r="D11" s="188" t="s">
        <v>74</v>
      </c>
      <c r="E11" s="188" t="s">
        <v>75</v>
      </c>
      <c r="F11" s="188" t="s">
        <v>126</v>
      </c>
      <c r="G11" s="188" t="s">
        <v>74</v>
      </c>
      <c r="H11" s="188" t="s">
        <v>75</v>
      </c>
      <c r="I11" s="188" t="s">
        <v>126</v>
      </c>
      <c r="J11" s="334"/>
      <c r="K11" s="188" t="s">
        <v>75</v>
      </c>
      <c r="L11" s="188" t="s">
        <v>75</v>
      </c>
      <c r="M11" s="188" t="s">
        <v>75</v>
      </c>
      <c r="N11" s="28" t="s">
        <v>29</v>
      </c>
      <c r="O11" s="336"/>
      <c r="P11" s="28" t="s">
        <v>29</v>
      </c>
      <c r="Q11" s="325"/>
      <c r="R11" s="325"/>
      <c r="S11" s="1">
        <f>'MAY 1'!S36</f>
        <v>93158979</v>
      </c>
      <c r="T11" s="315"/>
      <c r="U11" s="316"/>
      <c r="V11" s="317"/>
      <c r="W11" s="188" t="s">
        <v>75</v>
      </c>
      <c r="X11" s="188" t="s">
        <v>75</v>
      </c>
      <c r="Y11" s="31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'MAY 1'!AI36</f>
        <v>15379652</v>
      </c>
      <c r="AJ11" s="307"/>
      <c r="AK11" s="323"/>
      <c r="AL11" s="188" t="s">
        <v>84</v>
      </c>
      <c r="AM11" s="188" t="s">
        <v>84</v>
      </c>
      <c r="AN11" s="188" t="s">
        <v>84</v>
      </c>
      <c r="AO11" s="188" t="s">
        <v>84</v>
      </c>
      <c r="AP11" s="188" t="s">
        <v>84</v>
      </c>
      <c r="AQ11" s="188" t="s">
        <v>84</v>
      </c>
      <c r="AR11" s="188" t="s">
        <v>84</v>
      </c>
      <c r="AS11" s="1"/>
      <c r="AT11" s="325"/>
      <c r="AU11" s="189" t="s">
        <v>85</v>
      </c>
      <c r="AV11" s="307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283</v>
      </c>
      <c r="B12" s="305" t="s">
        <v>284</v>
      </c>
      <c r="C12" s="305" t="s">
        <v>285</v>
      </c>
      <c r="D12" s="305" t="s">
        <v>286</v>
      </c>
      <c r="E12" s="305" t="s">
        <v>287</v>
      </c>
      <c r="F12" s="305" t="s">
        <v>288</v>
      </c>
      <c r="G12" s="305" t="s">
        <v>289</v>
      </c>
      <c r="H12" s="305" t="s">
        <v>290</v>
      </c>
      <c r="I12" s="305" t="s">
        <v>291</v>
      </c>
      <c r="J12" s="297" t="s">
        <v>292</v>
      </c>
      <c r="K12" s="305" t="s">
        <v>293</v>
      </c>
      <c r="L12" s="305" t="s">
        <v>294</v>
      </c>
      <c r="M12" s="305" t="s">
        <v>295</v>
      </c>
      <c r="N12" s="28" t="s">
        <v>296</v>
      </c>
      <c r="O12" s="298" t="s">
        <v>297</v>
      </c>
      <c r="P12" s="28" t="s">
        <v>298</v>
      </c>
      <c r="Q12" s="300" t="s">
        <v>299</v>
      </c>
      <c r="R12" s="300" t="s">
        <v>300</v>
      </c>
      <c r="S12" s="1" t="s">
        <v>301</v>
      </c>
      <c r="T12" s="302" t="s">
        <v>302</v>
      </c>
      <c r="U12" s="303" t="s">
        <v>303</v>
      </c>
      <c r="V12" s="304" t="s">
        <v>304</v>
      </c>
      <c r="W12" s="305" t="s">
        <v>305</v>
      </c>
      <c r="X12" s="305" t="s">
        <v>306</v>
      </c>
      <c r="Y12" s="305" t="s">
        <v>307</v>
      </c>
      <c r="Z12" s="37" t="s">
        <v>308</v>
      </c>
      <c r="AA12" s="37" t="s">
        <v>309</v>
      </c>
      <c r="AB12" s="37" t="s">
        <v>310</v>
      </c>
      <c r="AC12" s="37" t="s">
        <v>311</v>
      </c>
      <c r="AD12" s="37" t="s">
        <v>312</v>
      </c>
      <c r="AE12" s="37" t="s">
        <v>313</v>
      </c>
      <c r="AF12" s="37" t="s">
        <v>314</v>
      </c>
      <c r="AG12" s="37" t="s">
        <v>315</v>
      </c>
      <c r="AH12" s="38" t="s">
        <v>316</v>
      </c>
      <c r="AI12" s="1" t="s">
        <v>317</v>
      </c>
      <c r="AJ12" s="301" t="s">
        <v>318</v>
      </c>
      <c r="AK12" s="306" t="s">
        <v>319</v>
      </c>
      <c r="AL12" s="305" t="s">
        <v>320</v>
      </c>
      <c r="AM12" s="305" t="s">
        <v>321</v>
      </c>
      <c r="AN12" s="305" t="s">
        <v>322</v>
      </c>
      <c r="AO12" s="305" t="s">
        <v>323</v>
      </c>
      <c r="AP12" s="305" t="s">
        <v>324</v>
      </c>
      <c r="AQ12" s="305" t="s">
        <v>325</v>
      </c>
      <c r="AR12" s="305" t="s">
        <v>326</v>
      </c>
      <c r="AS12" s="1" t="s">
        <v>327</v>
      </c>
      <c r="AT12" s="300" t="s">
        <v>328</v>
      </c>
      <c r="AU12" s="299" t="s">
        <v>329</v>
      </c>
      <c r="AV12" s="301"/>
      <c r="AY12" s="39"/>
      <c r="AZ12" s="39"/>
      <c r="BB12" s="136"/>
    </row>
    <row r="13" spans="1:54" x14ac:dyDescent="0.35">
      <c r="A13" s="357">
        <v>43222</v>
      </c>
      <c r="B13" s="40">
        <v>2</v>
      </c>
      <c r="C13" s="40">
        <v>4.1666666666666664E-2</v>
      </c>
      <c r="D13" s="156">
        <v>3</v>
      </c>
      <c r="E13" s="154">
        <f>D13/1.42</f>
        <v>2.1126760563380285</v>
      </c>
      <c r="F13" s="154">
        <v>2</v>
      </c>
      <c r="G13" s="118">
        <v>70</v>
      </c>
      <c r="H13" s="154">
        <f t="shared" ref="H13:H36" si="0">G13/1.42</f>
        <v>49.295774647887328</v>
      </c>
      <c r="I13" s="154">
        <v>71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7">
        <v>142</v>
      </c>
      <c r="R13" s="157"/>
      <c r="S13" s="157">
        <v>93163044</v>
      </c>
      <c r="T13" s="45">
        <f>IF(ISBLANK(S13),"-",S13-S11)</f>
        <v>4065</v>
      </c>
      <c r="U13" s="46">
        <f>T13*24/1000</f>
        <v>97.56</v>
      </c>
      <c r="V13" s="46">
        <f>T13/1000</f>
        <v>4.0650000000000004</v>
      </c>
      <c r="W13" s="96">
        <v>5.4</v>
      </c>
      <c r="X13" s="96">
        <f t="shared" ref="X13:X36" si="1">W13</f>
        <v>5.4</v>
      </c>
      <c r="Y13" s="97" t="s">
        <v>138</v>
      </c>
      <c r="Z13" s="158">
        <v>0</v>
      </c>
      <c r="AA13" s="158">
        <v>0</v>
      </c>
      <c r="AB13" s="158">
        <v>1187</v>
      </c>
      <c r="AC13" s="158">
        <v>1185</v>
      </c>
      <c r="AD13" s="158">
        <v>1187</v>
      </c>
      <c r="AE13" s="158">
        <v>0</v>
      </c>
      <c r="AF13" s="47" t="s">
        <v>90</v>
      </c>
      <c r="AG13" s="47" t="s">
        <v>90</v>
      </c>
      <c r="AH13" s="98" t="s">
        <v>90</v>
      </c>
      <c r="AI13" s="103">
        <v>15380872</v>
      </c>
      <c r="AJ13" s="45">
        <f>IF(ISBLANK(AI13),"-",AI13-AI11)</f>
        <v>1220</v>
      </c>
      <c r="AK13" s="48">
        <f>AJ13/V13</f>
        <v>300.12300123001228</v>
      </c>
      <c r="AL13" s="155">
        <v>0</v>
      </c>
      <c r="AM13" s="155">
        <v>0</v>
      </c>
      <c r="AN13" s="155">
        <v>1</v>
      </c>
      <c r="AO13" s="155">
        <v>1</v>
      </c>
      <c r="AP13" s="155">
        <v>1</v>
      </c>
      <c r="AQ13" s="155">
        <v>0</v>
      </c>
      <c r="AR13" s="155">
        <v>0.8</v>
      </c>
      <c r="AS13" s="158"/>
      <c r="AT13" s="158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357">
        <v>43222</v>
      </c>
      <c r="B14" s="40">
        <v>2.0416666666666701</v>
      </c>
      <c r="C14" s="40">
        <v>8.3333333333333329E-2</v>
      </c>
      <c r="D14" s="156">
        <v>3</v>
      </c>
      <c r="E14" s="154">
        <f t="shared" ref="E14:E36" si="2">D14/1.42</f>
        <v>2.1126760563380285</v>
      </c>
      <c r="F14" s="154">
        <v>4</v>
      </c>
      <c r="G14" s="118">
        <v>70</v>
      </c>
      <c r="H14" s="154">
        <f t="shared" si="0"/>
        <v>49.295774647887328</v>
      </c>
      <c r="I14" s="154">
        <v>70</v>
      </c>
      <c r="J14" s="41" t="s">
        <v>88</v>
      </c>
      <c r="K14" s="41">
        <f t="shared" ref="K14:K36" si="3">L14-(2/1.42)</f>
        <v>44.366197183098592</v>
      </c>
      <c r="L14" s="42">
        <f>(G14-5)/1.42</f>
        <v>45.774647887323944</v>
      </c>
      <c r="M14" s="41">
        <f>L14+(6/1.42)</f>
        <v>50</v>
      </c>
      <c r="N14" s="43">
        <v>14</v>
      </c>
      <c r="O14" s="44" t="s">
        <v>89</v>
      </c>
      <c r="P14" s="44">
        <v>11.2</v>
      </c>
      <c r="Q14" s="157">
        <v>139</v>
      </c>
      <c r="R14" s="157"/>
      <c r="S14" s="157">
        <v>93167042</v>
      </c>
      <c r="T14" s="45">
        <f t="shared" ref="T14:T36" si="4">IF(ISBLANK(S14),"-",S14-S13)</f>
        <v>3998</v>
      </c>
      <c r="U14" s="46">
        <f t="shared" ref="U14:U37" si="5">T14*24/1000</f>
        <v>95.951999999999998</v>
      </c>
      <c r="V14" s="46">
        <f t="shared" ref="V14:V37" si="6">T14/1000</f>
        <v>3.9980000000000002</v>
      </c>
      <c r="W14" s="96">
        <v>7.3</v>
      </c>
      <c r="X14" s="96">
        <f t="shared" si="1"/>
        <v>7.3</v>
      </c>
      <c r="Y14" s="97" t="s">
        <v>138</v>
      </c>
      <c r="Z14" s="158">
        <v>0</v>
      </c>
      <c r="AA14" s="158">
        <v>0</v>
      </c>
      <c r="AB14" s="158">
        <v>1187</v>
      </c>
      <c r="AC14" s="158">
        <v>1185</v>
      </c>
      <c r="AD14" s="158">
        <v>1187</v>
      </c>
      <c r="AE14" s="158">
        <v>0</v>
      </c>
      <c r="AF14" s="47" t="s">
        <v>90</v>
      </c>
      <c r="AG14" s="47" t="s">
        <v>90</v>
      </c>
      <c r="AH14" s="98" t="s">
        <v>90</v>
      </c>
      <c r="AI14" s="103">
        <v>15381986</v>
      </c>
      <c r="AJ14" s="45">
        <f t="shared" ref="AJ14:AJ36" si="7">IF(ISBLANK(AI14),"-",AI14-AI13)</f>
        <v>1114</v>
      </c>
      <c r="AK14" s="48">
        <f t="shared" ref="AK14:AK36" si="8">AJ14/V14</f>
        <v>278.63931965982988</v>
      </c>
      <c r="AL14" s="155">
        <v>0</v>
      </c>
      <c r="AM14" s="155">
        <v>0</v>
      </c>
      <c r="AN14" s="155">
        <v>1</v>
      </c>
      <c r="AO14" s="155">
        <v>1</v>
      </c>
      <c r="AP14" s="155">
        <v>1</v>
      </c>
      <c r="AQ14" s="155">
        <v>0</v>
      </c>
      <c r="AR14" s="155">
        <v>0.8</v>
      </c>
      <c r="AS14" s="158"/>
      <c r="AT14" s="158">
        <f t="shared" ref="AT14:AT35" si="9">AS14-AS13</f>
        <v>0</v>
      </c>
      <c r="AU14" s="119">
        <v>1.06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57">
        <v>43222</v>
      </c>
      <c r="B15" s="40">
        <v>2.0833333333333299</v>
      </c>
      <c r="C15" s="40">
        <v>0.125</v>
      </c>
      <c r="D15" s="156">
        <v>3</v>
      </c>
      <c r="E15" s="154">
        <f t="shared" si="2"/>
        <v>2.1126760563380285</v>
      </c>
      <c r="F15" s="154">
        <v>5</v>
      </c>
      <c r="G15" s="118">
        <v>71</v>
      </c>
      <c r="H15" s="154">
        <f t="shared" si="0"/>
        <v>50</v>
      </c>
      <c r="I15" s="154">
        <v>70</v>
      </c>
      <c r="J15" s="41" t="s">
        <v>88</v>
      </c>
      <c r="K15" s="41">
        <f t="shared" si="3"/>
        <v>45.070422535211272</v>
      </c>
      <c r="L15" s="42">
        <f>(G15-5)/1.42</f>
        <v>46.478873239436624</v>
      </c>
      <c r="M15" s="41">
        <f>L15+(6/1.42)</f>
        <v>50.70422535211268</v>
      </c>
      <c r="N15" s="43">
        <v>14</v>
      </c>
      <c r="O15" s="44" t="s">
        <v>89</v>
      </c>
      <c r="P15" s="44">
        <v>11.2</v>
      </c>
      <c r="Q15" s="157">
        <v>141</v>
      </c>
      <c r="R15" s="157"/>
      <c r="S15" s="157">
        <v>93170896</v>
      </c>
      <c r="T15" s="45">
        <f t="shared" si="4"/>
        <v>3854</v>
      </c>
      <c r="U15" s="46">
        <f t="shared" si="5"/>
        <v>92.495999999999995</v>
      </c>
      <c r="V15" s="46">
        <f t="shared" si="6"/>
        <v>3.8540000000000001</v>
      </c>
      <c r="W15" s="96">
        <v>8.4</v>
      </c>
      <c r="X15" s="96">
        <f t="shared" si="1"/>
        <v>8.4</v>
      </c>
      <c r="Y15" s="97" t="s">
        <v>138</v>
      </c>
      <c r="Z15" s="158">
        <v>0</v>
      </c>
      <c r="AA15" s="158">
        <v>0</v>
      </c>
      <c r="AB15" s="158">
        <v>1187</v>
      </c>
      <c r="AC15" s="158">
        <v>1185</v>
      </c>
      <c r="AD15" s="158">
        <v>1187</v>
      </c>
      <c r="AE15" s="158">
        <v>0</v>
      </c>
      <c r="AF15" s="47" t="s">
        <v>90</v>
      </c>
      <c r="AG15" s="47" t="s">
        <v>90</v>
      </c>
      <c r="AH15" s="98" t="s">
        <v>90</v>
      </c>
      <c r="AI15" s="103">
        <v>15383090</v>
      </c>
      <c r="AJ15" s="45">
        <f t="shared" si="7"/>
        <v>1104</v>
      </c>
      <c r="AK15" s="48">
        <f t="shared" si="8"/>
        <v>286.45563051375194</v>
      </c>
      <c r="AL15" s="155">
        <v>0</v>
      </c>
      <c r="AM15" s="155">
        <v>0</v>
      </c>
      <c r="AN15" s="155">
        <v>1</v>
      </c>
      <c r="AO15" s="155">
        <v>1</v>
      </c>
      <c r="AP15" s="155">
        <v>1</v>
      </c>
      <c r="AQ15" s="155">
        <v>0</v>
      </c>
      <c r="AR15" s="155">
        <v>0.8</v>
      </c>
      <c r="AS15" s="158"/>
      <c r="AT15" s="158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357">
        <v>43222</v>
      </c>
      <c r="B16" s="40">
        <v>2.125</v>
      </c>
      <c r="C16" s="40">
        <v>0.16666666666666699</v>
      </c>
      <c r="D16" s="156">
        <v>3</v>
      </c>
      <c r="E16" s="154">
        <f t="shared" si="2"/>
        <v>2.1126760563380285</v>
      </c>
      <c r="F16" s="154">
        <v>6</v>
      </c>
      <c r="G16" s="118">
        <v>83</v>
      </c>
      <c r="H16" s="154">
        <f t="shared" si="0"/>
        <v>58.450704225352112</v>
      </c>
      <c r="I16" s="154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7">
        <v>128</v>
      </c>
      <c r="R16" s="157"/>
      <c r="S16" s="157">
        <v>93174643</v>
      </c>
      <c r="T16" s="45">
        <f t="shared" si="4"/>
        <v>3747</v>
      </c>
      <c r="U16" s="46">
        <f t="shared" si="5"/>
        <v>89.927999999999997</v>
      </c>
      <c r="V16" s="46">
        <f t="shared" si="6"/>
        <v>3.7469999999999999</v>
      </c>
      <c r="W16" s="96">
        <v>9.5</v>
      </c>
      <c r="X16" s="96">
        <f t="shared" si="1"/>
        <v>9.5</v>
      </c>
      <c r="Y16" s="97" t="s">
        <v>138</v>
      </c>
      <c r="Z16" s="158">
        <v>0</v>
      </c>
      <c r="AA16" s="158">
        <v>0</v>
      </c>
      <c r="AB16" s="158">
        <v>1187</v>
      </c>
      <c r="AC16" s="158">
        <v>1185</v>
      </c>
      <c r="AD16" s="158">
        <v>1187</v>
      </c>
      <c r="AE16" s="158">
        <v>0</v>
      </c>
      <c r="AF16" s="47" t="s">
        <v>90</v>
      </c>
      <c r="AG16" s="47" t="s">
        <v>90</v>
      </c>
      <c r="AH16" s="98" t="s">
        <v>90</v>
      </c>
      <c r="AI16" s="103">
        <v>15384144</v>
      </c>
      <c r="AJ16" s="45">
        <f t="shared" si="7"/>
        <v>1054</v>
      </c>
      <c r="AK16" s="48">
        <f t="shared" si="8"/>
        <v>281.29170002668803</v>
      </c>
      <c r="AL16" s="155">
        <v>0</v>
      </c>
      <c r="AM16" s="155">
        <v>0</v>
      </c>
      <c r="AN16" s="155">
        <v>1</v>
      </c>
      <c r="AO16" s="155">
        <v>1</v>
      </c>
      <c r="AP16" s="155">
        <v>1</v>
      </c>
      <c r="AQ16" s="155">
        <v>0</v>
      </c>
      <c r="AR16" s="155">
        <v>0.8</v>
      </c>
      <c r="AS16" s="158"/>
      <c r="AT16" s="158">
        <f t="shared" si="9"/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357">
        <v>43222</v>
      </c>
      <c r="B17" s="40">
        <v>2.1666666666666701</v>
      </c>
      <c r="C17" s="40">
        <v>0.20833333333333301</v>
      </c>
      <c r="D17" s="156">
        <v>3</v>
      </c>
      <c r="E17" s="154">
        <f t="shared" si="2"/>
        <v>2.1126760563380285</v>
      </c>
      <c r="F17" s="154">
        <v>8</v>
      </c>
      <c r="G17" s="118">
        <v>82</v>
      </c>
      <c r="H17" s="154">
        <f t="shared" si="0"/>
        <v>57.74647887323944</v>
      </c>
      <c r="I17" s="154">
        <v>80</v>
      </c>
      <c r="J17" s="41" t="s">
        <v>88</v>
      </c>
      <c r="K17" s="41">
        <f t="shared" si="3"/>
        <v>52.816901408450704</v>
      </c>
      <c r="L17" s="42">
        <f>(G17-5)/1.42</f>
        <v>54.225352112676056</v>
      </c>
      <c r="M17" s="41">
        <f>L17+(6/1.42)</f>
        <v>58.450704225352112</v>
      </c>
      <c r="N17" s="43">
        <v>18</v>
      </c>
      <c r="O17" s="44" t="s">
        <v>89</v>
      </c>
      <c r="P17" s="44">
        <v>13.1</v>
      </c>
      <c r="Q17" s="157">
        <v>126</v>
      </c>
      <c r="R17" s="157"/>
      <c r="S17" s="157">
        <v>93178021</v>
      </c>
      <c r="T17" s="45">
        <f t="shared" si="4"/>
        <v>3378</v>
      </c>
      <c r="U17" s="46">
        <f t="shared" si="5"/>
        <v>81.072000000000003</v>
      </c>
      <c r="V17" s="46">
        <f t="shared" si="6"/>
        <v>3.3780000000000001</v>
      </c>
      <c r="W17" s="96">
        <v>9.5</v>
      </c>
      <c r="X17" s="96">
        <f t="shared" si="1"/>
        <v>9.5</v>
      </c>
      <c r="Y17" s="97" t="s">
        <v>138</v>
      </c>
      <c r="Z17" s="158">
        <v>0</v>
      </c>
      <c r="AA17" s="158">
        <v>0</v>
      </c>
      <c r="AB17" s="158">
        <v>1187</v>
      </c>
      <c r="AC17" s="158">
        <v>1185</v>
      </c>
      <c r="AD17" s="158">
        <v>1187</v>
      </c>
      <c r="AE17" s="158">
        <v>0</v>
      </c>
      <c r="AF17" s="47" t="s">
        <v>90</v>
      </c>
      <c r="AG17" s="47" t="s">
        <v>90</v>
      </c>
      <c r="AH17" s="98" t="s">
        <v>90</v>
      </c>
      <c r="AI17" s="103">
        <v>15385217</v>
      </c>
      <c r="AJ17" s="45">
        <f t="shared" si="7"/>
        <v>1073</v>
      </c>
      <c r="AK17" s="48">
        <f t="shared" si="8"/>
        <v>317.64357608052103</v>
      </c>
      <c r="AL17" s="155">
        <v>0</v>
      </c>
      <c r="AM17" s="155">
        <v>0</v>
      </c>
      <c r="AN17" s="155">
        <v>1</v>
      </c>
      <c r="AO17" s="155">
        <v>1</v>
      </c>
      <c r="AP17" s="155">
        <v>1</v>
      </c>
      <c r="AQ17" s="155">
        <v>0</v>
      </c>
      <c r="AR17" s="155">
        <v>0</v>
      </c>
      <c r="AS17" s="158"/>
      <c r="AT17" s="158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57">
        <v>43222</v>
      </c>
      <c r="B18" s="40">
        <v>2.2083333333333299</v>
      </c>
      <c r="C18" s="40">
        <v>0.25</v>
      </c>
      <c r="D18" s="156">
        <v>3</v>
      </c>
      <c r="E18" s="154">
        <f t="shared" si="2"/>
        <v>2.1126760563380285</v>
      </c>
      <c r="F18" s="154">
        <v>8</v>
      </c>
      <c r="G18" s="118">
        <v>78</v>
      </c>
      <c r="H18" s="154">
        <f t="shared" si="0"/>
        <v>54.929577464788736</v>
      </c>
      <c r="I18" s="154">
        <v>80</v>
      </c>
      <c r="J18" s="41" t="s">
        <v>88</v>
      </c>
      <c r="K18" s="41">
        <f t="shared" si="3"/>
        <v>53.521126760563384</v>
      </c>
      <c r="L18" s="42">
        <f t="shared" ref="L18:L27" si="10">G18/1.42</f>
        <v>54.929577464788736</v>
      </c>
      <c r="M18" s="41">
        <f>L18+1.42</f>
        <v>56.349577464788737</v>
      </c>
      <c r="N18" s="43">
        <v>19</v>
      </c>
      <c r="O18" s="44" t="s">
        <v>100</v>
      </c>
      <c r="P18" s="44">
        <v>13.1</v>
      </c>
      <c r="Q18" s="157">
        <v>140</v>
      </c>
      <c r="R18" s="157"/>
      <c r="S18" s="157">
        <v>93182114</v>
      </c>
      <c r="T18" s="45">
        <f t="shared" si="4"/>
        <v>4093</v>
      </c>
      <c r="U18" s="46">
        <f t="shared" si="5"/>
        <v>98.231999999999999</v>
      </c>
      <c r="V18" s="46">
        <f t="shared" si="6"/>
        <v>4.093</v>
      </c>
      <c r="W18" s="96">
        <v>9.5</v>
      </c>
      <c r="X18" s="96">
        <f t="shared" si="1"/>
        <v>9.5</v>
      </c>
      <c r="Y18" s="97" t="s">
        <v>138</v>
      </c>
      <c r="Z18" s="158">
        <v>0</v>
      </c>
      <c r="AA18" s="158">
        <v>0</v>
      </c>
      <c r="AB18" s="158">
        <v>1187</v>
      </c>
      <c r="AC18" s="158">
        <v>1185</v>
      </c>
      <c r="AD18" s="158">
        <v>1187</v>
      </c>
      <c r="AE18" s="158">
        <v>0</v>
      </c>
      <c r="AF18" s="47" t="s">
        <v>90</v>
      </c>
      <c r="AG18" s="47" t="s">
        <v>90</v>
      </c>
      <c r="AH18" s="98" t="s">
        <v>90</v>
      </c>
      <c r="AI18" s="103">
        <v>15386322</v>
      </c>
      <c r="AJ18" s="45">
        <f t="shared" si="7"/>
        <v>1105</v>
      </c>
      <c r="AK18" s="48">
        <f t="shared" si="8"/>
        <v>269.97312484730026</v>
      </c>
      <c r="AL18" s="155">
        <v>0</v>
      </c>
      <c r="AM18" s="155">
        <v>0</v>
      </c>
      <c r="AN18" s="155">
        <v>1</v>
      </c>
      <c r="AO18" s="155">
        <v>1</v>
      </c>
      <c r="AP18" s="155">
        <v>1</v>
      </c>
      <c r="AQ18" s="155">
        <v>0</v>
      </c>
      <c r="AR18" s="155">
        <v>0</v>
      </c>
      <c r="AS18" s="158"/>
      <c r="AT18" s="158">
        <f t="shared" si="9"/>
        <v>0</v>
      </c>
      <c r="AU18" s="119">
        <v>1.04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57">
        <v>43222</v>
      </c>
      <c r="B19" s="40">
        <v>2.25</v>
      </c>
      <c r="C19" s="40">
        <v>0.29166666666666669</v>
      </c>
      <c r="D19" s="156">
        <v>4</v>
      </c>
      <c r="E19" s="154">
        <f t="shared" si="2"/>
        <v>2.8169014084507045</v>
      </c>
      <c r="F19" s="154">
        <v>8</v>
      </c>
      <c r="G19" s="118">
        <v>79</v>
      </c>
      <c r="H19" s="154">
        <f t="shared" si="0"/>
        <v>55.633802816901408</v>
      </c>
      <c r="I19" s="154">
        <v>76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7">
        <v>128</v>
      </c>
      <c r="R19" s="157"/>
      <c r="S19" s="157">
        <v>93186506</v>
      </c>
      <c r="T19" s="45">
        <f t="shared" si="4"/>
        <v>4392</v>
      </c>
      <c r="U19" s="46">
        <f t="shared" si="5"/>
        <v>105.408</v>
      </c>
      <c r="V19" s="46">
        <f t="shared" si="6"/>
        <v>4.3920000000000003</v>
      </c>
      <c r="W19" s="96">
        <v>9.1</v>
      </c>
      <c r="X19" s="96">
        <f t="shared" si="1"/>
        <v>9.1</v>
      </c>
      <c r="Y19" s="97" t="s">
        <v>169</v>
      </c>
      <c r="Z19" s="158">
        <v>0</v>
      </c>
      <c r="AA19" s="158">
        <v>1016</v>
      </c>
      <c r="AB19" s="158">
        <v>1187</v>
      </c>
      <c r="AC19" s="158">
        <v>1185</v>
      </c>
      <c r="AD19" s="158">
        <v>1187</v>
      </c>
      <c r="AE19" s="158">
        <v>0</v>
      </c>
      <c r="AF19" s="47" t="s">
        <v>90</v>
      </c>
      <c r="AG19" s="47" t="s">
        <v>90</v>
      </c>
      <c r="AH19" s="98" t="s">
        <v>90</v>
      </c>
      <c r="AI19" s="103">
        <v>15387526</v>
      </c>
      <c r="AJ19" s="45">
        <f t="shared" si="7"/>
        <v>1204</v>
      </c>
      <c r="AK19" s="48">
        <f t="shared" si="8"/>
        <v>274.13479052823311</v>
      </c>
      <c r="AL19" s="155">
        <v>0</v>
      </c>
      <c r="AM19" s="155">
        <v>1</v>
      </c>
      <c r="AN19" s="155">
        <v>1</v>
      </c>
      <c r="AO19" s="155">
        <v>1</v>
      </c>
      <c r="AP19" s="155">
        <v>1</v>
      </c>
      <c r="AQ19" s="155">
        <v>0</v>
      </c>
      <c r="AR19" s="155">
        <v>0</v>
      </c>
      <c r="AS19" s="158"/>
      <c r="AT19" s="158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57">
        <v>43222</v>
      </c>
      <c r="B20" s="40">
        <v>2.2916666666666701</v>
      </c>
      <c r="C20" s="40">
        <v>0.33333333333333298</v>
      </c>
      <c r="D20" s="156">
        <v>4</v>
      </c>
      <c r="E20" s="154">
        <f t="shared" si="2"/>
        <v>2.8169014084507045</v>
      </c>
      <c r="F20" s="154">
        <v>7</v>
      </c>
      <c r="G20" s="118">
        <v>77</v>
      </c>
      <c r="H20" s="154">
        <f t="shared" si="0"/>
        <v>54.225352112676056</v>
      </c>
      <c r="I20" s="154">
        <v>76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7">
        <v>131</v>
      </c>
      <c r="R20" s="157"/>
      <c r="S20" s="157">
        <v>93191184</v>
      </c>
      <c r="T20" s="45">
        <f t="shared" si="4"/>
        <v>4678</v>
      </c>
      <c r="U20" s="46">
        <f>T20*24/1000</f>
        <v>112.27200000000001</v>
      </c>
      <c r="V20" s="46">
        <f t="shared" si="6"/>
        <v>4.6779999999999999</v>
      </c>
      <c r="W20" s="96">
        <v>8.6</v>
      </c>
      <c r="X20" s="96">
        <f t="shared" si="1"/>
        <v>8.6</v>
      </c>
      <c r="Y20" s="97" t="s">
        <v>169</v>
      </c>
      <c r="Z20" s="158">
        <v>0</v>
      </c>
      <c r="AA20" s="158">
        <v>1016</v>
      </c>
      <c r="AB20" s="158">
        <v>1187</v>
      </c>
      <c r="AC20" s="158">
        <v>1185</v>
      </c>
      <c r="AD20" s="158">
        <v>1187</v>
      </c>
      <c r="AE20" s="158">
        <v>0</v>
      </c>
      <c r="AF20" s="47" t="s">
        <v>90</v>
      </c>
      <c r="AG20" s="47" t="s">
        <v>90</v>
      </c>
      <c r="AH20" s="98" t="s">
        <v>90</v>
      </c>
      <c r="AI20" s="103">
        <v>15388708</v>
      </c>
      <c r="AJ20" s="45">
        <f t="shared" si="7"/>
        <v>1182</v>
      </c>
      <c r="AK20" s="48">
        <f t="shared" si="8"/>
        <v>252.67208208636168</v>
      </c>
      <c r="AL20" s="155">
        <v>0</v>
      </c>
      <c r="AM20" s="155">
        <v>1</v>
      </c>
      <c r="AN20" s="155">
        <v>1</v>
      </c>
      <c r="AO20" s="155">
        <v>1</v>
      </c>
      <c r="AP20" s="155">
        <v>1</v>
      </c>
      <c r="AQ20" s="155">
        <v>0</v>
      </c>
      <c r="AR20" s="155">
        <v>0</v>
      </c>
      <c r="AS20" s="158"/>
      <c r="AT20" s="158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357">
        <v>43222</v>
      </c>
      <c r="B21" s="40">
        <v>2.3333333333333299</v>
      </c>
      <c r="C21" s="40">
        <v>0.375</v>
      </c>
      <c r="D21" s="156">
        <v>4</v>
      </c>
      <c r="E21" s="154">
        <f t="shared" si="2"/>
        <v>2.8169014084507045</v>
      </c>
      <c r="F21" s="154">
        <v>7</v>
      </c>
      <c r="G21" s="118">
        <v>76</v>
      </c>
      <c r="H21" s="154">
        <f t="shared" si="0"/>
        <v>53.521126760563384</v>
      </c>
      <c r="I21" s="154">
        <v>75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7">
        <v>130</v>
      </c>
      <c r="R21" s="157"/>
      <c r="S21" s="157">
        <v>93195684</v>
      </c>
      <c r="T21" s="45">
        <f t="shared" si="4"/>
        <v>4500</v>
      </c>
      <c r="U21" s="46">
        <f t="shared" si="5"/>
        <v>108</v>
      </c>
      <c r="V21" s="46">
        <f t="shared" si="6"/>
        <v>4.5</v>
      </c>
      <c r="W21" s="96">
        <v>8</v>
      </c>
      <c r="X21" s="96">
        <f t="shared" si="1"/>
        <v>8</v>
      </c>
      <c r="Y21" s="97" t="s">
        <v>169</v>
      </c>
      <c r="Z21" s="158">
        <v>0</v>
      </c>
      <c r="AA21" s="158">
        <v>1017</v>
      </c>
      <c r="AB21" s="158">
        <v>1187</v>
      </c>
      <c r="AC21" s="158">
        <v>1185</v>
      </c>
      <c r="AD21" s="158">
        <v>1187</v>
      </c>
      <c r="AE21" s="158">
        <v>0</v>
      </c>
      <c r="AF21" s="47" t="s">
        <v>90</v>
      </c>
      <c r="AG21" s="47" t="s">
        <v>90</v>
      </c>
      <c r="AH21" s="98" t="s">
        <v>90</v>
      </c>
      <c r="AI21" s="103">
        <v>15389876</v>
      </c>
      <c r="AJ21" s="45">
        <f t="shared" si="7"/>
        <v>1168</v>
      </c>
      <c r="AK21" s="48">
        <f t="shared" si="8"/>
        <v>259.55555555555554</v>
      </c>
      <c r="AL21" s="155">
        <v>0</v>
      </c>
      <c r="AM21" s="155">
        <v>1</v>
      </c>
      <c r="AN21" s="155">
        <v>1</v>
      </c>
      <c r="AO21" s="155">
        <v>1</v>
      </c>
      <c r="AP21" s="155">
        <v>1</v>
      </c>
      <c r="AQ21" s="155">
        <v>0</v>
      </c>
      <c r="AR21" s="155">
        <v>0</v>
      </c>
      <c r="AS21" s="158"/>
      <c r="AT21" s="158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147</v>
      </c>
    </row>
    <row r="22" spans="1:54" x14ac:dyDescent="0.35">
      <c r="A22" s="357">
        <v>43222</v>
      </c>
      <c r="B22" s="40">
        <v>2.375</v>
      </c>
      <c r="C22" s="40">
        <v>0.41666666666666669</v>
      </c>
      <c r="D22" s="156">
        <v>4</v>
      </c>
      <c r="E22" s="154">
        <f t="shared" si="2"/>
        <v>2.8169014084507045</v>
      </c>
      <c r="F22" s="154">
        <v>7</v>
      </c>
      <c r="G22" s="118">
        <v>76</v>
      </c>
      <c r="H22" s="154">
        <f t="shared" si="0"/>
        <v>53.521126760563384</v>
      </c>
      <c r="I22" s="154">
        <v>75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7">
        <v>130</v>
      </c>
      <c r="R22" s="157"/>
      <c r="S22" s="157">
        <v>93199456</v>
      </c>
      <c r="T22" s="45">
        <f t="shared" si="4"/>
        <v>3772</v>
      </c>
      <c r="U22" s="46">
        <f t="shared" si="5"/>
        <v>90.528000000000006</v>
      </c>
      <c r="V22" s="46">
        <f t="shared" si="6"/>
        <v>3.7719999999999998</v>
      </c>
      <c r="W22" s="96">
        <v>7.3</v>
      </c>
      <c r="X22" s="96">
        <f t="shared" si="1"/>
        <v>7.3</v>
      </c>
      <c r="Y22" s="97" t="s">
        <v>169</v>
      </c>
      <c r="Z22" s="158">
        <v>0</v>
      </c>
      <c r="AA22" s="158">
        <v>1027</v>
      </c>
      <c r="AB22" s="158">
        <v>1187</v>
      </c>
      <c r="AC22" s="158">
        <v>1185</v>
      </c>
      <c r="AD22" s="158">
        <v>1187</v>
      </c>
      <c r="AE22" s="158">
        <v>0</v>
      </c>
      <c r="AF22" s="47" t="s">
        <v>90</v>
      </c>
      <c r="AG22" s="47" t="s">
        <v>90</v>
      </c>
      <c r="AH22" s="98" t="s">
        <v>90</v>
      </c>
      <c r="AI22" s="103">
        <v>15391070</v>
      </c>
      <c r="AJ22" s="45">
        <f t="shared" si="7"/>
        <v>1194</v>
      </c>
      <c r="AK22" s="48">
        <f t="shared" si="8"/>
        <v>316.54294803817606</v>
      </c>
      <c r="AL22" s="155">
        <v>0</v>
      </c>
      <c r="AM22" s="155">
        <v>1</v>
      </c>
      <c r="AN22" s="155">
        <v>1</v>
      </c>
      <c r="AO22" s="155">
        <v>1</v>
      </c>
      <c r="AP22" s="155">
        <v>1</v>
      </c>
      <c r="AQ22" s="155">
        <v>0</v>
      </c>
      <c r="AR22" s="155">
        <v>0</v>
      </c>
      <c r="AS22" s="158"/>
      <c r="AT22" s="158">
        <f t="shared" si="9"/>
        <v>0</v>
      </c>
      <c r="AU22" s="119">
        <v>1.39</v>
      </c>
      <c r="AV22" s="50" t="s">
        <v>125</v>
      </c>
      <c r="BB22" s="136" t="s">
        <v>157</v>
      </c>
    </row>
    <row r="23" spans="1:54" x14ac:dyDescent="0.35">
      <c r="A23" s="357">
        <v>43222</v>
      </c>
      <c r="B23" s="40">
        <v>2.4166666666666701</v>
      </c>
      <c r="C23" s="40">
        <v>0.45833333333333298</v>
      </c>
      <c r="D23" s="156">
        <v>4</v>
      </c>
      <c r="E23" s="154">
        <f t="shared" si="2"/>
        <v>2.8169014084507045</v>
      </c>
      <c r="F23" s="154">
        <v>6</v>
      </c>
      <c r="G23" s="118">
        <v>76</v>
      </c>
      <c r="H23" s="154">
        <f t="shared" si="0"/>
        <v>53.521126760563384</v>
      </c>
      <c r="I23" s="154">
        <v>74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7">
        <v>131</v>
      </c>
      <c r="R23" s="157"/>
      <c r="S23" s="157">
        <v>93203076</v>
      </c>
      <c r="T23" s="45">
        <f t="shared" si="4"/>
        <v>3620</v>
      </c>
      <c r="U23" s="46">
        <f t="shared" si="5"/>
        <v>86.88</v>
      </c>
      <c r="V23" s="46">
        <f t="shared" si="6"/>
        <v>3.62</v>
      </c>
      <c r="W23" s="96">
        <v>6.8</v>
      </c>
      <c r="X23" s="96">
        <f>W23</f>
        <v>6.8</v>
      </c>
      <c r="Y23" s="97" t="s">
        <v>169</v>
      </c>
      <c r="Z23" s="158">
        <v>0</v>
      </c>
      <c r="AA23" s="158">
        <v>1026</v>
      </c>
      <c r="AB23" s="158">
        <v>1187</v>
      </c>
      <c r="AC23" s="158">
        <v>1185</v>
      </c>
      <c r="AD23" s="158">
        <v>1187</v>
      </c>
      <c r="AE23" s="158">
        <v>0</v>
      </c>
      <c r="AF23" s="47" t="s">
        <v>90</v>
      </c>
      <c r="AG23" s="47" t="s">
        <v>90</v>
      </c>
      <c r="AH23" s="98" t="s">
        <v>90</v>
      </c>
      <c r="AI23" s="103">
        <v>15392300</v>
      </c>
      <c r="AJ23" s="45">
        <f t="shared" si="7"/>
        <v>1230</v>
      </c>
      <c r="AK23" s="48">
        <f t="shared" si="8"/>
        <v>339.77900552486187</v>
      </c>
      <c r="AL23" s="155">
        <v>0</v>
      </c>
      <c r="AM23" s="155">
        <v>1</v>
      </c>
      <c r="AN23" s="155">
        <v>1</v>
      </c>
      <c r="AO23" s="155">
        <v>1</v>
      </c>
      <c r="AP23" s="155">
        <v>1</v>
      </c>
      <c r="AQ23" s="155">
        <v>0</v>
      </c>
      <c r="AR23" s="155">
        <v>0</v>
      </c>
      <c r="AS23" s="158"/>
      <c r="AT23" s="158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357">
        <v>43222</v>
      </c>
      <c r="B24" s="40">
        <v>2.4583333333333299</v>
      </c>
      <c r="C24" s="40">
        <v>0.5</v>
      </c>
      <c r="D24" s="156">
        <v>3</v>
      </c>
      <c r="E24" s="154">
        <f t="shared" si="2"/>
        <v>2.1126760563380285</v>
      </c>
      <c r="F24" s="154">
        <v>6</v>
      </c>
      <c r="G24" s="118">
        <v>75</v>
      </c>
      <c r="H24" s="154">
        <f t="shared" si="0"/>
        <v>52.816901408450704</v>
      </c>
      <c r="I24" s="154">
        <v>74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7">
        <v>128</v>
      </c>
      <c r="R24" s="157"/>
      <c r="S24" s="157">
        <v>93207142</v>
      </c>
      <c r="T24" s="45">
        <f t="shared" si="4"/>
        <v>4066</v>
      </c>
      <c r="U24" s="46">
        <f>T24*24/1000</f>
        <v>97.584000000000003</v>
      </c>
      <c r="V24" s="46">
        <f t="shared" si="6"/>
        <v>4.0659999999999998</v>
      </c>
      <c r="W24" s="96">
        <v>6.1</v>
      </c>
      <c r="X24" s="96">
        <f t="shared" si="1"/>
        <v>6.1</v>
      </c>
      <c r="Y24" s="97" t="s">
        <v>169</v>
      </c>
      <c r="Z24" s="158">
        <v>0</v>
      </c>
      <c r="AA24" s="158">
        <v>1026</v>
      </c>
      <c r="AB24" s="158">
        <v>1186</v>
      </c>
      <c r="AC24" s="158">
        <v>1185</v>
      </c>
      <c r="AD24" s="158">
        <v>1187</v>
      </c>
      <c r="AE24" s="158">
        <v>0</v>
      </c>
      <c r="AF24" s="47" t="s">
        <v>90</v>
      </c>
      <c r="AG24" s="47" t="s">
        <v>90</v>
      </c>
      <c r="AH24" s="98" t="s">
        <v>90</v>
      </c>
      <c r="AI24" s="103">
        <v>15393580</v>
      </c>
      <c r="AJ24" s="45">
        <f t="shared" si="7"/>
        <v>1280</v>
      </c>
      <c r="AK24" s="48">
        <f t="shared" si="8"/>
        <v>314.8057058534186</v>
      </c>
      <c r="AL24" s="155">
        <v>0</v>
      </c>
      <c r="AM24" s="155">
        <v>1</v>
      </c>
      <c r="AN24" s="155">
        <v>1</v>
      </c>
      <c r="AO24" s="155">
        <v>1</v>
      </c>
      <c r="AP24" s="155">
        <v>1</v>
      </c>
      <c r="AQ24" s="155">
        <v>0</v>
      </c>
      <c r="AR24" s="155">
        <v>0</v>
      </c>
      <c r="AS24" s="158"/>
      <c r="AT24" s="158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357">
        <v>43222</v>
      </c>
      <c r="B25" s="40">
        <v>2.5</v>
      </c>
      <c r="C25" s="40">
        <v>0.54166666666666696</v>
      </c>
      <c r="D25" s="156">
        <v>3</v>
      </c>
      <c r="E25" s="154">
        <f t="shared" si="2"/>
        <v>2.1126760563380285</v>
      </c>
      <c r="F25" s="154">
        <v>5</v>
      </c>
      <c r="G25" s="118">
        <v>75</v>
      </c>
      <c r="H25" s="154">
        <f t="shared" si="0"/>
        <v>52.816901408450704</v>
      </c>
      <c r="I25" s="154">
        <v>72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7">
        <v>127</v>
      </c>
      <c r="R25" s="157"/>
      <c r="S25" s="157">
        <v>93211058</v>
      </c>
      <c r="T25" s="45">
        <f t="shared" si="4"/>
        <v>3916</v>
      </c>
      <c r="U25" s="46">
        <f>T25*24/1000</f>
        <v>93.983999999999995</v>
      </c>
      <c r="V25" s="46">
        <f t="shared" si="6"/>
        <v>3.9159999999999999</v>
      </c>
      <c r="W25" s="96">
        <v>5.6</v>
      </c>
      <c r="X25" s="96">
        <f t="shared" si="1"/>
        <v>5.6</v>
      </c>
      <c r="Y25" s="97" t="s">
        <v>169</v>
      </c>
      <c r="Z25" s="158">
        <v>0</v>
      </c>
      <c r="AA25" s="158">
        <v>1027</v>
      </c>
      <c r="AB25" s="158">
        <v>1186</v>
      </c>
      <c r="AC25" s="158">
        <v>1185</v>
      </c>
      <c r="AD25" s="158">
        <v>1187</v>
      </c>
      <c r="AE25" s="158">
        <v>0</v>
      </c>
      <c r="AF25" s="47" t="s">
        <v>90</v>
      </c>
      <c r="AG25" s="47" t="s">
        <v>90</v>
      </c>
      <c r="AH25" s="98" t="s">
        <v>90</v>
      </c>
      <c r="AI25" s="103">
        <v>15394714</v>
      </c>
      <c r="AJ25" s="45">
        <f t="shared" si="7"/>
        <v>1134</v>
      </c>
      <c r="AK25" s="48">
        <f t="shared" si="8"/>
        <v>289.58120531154242</v>
      </c>
      <c r="AL25" s="155">
        <v>0</v>
      </c>
      <c r="AM25" s="155">
        <v>1</v>
      </c>
      <c r="AN25" s="155">
        <v>1</v>
      </c>
      <c r="AO25" s="155">
        <v>1</v>
      </c>
      <c r="AP25" s="155">
        <v>1</v>
      </c>
      <c r="AQ25" s="155">
        <v>0</v>
      </c>
      <c r="AR25" s="155">
        <v>0</v>
      </c>
      <c r="AS25" s="158"/>
      <c r="AT25" s="158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57">
        <v>43222</v>
      </c>
      <c r="B26" s="40">
        <v>2.5416666666666701</v>
      </c>
      <c r="C26" s="40">
        <v>0.58333333333333404</v>
      </c>
      <c r="D26" s="156">
        <v>3</v>
      </c>
      <c r="E26" s="154">
        <f t="shared" si="2"/>
        <v>2.1126760563380285</v>
      </c>
      <c r="F26" s="154">
        <v>5</v>
      </c>
      <c r="G26" s="118">
        <v>75</v>
      </c>
      <c r="H26" s="154">
        <f>G26/1.42</f>
        <v>52.816901408450704</v>
      </c>
      <c r="I26" s="154">
        <v>72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7">
        <v>129</v>
      </c>
      <c r="R26" s="157"/>
      <c r="S26" s="157">
        <v>93215591</v>
      </c>
      <c r="T26" s="45">
        <f t="shared" si="4"/>
        <v>4533</v>
      </c>
      <c r="U26" s="46">
        <f t="shared" si="5"/>
        <v>108.792</v>
      </c>
      <c r="V26" s="46">
        <f t="shared" si="6"/>
        <v>4.5330000000000004</v>
      </c>
      <c r="W26" s="96">
        <v>5</v>
      </c>
      <c r="X26" s="96">
        <f t="shared" si="1"/>
        <v>5</v>
      </c>
      <c r="Y26" s="97" t="s">
        <v>169</v>
      </c>
      <c r="Z26" s="158">
        <v>0</v>
      </c>
      <c r="AA26" s="158">
        <v>1026</v>
      </c>
      <c r="AB26" s="158">
        <v>1187</v>
      </c>
      <c r="AC26" s="158">
        <v>1185</v>
      </c>
      <c r="AD26" s="158">
        <v>1187</v>
      </c>
      <c r="AE26" s="158">
        <v>0</v>
      </c>
      <c r="AF26" s="47" t="s">
        <v>90</v>
      </c>
      <c r="AG26" s="47" t="s">
        <v>90</v>
      </c>
      <c r="AH26" s="98" t="s">
        <v>90</v>
      </c>
      <c r="AI26" s="103">
        <v>15395951</v>
      </c>
      <c r="AJ26" s="45">
        <f t="shared" si="7"/>
        <v>1237</v>
      </c>
      <c r="AK26" s="48">
        <f t="shared" si="8"/>
        <v>272.88771233178909</v>
      </c>
      <c r="AL26" s="155">
        <v>0</v>
      </c>
      <c r="AM26" s="155">
        <v>1</v>
      </c>
      <c r="AN26" s="155">
        <v>1</v>
      </c>
      <c r="AO26" s="155">
        <v>1</v>
      </c>
      <c r="AP26" s="155">
        <v>1</v>
      </c>
      <c r="AQ26" s="155">
        <v>0</v>
      </c>
      <c r="AR26" s="155">
        <v>0</v>
      </c>
      <c r="AS26" s="158"/>
      <c r="AT26" s="158">
        <f t="shared" si="9"/>
        <v>0</v>
      </c>
      <c r="AU26" s="119">
        <v>0.99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57">
        <v>43222</v>
      </c>
      <c r="B27" s="40">
        <v>2.5833333333333299</v>
      </c>
      <c r="C27" s="40">
        <v>0.625</v>
      </c>
      <c r="D27" s="156">
        <v>3</v>
      </c>
      <c r="E27" s="154">
        <f t="shared" si="2"/>
        <v>2.1126760563380285</v>
      </c>
      <c r="F27" s="154">
        <v>4</v>
      </c>
      <c r="G27" s="118">
        <v>76</v>
      </c>
      <c r="H27" s="154">
        <f>G27/1.42</f>
        <v>53.521126760563384</v>
      </c>
      <c r="I27" s="154">
        <v>71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7">
        <v>128</v>
      </c>
      <c r="R27" s="157"/>
      <c r="S27" s="157">
        <v>93220043</v>
      </c>
      <c r="T27" s="45">
        <f t="shared" si="4"/>
        <v>4452</v>
      </c>
      <c r="U27" s="46">
        <f t="shared" si="5"/>
        <v>106.848</v>
      </c>
      <c r="V27" s="46">
        <f t="shared" si="6"/>
        <v>4.452</v>
      </c>
      <c r="W27" s="96">
        <v>4.5999999999999996</v>
      </c>
      <c r="X27" s="96">
        <f t="shared" si="1"/>
        <v>4.5999999999999996</v>
      </c>
      <c r="Y27" s="97" t="s">
        <v>169</v>
      </c>
      <c r="Z27" s="158">
        <v>0</v>
      </c>
      <c r="AA27" s="158">
        <v>1026</v>
      </c>
      <c r="AB27" s="158">
        <v>1187</v>
      </c>
      <c r="AC27" s="158">
        <v>1185</v>
      </c>
      <c r="AD27" s="158">
        <v>1187</v>
      </c>
      <c r="AE27" s="158">
        <v>0</v>
      </c>
      <c r="AF27" s="47" t="s">
        <v>90</v>
      </c>
      <c r="AG27" s="47" t="s">
        <v>90</v>
      </c>
      <c r="AH27" s="98" t="s">
        <v>90</v>
      </c>
      <c r="AI27" s="103">
        <v>15397153</v>
      </c>
      <c r="AJ27" s="45">
        <f t="shared" si="7"/>
        <v>1202</v>
      </c>
      <c r="AK27" s="48">
        <f t="shared" si="8"/>
        <v>269.99101527403417</v>
      </c>
      <c r="AL27" s="155">
        <v>0</v>
      </c>
      <c r="AM27" s="155">
        <v>1</v>
      </c>
      <c r="AN27" s="155">
        <v>1</v>
      </c>
      <c r="AO27" s="155">
        <v>1</v>
      </c>
      <c r="AP27" s="155">
        <v>1</v>
      </c>
      <c r="AQ27" s="155">
        <v>0</v>
      </c>
      <c r="AR27" s="155">
        <v>0</v>
      </c>
      <c r="AS27" s="158"/>
      <c r="AT27" s="158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57">
        <v>43222</v>
      </c>
      <c r="B28" s="40">
        <v>2.625</v>
      </c>
      <c r="C28" s="40">
        <v>0.66666666666666696</v>
      </c>
      <c r="D28" s="156">
        <v>3</v>
      </c>
      <c r="E28" s="154">
        <f t="shared" si="2"/>
        <v>2.1126760563380285</v>
      </c>
      <c r="F28" s="154">
        <v>4</v>
      </c>
      <c r="G28" s="118">
        <v>75</v>
      </c>
      <c r="H28" s="154">
        <f t="shared" si="0"/>
        <v>52.816901408450704</v>
      </c>
      <c r="I28" s="154">
        <v>71</v>
      </c>
      <c r="J28" s="41" t="s">
        <v>88</v>
      </c>
      <c r="K28" s="41">
        <f t="shared" si="3"/>
        <v>49.295774647887328</v>
      </c>
      <c r="L28" s="42">
        <f>(G28-3)/1.42</f>
        <v>50.70422535211268</v>
      </c>
      <c r="M28" s="41">
        <f t="shared" si="12"/>
        <v>54.929577464788736</v>
      </c>
      <c r="N28" s="43">
        <v>18</v>
      </c>
      <c r="O28" s="44" t="s">
        <v>100</v>
      </c>
      <c r="P28" s="44">
        <v>16.7</v>
      </c>
      <c r="Q28" s="157">
        <v>129</v>
      </c>
      <c r="R28" s="157"/>
      <c r="S28" s="157">
        <v>93224422</v>
      </c>
      <c r="T28" s="45">
        <f t="shared" si="4"/>
        <v>4379</v>
      </c>
      <c r="U28" s="46">
        <f t="shared" si="5"/>
        <v>105.096</v>
      </c>
      <c r="V28" s="46">
        <f t="shared" si="6"/>
        <v>4.3789999999999996</v>
      </c>
      <c r="W28" s="96">
        <v>4.0999999999999996</v>
      </c>
      <c r="X28" s="96">
        <f t="shared" si="1"/>
        <v>4.0999999999999996</v>
      </c>
      <c r="Y28" s="97" t="s">
        <v>169</v>
      </c>
      <c r="Z28" s="158">
        <v>0</v>
      </c>
      <c r="AA28" s="158">
        <v>1015</v>
      </c>
      <c r="AB28" s="158">
        <v>1187</v>
      </c>
      <c r="AC28" s="158">
        <v>1185</v>
      </c>
      <c r="AD28" s="158">
        <v>1187</v>
      </c>
      <c r="AE28" s="158">
        <v>0</v>
      </c>
      <c r="AF28" s="47" t="s">
        <v>90</v>
      </c>
      <c r="AG28" s="47" t="s">
        <v>90</v>
      </c>
      <c r="AH28" s="98" t="s">
        <v>90</v>
      </c>
      <c r="AI28" s="103">
        <v>15398315</v>
      </c>
      <c r="AJ28" s="45">
        <f>IF(ISBLANK(AI28),"-",AI28-AI27)</f>
        <v>1162</v>
      </c>
      <c r="AK28" s="48">
        <f t="shared" si="8"/>
        <v>265.35738753139987</v>
      </c>
      <c r="AL28" s="155">
        <v>0</v>
      </c>
      <c r="AM28" s="155">
        <v>1</v>
      </c>
      <c r="AN28" s="155">
        <v>1</v>
      </c>
      <c r="AO28" s="155">
        <v>1</v>
      </c>
      <c r="AP28" s="155">
        <v>1</v>
      </c>
      <c r="AQ28" s="155">
        <v>0</v>
      </c>
      <c r="AR28" s="155">
        <v>0</v>
      </c>
      <c r="AS28" s="158"/>
      <c r="AT28" s="158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357">
        <v>43222</v>
      </c>
      <c r="B29" s="40">
        <v>2.6666666666666701</v>
      </c>
      <c r="C29" s="40">
        <v>0.70833333333333404</v>
      </c>
      <c r="D29" s="156" t="s">
        <v>179</v>
      </c>
      <c r="E29" s="154" t="e">
        <f t="shared" si="2"/>
        <v>#VALUE!</v>
      </c>
      <c r="F29" s="154">
        <v>3</v>
      </c>
      <c r="G29" s="118">
        <v>75</v>
      </c>
      <c r="H29" s="154">
        <f t="shared" si="0"/>
        <v>52.816901408450704</v>
      </c>
      <c r="I29" s="154">
        <v>70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7" t="s">
        <v>179</v>
      </c>
      <c r="R29" s="157"/>
      <c r="S29" s="157">
        <v>93228951</v>
      </c>
      <c r="T29" s="45">
        <f t="shared" si="4"/>
        <v>4529</v>
      </c>
      <c r="U29" s="46">
        <f t="shared" si="5"/>
        <v>108.696</v>
      </c>
      <c r="V29" s="46">
        <f t="shared" si="6"/>
        <v>4.5289999999999999</v>
      </c>
      <c r="W29" s="96">
        <v>3.6</v>
      </c>
      <c r="X29" s="96">
        <f t="shared" si="1"/>
        <v>3.6</v>
      </c>
      <c r="Y29" s="97" t="s">
        <v>169</v>
      </c>
      <c r="Z29" s="158">
        <v>0</v>
      </c>
      <c r="AA29" s="158">
        <v>1015</v>
      </c>
      <c r="AB29" s="158">
        <v>1187</v>
      </c>
      <c r="AC29" s="158">
        <v>1185</v>
      </c>
      <c r="AD29" s="158">
        <v>1187</v>
      </c>
      <c r="AE29" s="158">
        <v>0</v>
      </c>
      <c r="AF29" s="47" t="s">
        <v>90</v>
      </c>
      <c r="AG29" s="47" t="s">
        <v>90</v>
      </c>
      <c r="AH29" s="98" t="s">
        <v>90</v>
      </c>
      <c r="AI29" s="103">
        <v>15399421</v>
      </c>
      <c r="AJ29" s="45">
        <f t="shared" si="7"/>
        <v>1106</v>
      </c>
      <c r="AK29" s="48">
        <f>AJ28/V29</f>
        <v>256.56877897990728</v>
      </c>
      <c r="AL29" s="155">
        <v>0</v>
      </c>
      <c r="AM29" s="155">
        <v>1</v>
      </c>
      <c r="AN29" s="155">
        <v>1</v>
      </c>
      <c r="AO29" s="155">
        <v>1</v>
      </c>
      <c r="AP29" s="155">
        <v>1</v>
      </c>
      <c r="AQ29" s="155">
        <v>0</v>
      </c>
      <c r="AR29" s="155">
        <v>0</v>
      </c>
      <c r="AS29" s="158"/>
      <c r="AT29" s="158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357">
        <v>43222</v>
      </c>
      <c r="B30" s="40">
        <v>2.7083333333333299</v>
      </c>
      <c r="C30" s="40">
        <v>0.750000000000002</v>
      </c>
      <c r="D30" s="156" t="s">
        <v>179</v>
      </c>
      <c r="E30" s="154" t="e">
        <f t="shared" si="2"/>
        <v>#VALUE!</v>
      </c>
      <c r="F30" s="154">
        <v>3</v>
      </c>
      <c r="G30" s="118">
        <v>74</v>
      </c>
      <c r="H30" s="154">
        <f t="shared" si="0"/>
        <v>52.112676056338032</v>
      </c>
      <c r="I30" s="154">
        <v>70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7" t="s">
        <v>179</v>
      </c>
      <c r="R30" s="157"/>
      <c r="S30" s="157">
        <v>93233376</v>
      </c>
      <c r="T30" s="45">
        <f t="shared" si="4"/>
        <v>4425</v>
      </c>
      <c r="U30" s="46">
        <f t="shared" si="5"/>
        <v>106.2</v>
      </c>
      <c r="V30" s="46">
        <f t="shared" si="6"/>
        <v>4.4249999999999998</v>
      </c>
      <c r="W30" s="96">
        <v>3.2</v>
      </c>
      <c r="X30" s="96">
        <f t="shared" si="1"/>
        <v>3.2</v>
      </c>
      <c r="Y30" s="97" t="s">
        <v>169</v>
      </c>
      <c r="Z30" s="158">
        <v>0</v>
      </c>
      <c r="AA30" s="158">
        <v>1015</v>
      </c>
      <c r="AB30" s="158">
        <v>1187</v>
      </c>
      <c r="AC30" s="158">
        <v>1185</v>
      </c>
      <c r="AD30" s="158">
        <v>1187</v>
      </c>
      <c r="AE30" s="158">
        <v>0</v>
      </c>
      <c r="AF30" s="47" t="s">
        <v>90</v>
      </c>
      <c r="AG30" s="47" t="s">
        <v>90</v>
      </c>
      <c r="AH30" s="98" t="s">
        <v>90</v>
      </c>
      <c r="AI30" s="103">
        <v>15400674</v>
      </c>
      <c r="AJ30" s="45">
        <f t="shared" si="7"/>
        <v>1253</v>
      </c>
      <c r="AK30" s="48">
        <f>AJ29/V30</f>
        <v>249.94350282485877</v>
      </c>
      <c r="AL30" s="155">
        <v>0</v>
      </c>
      <c r="AM30" s="155">
        <v>1</v>
      </c>
      <c r="AN30" s="155">
        <v>1</v>
      </c>
      <c r="AO30" s="155">
        <v>1</v>
      </c>
      <c r="AP30" s="155">
        <v>1</v>
      </c>
      <c r="AQ30" s="155">
        <v>0</v>
      </c>
      <c r="AR30" s="155">
        <v>0</v>
      </c>
      <c r="AS30" s="158"/>
      <c r="AT30" s="158">
        <f t="shared" si="9"/>
        <v>0</v>
      </c>
      <c r="AU30" s="159">
        <v>0.98</v>
      </c>
      <c r="AV30" s="50" t="s">
        <v>124</v>
      </c>
      <c r="AY30" s="55" t="s">
        <v>114</v>
      </c>
      <c r="AZ30" s="55">
        <v>101.325</v>
      </c>
      <c r="BB30" s="74" t="s">
        <v>143</v>
      </c>
    </row>
    <row r="31" spans="1:54" x14ac:dyDescent="0.35">
      <c r="A31" s="357">
        <v>43222</v>
      </c>
      <c r="B31" s="40">
        <v>2.75</v>
      </c>
      <c r="C31" s="40">
        <v>0.79166666666666896</v>
      </c>
      <c r="D31" s="156" t="s">
        <v>179</v>
      </c>
      <c r="E31" s="154" t="e">
        <f t="shared" si="2"/>
        <v>#VALUE!</v>
      </c>
      <c r="F31" s="154">
        <v>2</v>
      </c>
      <c r="G31" s="118">
        <v>74</v>
      </c>
      <c r="H31" s="154">
        <f t="shared" si="0"/>
        <v>52.112676056338032</v>
      </c>
      <c r="I31" s="154">
        <v>69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7" t="s">
        <v>179</v>
      </c>
      <c r="R31" s="157"/>
      <c r="S31" s="157">
        <v>93237812</v>
      </c>
      <c r="T31" s="45">
        <f t="shared" si="4"/>
        <v>4436</v>
      </c>
      <c r="U31" s="46">
        <f t="shared" si="5"/>
        <v>106.464</v>
      </c>
      <c r="V31" s="46">
        <f t="shared" si="6"/>
        <v>4.4359999999999999</v>
      </c>
      <c r="W31" s="96">
        <v>2.8</v>
      </c>
      <c r="X31" s="96">
        <f t="shared" si="1"/>
        <v>2.8</v>
      </c>
      <c r="Y31" s="97" t="s">
        <v>169</v>
      </c>
      <c r="Z31" s="158">
        <v>0</v>
      </c>
      <c r="AA31" s="158">
        <v>1015</v>
      </c>
      <c r="AB31" s="158">
        <v>1187</v>
      </c>
      <c r="AC31" s="158">
        <v>1185</v>
      </c>
      <c r="AD31" s="158">
        <v>1187</v>
      </c>
      <c r="AE31" s="158">
        <v>0</v>
      </c>
      <c r="AF31" s="47" t="s">
        <v>90</v>
      </c>
      <c r="AG31" s="47" t="s">
        <v>90</v>
      </c>
      <c r="AH31" s="98" t="s">
        <v>90</v>
      </c>
      <c r="AI31" s="103">
        <v>15401854</v>
      </c>
      <c r="AJ31" s="45">
        <f t="shared" si="7"/>
        <v>1180</v>
      </c>
      <c r="AK31" s="48">
        <f t="shared" si="8"/>
        <v>266.00541027953113</v>
      </c>
      <c r="AL31" s="155">
        <v>0</v>
      </c>
      <c r="AM31" s="155">
        <v>1</v>
      </c>
      <c r="AN31" s="155">
        <v>1</v>
      </c>
      <c r="AO31" s="155">
        <v>1</v>
      </c>
      <c r="AP31" s="155">
        <v>1</v>
      </c>
      <c r="AQ31" s="155">
        <v>0</v>
      </c>
      <c r="AR31" s="155">
        <v>0</v>
      </c>
      <c r="AS31" s="158"/>
      <c r="AT31" s="158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357">
        <v>43222</v>
      </c>
      <c r="B32" s="40">
        <v>2.7916666666666701</v>
      </c>
      <c r="C32" s="40">
        <v>0.83333333333333703</v>
      </c>
      <c r="D32" s="156" t="s">
        <v>179</v>
      </c>
      <c r="E32" s="154" t="e">
        <f t="shared" si="2"/>
        <v>#VALUE!</v>
      </c>
      <c r="F32" s="154">
        <v>2</v>
      </c>
      <c r="G32" s="118">
        <v>74</v>
      </c>
      <c r="H32" s="154">
        <f t="shared" si="0"/>
        <v>52.112676056338032</v>
      </c>
      <c r="I32" s="154">
        <v>69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7" t="s">
        <v>179</v>
      </c>
      <c r="R32" s="157"/>
      <c r="S32" s="157">
        <v>93242225</v>
      </c>
      <c r="T32" s="45">
        <f t="shared" si="4"/>
        <v>4413</v>
      </c>
      <c r="U32" s="46">
        <f t="shared" si="5"/>
        <v>105.91200000000001</v>
      </c>
      <c r="V32" s="46">
        <f t="shared" si="6"/>
        <v>4.4130000000000003</v>
      </c>
      <c r="W32" s="96">
        <v>2.5</v>
      </c>
      <c r="X32" s="96">
        <f t="shared" si="1"/>
        <v>2.5</v>
      </c>
      <c r="Y32" s="97" t="s">
        <v>169</v>
      </c>
      <c r="Z32" s="158">
        <v>0</v>
      </c>
      <c r="AA32" s="158">
        <v>1016</v>
      </c>
      <c r="AB32" s="158">
        <v>1187</v>
      </c>
      <c r="AC32" s="158">
        <v>1185</v>
      </c>
      <c r="AD32" s="158">
        <v>1187</v>
      </c>
      <c r="AE32" s="158">
        <v>0</v>
      </c>
      <c r="AF32" s="47" t="s">
        <v>90</v>
      </c>
      <c r="AG32" s="47" t="s">
        <v>90</v>
      </c>
      <c r="AH32" s="98" t="s">
        <v>90</v>
      </c>
      <c r="AI32" s="103">
        <v>15403022</v>
      </c>
      <c r="AJ32" s="45">
        <f t="shared" si="7"/>
        <v>1168</v>
      </c>
      <c r="AK32" s="48">
        <f t="shared" si="8"/>
        <v>264.67255835032859</v>
      </c>
      <c r="AL32" s="155">
        <v>0</v>
      </c>
      <c r="AM32" s="155">
        <v>1</v>
      </c>
      <c r="AN32" s="155">
        <v>1</v>
      </c>
      <c r="AO32" s="155">
        <v>1</v>
      </c>
      <c r="AP32" s="155">
        <v>1</v>
      </c>
      <c r="AQ32" s="155">
        <v>0</v>
      </c>
      <c r="AR32" s="155">
        <v>0</v>
      </c>
      <c r="AS32" s="158"/>
      <c r="AT32" s="158">
        <v>0</v>
      </c>
      <c r="AU32" s="49"/>
      <c r="AV32" s="50" t="s">
        <v>124</v>
      </c>
      <c r="AY32" s="308" t="s">
        <v>115</v>
      </c>
      <c r="AZ32" s="308"/>
      <c r="BB32" s="74" t="s">
        <v>156</v>
      </c>
    </row>
    <row r="33" spans="1:54" x14ac:dyDescent="0.35">
      <c r="A33" s="357">
        <v>43222</v>
      </c>
      <c r="B33" s="40">
        <v>2.8333333333333299</v>
      </c>
      <c r="C33" s="40">
        <v>0.875</v>
      </c>
      <c r="D33" s="156" t="s">
        <v>179</v>
      </c>
      <c r="E33" s="154" t="e">
        <f t="shared" si="2"/>
        <v>#VALUE!</v>
      </c>
      <c r="F33" s="154">
        <v>1</v>
      </c>
      <c r="G33" s="118">
        <v>74</v>
      </c>
      <c r="H33" s="154">
        <f t="shared" si="0"/>
        <v>52.112676056338032</v>
      </c>
      <c r="I33" s="154">
        <v>68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7" t="s">
        <v>179</v>
      </c>
      <c r="R33" s="157"/>
      <c r="S33" s="157">
        <v>93246457</v>
      </c>
      <c r="T33" s="45">
        <f t="shared" si="4"/>
        <v>4232</v>
      </c>
      <c r="U33" s="46">
        <f t="shared" si="5"/>
        <v>101.568</v>
      </c>
      <c r="V33" s="46">
        <f t="shared" si="6"/>
        <v>4.2320000000000002</v>
      </c>
      <c r="W33" s="96">
        <v>2.1</v>
      </c>
      <c r="X33" s="96">
        <f t="shared" si="1"/>
        <v>2.1</v>
      </c>
      <c r="Y33" s="97" t="s">
        <v>169</v>
      </c>
      <c r="Z33" s="158">
        <v>0</v>
      </c>
      <c r="AA33" s="158">
        <v>1016</v>
      </c>
      <c r="AB33" s="158">
        <v>1187</v>
      </c>
      <c r="AC33" s="158">
        <v>1185</v>
      </c>
      <c r="AD33" s="158">
        <v>1187</v>
      </c>
      <c r="AE33" s="158">
        <v>0</v>
      </c>
      <c r="AF33" s="47" t="s">
        <v>90</v>
      </c>
      <c r="AG33" s="47" t="s">
        <v>90</v>
      </c>
      <c r="AH33" s="98" t="s">
        <v>90</v>
      </c>
      <c r="AI33" s="103">
        <v>15404204</v>
      </c>
      <c r="AJ33" s="45">
        <f t="shared" si="7"/>
        <v>1182</v>
      </c>
      <c r="AK33" s="48">
        <f t="shared" si="8"/>
        <v>279.30056710775045</v>
      </c>
      <c r="AL33" s="155">
        <v>0</v>
      </c>
      <c r="AM33" s="155">
        <v>1</v>
      </c>
      <c r="AN33" s="155">
        <v>1</v>
      </c>
      <c r="AO33" s="155">
        <v>1</v>
      </c>
      <c r="AP33" s="155">
        <v>1</v>
      </c>
      <c r="AQ33" s="155">
        <v>0</v>
      </c>
      <c r="AR33" s="155">
        <v>0</v>
      </c>
      <c r="AS33" s="158"/>
      <c r="AT33" s="158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57">
        <v>43222</v>
      </c>
      <c r="B34" s="40">
        <v>2.875</v>
      </c>
      <c r="C34" s="40">
        <v>0.91666666666667096</v>
      </c>
      <c r="D34" s="156">
        <v>3</v>
      </c>
      <c r="E34" s="154">
        <f t="shared" si="2"/>
        <v>2.1126760563380285</v>
      </c>
      <c r="F34" s="154">
        <v>0</v>
      </c>
      <c r="G34" s="118">
        <v>74</v>
      </c>
      <c r="H34" s="154">
        <f t="shared" si="0"/>
        <v>52.112676056338032</v>
      </c>
      <c r="I34" s="154">
        <v>71</v>
      </c>
      <c r="J34" s="41" t="s">
        <v>88</v>
      </c>
      <c r="K34" s="41">
        <f t="shared" si="3"/>
        <v>48.591549295774648</v>
      </c>
      <c r="L34" s="42">
        <f t="shared" si="13"/>
        <v>50</v>
      </c>
      <c r="M34" s="41">
        <f t="shared" si="12"/>
        <v>54.225352112676056</v>
      </c>
      <c r="N34" s="43">
        <v>14</v>
      </c>
      <c r="O34" s="44" t="s">
        <v>116</v>
      </c>
      <c r="P34" s="44">
        <v>12.6</v>
      </c>
      <c r="Q34" s="157">
        <v>128</v>
      </c>
      <c r="R34" s="157"/>
      <c r="S34" s="157">
        <v>93250836</v>
      </c>
      <c r="T34" s="45">
        <f t="shared" si="4"/>
        <v>4379</v>
      </c>
      <c r="U34" s="46">
        <f t="shared" si="5"/>
        <v>105.096</v>
      </c>
      <c r="V34" s="46">
        <f t="shared" si="6"/>
        <v>4.3789999999999996</v>
      </c>
      <c r="W34" s="96">
        <v>1.9</v>
      </c>
      <c r="X34" s="96">
        <f t="shared" si="1"/>
        <v>1.9</v>
      </c>
      <c r="Y34" s="97" t="s">
        <v>169</v>
      </c>
      <c r="Z34" s="158">
        <v>0</v>
      </c>
      <c r="AA34" s="158">
        <v>1015</v>
      </c>
      <c r="AB34" s="158">
        <v>1187</v>
      </c>
      <c r="AC34" s="158">
        <v>1185</v>
      </c>
      <c r="AD34" s="158">
        <v>1187</v>
      </c>
      <c r="AE34" s="158">
        <v>0</v>
      </c>
      <c r="AF34" s="47" t="s">
        <v>90</v>
      </c>
      <c r="AG34" s="47" t="s">
        <v>90</v>
      </c>
      <c r="AH34" s="98" t="s">
        <v>90</v>
      </c>
      <c r="AI34" s="103">
        <v>15405333</v>
      </c>
      <c r="AJ34" s="45">
        <f t="shared" si="7"/>
        <v>1129</v>
      </c>
      <c r="AK34" s="48">
        <f t="shared" si="8"/>
        <v>257.82142041562003</v>
      </c>
      <c r="AL34" s="155">
        <v>0</v>
      </c>
      <c r="AM34" s="155">
        <v>1</v>
      </c>
      <c r="AN34" s="155">
        <v>1</v>
      </c>
      <c r="AO34" s="155">
        <v>1</v>
      </c>
      <c r="AP34" s="155">
        <v>1</v>
      </c>
      <c r="AQ34" s="155">
        <v>0</v>
      </c>
      <c r="AR34" s="155">
        <v>0</v>
      </c>
      <c r="AS34" s="158"/>
      <c r="AT34" s="158">
        <f>AS34-AS33</f>
        <v>0</v>
      </c>
      <c r="AU34" s="119">
        <v>1.06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357">
        <v>43222</v>
      </c>
      <c r="B35" s="40">
        <v>2.9166666666666701</v>
      </c>
      <c r="C35" s="40">
        <v>0.95833333333333803</v>
      </c>
      <c r="D35" s="156">
        <v>3</v>
      </c>
      <c r="E35" s="154">
        <f t="shared" si="2"/>
        <v>2.1126760563380285</v>
      </c>
      <c r="F35" s="154">
        <v>1</v>
      </c>
      <c r="G35" s="118">
        <v>71</v>
      </c>
      <c r="H35" s="154">
        <f t="shared" si="0"/>
        <v>50</v>
      </c>
      <c r="I35" s="154">
        <v>70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7">
        <v>131</v>
      </c>
      <c r="R35" s="157"/>
      <c r="S35" s="157">
        <v>93255054</v>
      </c>
      <c r="T35" s="45">
        <f t="shared" si="4"/>
        <v>4218</v>
      </c>
      <c r="U35" s="46">
        <f t="shared" si="5"/>
        <v>101.232</v>
      </c>
      <c r="V35" s="46">
        <f t="shared" si="6"/>
        <v>4.218</v>
      </c>
      <c r="W35" s="96">
        <v>2.4</v>
      </c>
      <c r="X35" s="96">
        <f t="shared" si="1"/>
        <v>2.4</v>
      </c>
      <c r="Y35" s="97" t="s">
        <v>138</v>
      </c>
      <c r="Z35" s="158">
        <v>0</v>
      </c>
      <c r="AA35" s="158">
        <v>0</v>
      </c>
      <c r="AB35" s="158">
        <v>1187</v>
      </c>
      <c r="AC35" s="158">
        <v>1185</v>
      </c>
      <c r="AD35" s="158">
        <v>1187</v>
      </c>
      <c r="AE35" s="158">
        <v>0</v>
      </c>
      <c r="AF35" s="47" t="s">
        <v>90</v>
      </c>
      <c r="AG35" s="47" t="s">
        <v>90</v>
      </c>
      <c r="AH35" s="98" t="s">
        <v>90</v>
      </c>
      <c r="AI35" s="103">
        <v>15406461</v>
      </c>
      <c r="AJ35" s="45">
        <f t="shared" si="7"/>
        <v>1128</v>
      </c>
      <c r="AK35" s="48">
        <f t="shared" si="8"/>
        <v>267.42532005689901</v>
      </c>
      <c r="AL35" s="155">
        <v>0</v>
      </c>
      <c r="AM35" s="155">
        <v>0</v>
      </c>
      <c r="AN35" s="155">
        <v>1</v>
      </c>
      <c r="AO35" s="155">
        <v>1</v>
      </c>
      <c r="AP35" s="155">
        <v>1</v>
      </c>
      <c r="AQ35" s="155">
        <v>0</v>
      </c>
      <c r="AR35" s="155">
        <v>0.3</v>
      </c>
      <c r="AS35" s="158"/>
      <c r="AT35" s="158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357">
        <v>43222</v>
      </c>
      <c r="B36" s="40">
        <v>2.9583333333333299</v>
      </c>
      <c r="C36" s="40">
        <v>1</v>
      </c>
      <c r="D36" s="156">
        <v>3</v>
      </c>
      <c r="E36" s="154">
        <f t="shared" si="2"/>
        <v>2.1126760563380285</v>
      </c>
      <c r="F36" s="154">
        <v>2</v>
      </c>
      <c r="G36" s="118">
        <v>70</v>
      </c>
      <c r="H36" s="154">
        <f t="shared" si="0"/>
        <v>49.295774647887328</v>
      </c>
      <c r="I36" s="154">
        <v>70</v>
      </c>
      <c r="J36" s="41" t="s">
        <v>88</v>
      </c>
      <c r="K36" s="41">
        <f t="shared" si="3"/>
        <v>44.366197183098592</v>
      </c>
      <c r="L36" s="42">
        <f>(G36-5)/1.42</f>
        <v>45.774647887323944</v>
      </c>
      <c r="M36" s="41">
        <f t="shared" si="12"/>
        <v>50</v>
      </c>
      <c r="N36" s="43">
        <v>14</v>
      </c>
      <c r="O36" s="44" t="s">
        <v>116</v>
      </c>
      <c r="P36" s="58">
        <v>11.5</v>
      </c>
      <c r="Q36" s="157">
        <v>137</v>
      </c>
      <c r="R36" s="157"/>
      <c r="S36" s="157">
        <v>93259452</v>
      </c>
      <c r="T36" s="45">
        <f t="shared" si="4"/>
        <v>4398</v>
      </c>
      <c r="U36" s="46">
        <f t="shared" si="5"/>
        <v>105.55200000000001</v>
      </c>
      <c r="V36" s="46">
        <f t="shared" si="6"/>
        <v>4.3979999999999997</v>
      </c>
      <c r="W36" s="96">
        <v>3.2</v>
      </c>
      <c r="X36" s="96">
        <f t="shared" si="1"/>
        <v>3.2</v>
      </c>
      <c r="Y36" s="97" t="s">
        <v>138</v>
      </c>
      <c r="Z36" s="158">
        <v>0</v>
      </c>
      <c r="AA36" s="158">
        <v>0</v>
      </c>
      <c r="AB36" s="158">
        <v>1187</v>
      </c>
      <c r="AC36" s="158">
        <v>1185</v>
      </c>
      <c r="AD36" s="158">
        <v>1187</v>
      </c>
      <c r="AE36" s="158">
        <v>0</v>
      </c>
      <c r="AF36" s="47" t="s">
        <v>90</v>
      </c>
      <c r="AG36" s="47" t="s">
        <v>90</v>
      </c>
      <c r="AH36" s="98" t="s">
        <v>90</v>
      </c>
      <c r="AI36" s="103">
        <v>15407575</v>
      </c>
      <c r="AJ36" s="45">
        <f t="shared" si="7"/>
        <v>1114</v>
      </c>
      <c r="AK36" s="48">
        <f t="shared" si="8"/>
        <v>253.29695316052752</v>
      </c>
      <c r="AL36" s="155">
        <v>0</v>
      </c>
      <c r="AM36" s="155">
        <v>0</v>
      </c>
      <c r="AN36" s="155">
        <v>1</v>
      </c>
      <c r="AO36" s="155">
        <v>1</v>
      </c>
      <c r="AP36" s="155">
        <v>1</v>
      </c>
      <c r="AQ36" s="155">
        <v>0</v>
      </c>
      <c r="AR36" s="155">
        <v>0.3</v>
      </c>
      <c r="AS36" s="158"/>
      <c r="AT36" s="158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73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09" t="s">
        <v>118</v>
      </c>
      <c r="O37" s="310"/>
      <c r="P37" s="311"/>
      <c r="Q37" s="101"/>
      <c r="R37" s="101"/>
      <c r="S37" s="101"/>
      <c r="T37" s="60">
        <f>SUM(T13:T36)</f>
        <v>100473</v>
      </c>
      <c r="U37" s="46">
        <f t="shared" si="5"/>
        <v>2411.3519999999999</v>
      </c>
      <c r="V37" s="46">
        <f t="shared" si="6"/>
        <v>100.473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27923</v>
      </c>
      <c r="AK37" s="61">
        <f>$AJ$37/$V37</f>
        <v>277.91545987479225</v>
      </c>
      <c r="AL37" s="155"/>
      <c r="AM37" s="155"/>
      <c r="AN37" s="155"/>
      <c r="AO37" s="155"/>
      <c r="AP37" s="155"/>
      <c r="AQ37" s="155"/>
      <c r="AR37" s="62"/>
      <c r="AS37" s="63">
        <f>AS36-AS11</f>
        <v>0</v>
      </c>
      <c r="AT37" s="64">
        <f>SUM(AT13:AT36)</f>
        <v>0</v>
      </c>
      <c r="AU37" s="65">
        <f>AVERAGE(AU13:AU36)</f>
        <v>1.0866666666666669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7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8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8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4"/>
      <c r="D47" s="164"/>
      <c r="E47" s="164"/>
      <c r="F47" s="164"/>
      <c r="G47" s="164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71" t="s">
        <v>177</v>
      </c>
      <c r="C48" s="172"/>
      <c r="D48" s="172"/>
      <c r="E48" s="172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2" t="s">
        <v>152</v>
      </c>
      <c r="C49" s="170"/>
      <c r="D49" s="170"/>
      <c r="E49" s="170"/>
      <c r="F49" s="161"/>
      <c r="G49" s="161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15" t="s">
        <v>164</v>
      </c>
      <c r="C50" s="143"/>
      <c r="D50" s="143"/>
      <c r="E50" s="143"/>
      <c r="F50" s="130"/>
      <c r="G50" s="130"/>
      <c r="H50" s="160"/>
      <c r="I50" s="160"/>
      <c r="J50" s="160"/>
      <c r="K50" s="160"/>
      <c r="L50" s="160"/>
      <c r="M50" s="160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32" t="s">
        <v>163</v>
      </c>
      <c r="C51" s="143"/>
      <c r="D51" s="143"/>
      <c r="E51" s="143"/>
      <c r="F51" s="130"/>
      <c r="G51" s="130"/>
      <c r="H51" s="160"/>
      <c r="I51" s="160"/>
      <c r="J51" s="160"/>
      <c r="K51" s="160"/>
      <c r="L51" s="160"/>
      <c r="M51" s="160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2" t="s">
        <v>178</v>
      </c>
      <c r="C52" s="120"/>
      <c r="D52" s="115"/>
      <c r="E52" s="115"/>
      <c r="F52" s="115"/>
      <c r="G52" s="115"/>
      <c r="H52" s="160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2" t="s">
        <v>166</v>
      </c>
      <c r="C53" s="170"/>
      <c r="D53" s="170"/>
      <c r="E53" s="170"/>
      <c r="F53" s="170"/>
      <c r="G53" s="115"/>
      <c r="H53" s="115"/>
      <c r="I53" s="115"/>
      <c r="J53" s="115"/>
      <c r="K53" s="115"/>
      <c r="L53" s="115"/>
      <c r="M53" s="115"/>
      <c r="N53" s="163"/>
      <c r="O53" s="163"/>
      <c r="P53" s="163"/>
      <c r="Q53" s="163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2" t="s">
        <v>170</v>
      </c>
      <c r="C54" s="170"/>
      <c r="D54" s="170"/>
      <c r="E54" s="170"/>
      <c r="F54" s="170"/>
      <c r="G54" s="170"/>
      <c r="H54" s="170"/>
      <c r="I54" s="170"/>
      <c r="J54" s="169"/>
      <c r="K54" s="166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2" t="s">
        <v>171</v>
      </c>
      <c r="C55" s="153"/>
      <c r="D55" s="153"/>
      <c r="E55" s="153"/>
      <c r="F55" s="153"/>
      <c r="G55" s="153"/>
      <c r="H55" s="153"/>
      <c r="I55" s="153"/>
      <c r="J55" s="169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2" t="s">
        <v>172</v>
      </c>
      <c r="C56" s="153"/>
      <c r="D56" s="153"/>
      <c r="E56" s="153"/>
      <c r="F56" s="153"/>
      <c r="G56" s="153"/>
      <c r="H56" s="153"/>
      <c r="I56" s="153"/>
      <c r="J56" s="153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3" t="s">
        <v>180</v>
      </c>
      <c r="C57" s="153"/>
      <c r="D57" s="153"/>
      <c r="E57" s="153"/>
      <c r="F57" s="153"/>
      <c r="G57" s="153"/>
      <c r="H57" s="153"/>
      <c r="I57" s="153"/>
      <c r="J57" s="153"/>
      <c r="K57" s="166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2" t="s">
        <v>174</v>
      </c>
      <c r="C58" s="115"/>
      <c r="D58" s="115"/>
      <c r="E58" s="115"/>
      <c r="F58" s="115"/>
      <c r="G58" s="115"/>
      <c r="H58" s="115"/>
      <c r="I58" s="153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2" t="s">
        <v>175</v>
      </c>
      <c r="C59" s="153"/>
      <c r="D59" s="153"/>
      <c r="E59" s="153"/>
      <c r="F59" s="153"/>
      <c r="G59" s="153"/>
      <c r="H59" s="153"/>
      <c r="I59" s="153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53"/>
      <c r="C60" s="153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32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2"/>
      <c r="C62" s="115"/>
      <c r="D62" s="166"/>
      <c r="E62" s="166"/>
      <c r="F62" s="166"/>
      <c r="G62" s="166"/>
      <c r="H62" s="166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2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2"/>
      <c r="C64" s="165"/>
      <c r="D64" s="165"/>
      <c r="E64" s="165"/>
      <c r="F64" s="165"/>
      <c r="G64" s="165"/>
      <c r="H64" s="165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5"/>
      <c r="C65" s="165"/>
      <c r="D65" s="165"/>
      <c r="E65" s="165"/>
      <c r="F65" s="165"/>
      <c r="G65" s="165"/>
      <c r="H65" s="165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AV65" s="86"/>
      <c r="AW65" s="86"/>
      <c r="AX65" s="86"/>
      <c r="AY65" s="86"/>
      <c r="AZ65" s="86"/>
      <c r="BA65" s="86"/>
      <c r="BB65" s="86"/>
    </row>
    <row r="66" spans="2:54" x14ac:dyDescent="0.35">
      <c r="B66" s="149"/>
      <c r="C66" s="150"/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1"/>
      <c r="R66" s="20"/>
      <c r="S66" s="20"/>
      <c r="T66" s="150"/>
      <c r="U66" s="150"/>
      <c r="V66" s="150"/>
      <c r="AV66" s="86"/>
      <c r="AW66" s="86"/>
      <c r="AX66" s="86"/>
      <c r="AY66" s="86"/>
      <c r="AZ66" s="86"/>
      <c r="BA66" s="86"/>
      <c r="BB66" s="86"/>
    </row>
    <row r="67" spans="2:54" x14ac:dyDescent="0.35">
      <c r="B67" s="152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AF13:AH36 T13:V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3" name="Range1_16_1_1_1_1_1_1_2_2_2_2_2_2_2_2_2_2_2_2_2_2_2_2_2_2_2_2_2_2_2_1_2_2_2_2_2_2_2_2_2_2_3_2_2_2_2_2_2_2_2_2_2_1_1_1_1_2_2_1_1_1_1_1_1_1_1_1_1_3_1_3"/>
    <protectedRange sqref="R4:W4" name="Range1_16_1_1_1_1_1_1_2_2_2_2_2_2_2_2_2_2_2_2_2_2_2_2_2_2_2_2_2_2_2_1_2_2_2_2_2_2_2_2_2_2_3_2_2_2_2_2_2_2_2_2_2_1_1_1_1_2_2_1_1_1_1_1_1_1_1_1_1_1_1_1_1"/>
    <protectedRange sqref="R5:W5" name="Range1_16_1_1_1_1_1_1_2_2_2_2_2_2_2_2_2_2_2_2_2_2_2_2_2_2_2_2_2_2_2_1_2_2_2_2_2_2_2_2_2_2_3_2_2_2_2_2_2_2_2_2_2_1_1_1_1_2_2_1_1_1_1_1_1_1_1_1_1_1_1_1_2_1_1_1_1_1_1_2_1_1_1_1_2_1_1_1_1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2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509" priority="5" operator="containsText" text="N/A">
      <formula>NOT(ISERROR(SEARCH("N/A",Z13)))</formula>
    </cfRule>
    <cfRule type="cellIs" dxfId="508" priority="17" operator="equal">
      <formula>0</formula>
    </cfRule>
  </conditionalFormatting>
  <conditionalFormatting sqref="Z13:AG36">
    <cfRule type="cellIs" dxfId="507" priority="16" operator="greaterThanOrEqual">
      <formula>1185</formula>
    </cfRule>
  </conditionalFormatting>
  <conditionalFormatting sqref="Z13:AG36">
    <cfRule type="cellIs" dxfId="506" priority="15" operator="between">
      <formula>0.1</formula>
      <formula>1184</formula>
    </cfRule>
  </conditionalFormatting>
  <conditionalFormatting sqref="Z8:Z9 AT13:AT36 AL37:AQ37 AL13:AR36">
    <cfRule type="cellIs" dxfId="505" priority="14" operator="equal">
      <formula>0</formula>
    </cfRule>
  </conditionalFormatting>
  <conditionalFormatting sqref="Z8:Z9 AT13:AT36 AL37:AQ37 AL13:AR36">
    <cfRule type="cellIs" dxfId="504" priority="13" operator="greaterThan">
      <formula>1179</formula>
    </cfRule>
  </conditionalFormatting>
  <conditionalFormatting sqref="Z8:Z9 AT13:AT36 AL37:AQ37 AL13:AR36">
    <cfRule type="cellIs" dxfId="503" priority="12" operator="greaterThan">
      <formula>99</formula>
    </cfRule>
  </conditionalFormatting>
  <conditionalFormatting sqref="Z8:Z9 AT13:AT36 AL37:AQ37 AL13:AR36">
    <cfRule type="cellIs" dxfId="502" priority="11" operator="greaterThan">
      <formula>0.99</formula>
    </cfRule>
  </conditionalFormatting>
  <conditionalFormatting sqref="AD8:AD9">
    <cfRule type="cellIs" dxfId="501" priority="10" operator="equal">
      <formula>0</formula>
    </cfRule>
  </conditionalFormatting>
  <conditionalFormatting sqref="AD8:AD9">
    <cfRule type="cellIs" dxfId="500" priority="9" operator="greaterThan">
      <formula>1179</formula>
    </cfRule>
  </conditionalFormatting>
  <conditionalFormatting sqref="AD8:AD9">
    <cfRule type="cellIs" dxfId="499" priority="8" operator="greaterThan">
      <formula>99</formula>
    </cfRule>
  </conditionalFormatting>
  <conditionalFormatting sqref="AD8:AD9">
    <cfRule type="cellIs" dxfId="498" priority="7" operator="greaterThan">
      <formula>0.99</formula>
    </cfRule>
  </conditionalFormatting>
  <conditionalFormatting sqref="AK13:AK36">
    <cfRule type="cellIs" dxfId="497" priority="6" operator="greaterThan">
      <formula>$AK$8</formula>
    </cfRule>
  </conditionalFormatting>
  <conditionalFormatting sqref="AS13:AS36">
    <cfRule type="containsText" dxfId="496" priority="1" operator="containsText" text="N/A">
      <formula>NOT(ISERROR(SEARCH("N/A",AS13)))</formula>
    </cfRule>
    <cfRule type="cellIs" dxfId="495" priority="4" operator="equal">
      <formula>0</formula>
    </cfRule>
  </conditionalFormatting>
  <conditionalFormatting sqref="AS13:AS36">
    <cfRule type="cellIs" dxfId="494" priority="3" operator="greaterThanOrEqual">
      <formula>1185</formula>
    </cfRule>
  </conditionalFormatting>
  <conditionalFormatting sqref="AS13:AS36">
    <cfRule type="cellIs" dxfId="493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100-000000000000}">
      <formula1>$AY$11:$AY$21</formula1>
    </dataValidation>
    <dataValidation type="list" allowBlank="1" showInputMessage="1" showErrorMessage="1" sqref="AS8:AT9 P11:P12 N11:N12 D8:E9 Q8:V9" xr:uid="{00000000-0002-0000-0100-000001000000}">
      <formula1>#REF!</formula1>
    </dataValidation>
    <dataValidation type="list" allowBlank="1" showInputMessage="1" showErrorMessage="1" sqref="AY33:AZ33" xr:uid="{00000000-0002-0000-0100-000002000000}">
      <formula1>$AY$26:$AY$30</formula1>
    </dataValidation>
    <dataValidation type="list" allowBlank="1" showInputMessage="1" showErrorMessage="1" sqref="R3:R5" xr:uid="{00000000-0002-0000-0100-000003000000}">
      <formula1>$BB$11:$BB$42</formula1>
    </dataValidation>
  </dataValidations>
  <hyperlinks>
    <hyperlink ref="J10:J11" location="'1'!AH8" display="Plant Status" xr:uid="{00000000-0004-0000-0100-000000000000}"/>
  </hyperlinks>
  <pageMargins left="0.7" right="0.7" top="0.75" bottom="0.75" header="0.3" footer="0.3"/>
  <pageSetup paperSize="9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7030A0"/>
  </sheetPr>
  <dimension ref="A2:BB88"/>
  <sheetViews>
    <sheetView topLeftCell="A22" zoomScaleNormal="100" workbookViewId="0">
      <selection activeCell="R4" sqref="R4:W4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47" t="s">
        <v>157</v>
      </c>
      <c r="S3" s="348"/>
      <c r="T3" s="348"/>
      <c r="U3" s="348"/>
      <c r="V3" s="348"/>
      <c r="W3" s="34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47" t="s">
        <v>134</v>
      </c>
      <c r="S4" s="348"/>
      <c r="T4" s="348"/>
      <c r="U4" s="348"/>
      <c r="V4" s="348"/>
      <c r="W4" s="34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47" t="s">
        <v>151</v>
      </c>
      <c r="S5" s="348"/>
      <c r="T5" s="348"/>
      <c r="U5" s="348"/>
      <c r="V5" s="348"/>
      <c r="W5" s="34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50" t="s">
        <v>6</v>
      </c>
      <c r="C6" s="351"/>
      <c r="D6" s="352" t="s">
        <v>7</v>
      </c>
      <c r="E6" s="353"/>
      <c r="F6" s="353"/>
      <c r="G6" s="353"/>
      <c r="H6" s="353"/>
      <c r="I6" s="353"/>
      <c r="J6" s="354"/>
      <c r="K6" s="87"/>
      <c r="L6" s="87"/>
      <c r="M6" s="187"/>
      <c r="N6" s="355">
        <v>41686</v>
      </c>
      <c r="O6" s="356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37" t="s">
        <v>8</v>
      </c>
      <c r="C7" s="338"/>
      <c r="D7" s="337" t="s">
        <v>9</v>
      </c>
      <c r="E7" s="339"/>
      <c r="F7" s="339"/>
      <c r="G7" s="339"/>
      <c r="H7" s="339"/>
      <c r="I7" s="338"/>
      <c r="J7" s="192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192" t="s">
        <v>14</v>
      </c>
      <c r="R7" s="337" t="s">
        <v>15</v>
      </c>
      <c r="S7" s="339"/>
      <c r="T7" s="339"/>
      <c r="U7" s="339"/>
      <c r="V7" s="338"/>
      <c r="W7" s="337" t="s">
        <v>16</v>
      </c>
      <c r="X7" s="338"/>
      <c r="Y7" s="99" t="s">
        <v>17</v>
      </c>
      <c r="Z7" s="337" t="s">
        <v>18</v>
      </c>
      <c r="AA7" s="338"/>
      <c r="AB7" s="337" t="s">
        <v>19</v>
      </c>
      <c r="AC7" s="338"/>
      <c r="AD7" s="337" t="s">
        <v>20</v>
      </c>
      <c r="AE7" s="338"/>
      <c r="AF7" s="337" t="s">
        <v>21</v>
      </c>
      <c r="AG7" s="338"/>
      <c r="AH7" s="99" t="s">
        <v>22</v>
      </c>
      <c r="AI7" s="99" t="s">
        <v>23</v>
      </c>
      <c r="AJ7" s="99" t="s">
        <v>24</v>
      </c>
      <c r="AK7" s="99" t="s">
        <v>25</v>
      </c>
      <c r="AL7" s="337" t="s">
        <v>26</v>
      </c>
      <c r="AM7" s="339"/>
      <c r="AN7" s="339"/>
      <c r="AO7" s="339"/>
      <c r="AP7" s="339"/>
      <c r="AQ7" s="338"/>
      <c r="AR7" s="337" t="s">
        <v>27</v>
      </c>
      <c r="AS7" s="339"/>
      <c r="AT7" s="33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40">
        <v>43223</v>
      </c>
      <c r="C8" s="341"/>
      <c r="D8" s="342" t="s">
        <v>29</v>
      </c>
      <c r="E8" s="343"/>
      <c r="F8" s="343"/>
      <c r="G8" s="343"/>
      <c r="H8" s="343"/>
      <c r="I8" s="344"/>
      <c r="J8" s="28"/>
      <c r="K8" s="342" t="s">
        <v>29</v>
      </c>
      <c r="L8" s="343"/>
      <c r="M8" s="34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42" t="s">
        <v>33</v>
      </c>
      <c r="X8" s="344"/>
      <c r="Y8" s="30" t="s">
        <v>34</v>
      </c>
      <c r="Z8" s="326">
        <v>0</v>
      </c>
      <c r="AA8" s="327"/>
      <c r="AB8" s="345" t="s">
        <v>35</v>
      </c>
      <c r="AC8" s="346"/>
      <c r="AD8" s="326">
        <v>1185</v>
      </c>
      <c r="AE8" s="327"/>
      <c r="AF8" s="328">
        <v>800</v>
      </c>
      <c r="AG8" s="329"/>
      <c r="AH8" s="28"/>
      <c r="AI8" s="30">
        <f>AI36-AI11</f>
        <v>27937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193"/>
      <c r="C9" s="194"/>
      <c r="D9" s="195"/>
      <c r="E9" s="196"/>
      <c r="F9" s="196"/>
      <c r="G9" s="196"/>
      <c r="H9" s="196"/>
      <c r="I9" s="197"/>
      <c r="J9" s="121"/>
      <c r="K9" s="195"/>
      <c r="L9" s="196"/>
      <c r="M9" s="197"/>
      <c r="N9" s="29"/>
      <c r="O9" s="29"/>
      <c r="P9" s="29"/>
      <c r="Q9" s="121"/>
      <c r="R9" s="121"/>
      <c r="S9" s="121"/>
      <c r="T9" s="122"/>
      <c r="U9" s="123"/>
      <c r="V9" s="124"/>
      <c r="W9" s="195"/>
      <c r="X9" s="197"/>
      <c r="Y9" s="30"/>
      <c r="Z9" s="190"/>
      <c r="AA9" s="125"/>
      <c r="AB9" s="126"/>
      <c r="AC9" s="126"/>
      <c r="AD9" s="125"/>
      <c r="AE9" s="125"/>
      <c r="AF9" s="127"/>
      <c r="AG9" s="191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30" t="s">
        <v>39</v>
      </c>
      <c r="C10" s="331"/>
      <c r="D10" s="330" t="s">
        <v>40</v>
      </c>
      <c r="E10" s="332"/>
      <c r="F10" s="331"/>
      <c r="G10" s="330" t="s">
        <v>41</v>
      </c>
      <c r="H10" s="332"/>
      <c r="I10" s="331"/>
      <c r="J10" s="333" t="s">
        <v>42</v>
      </c>
      <c r="K10" s="330" t="s">
        <v>43</v>
      </c>
      <c r="L10" s="332"/>
      <c r="M10" s="331"/>
      <c r="N10" s="99" t="s">
        <v>44</v>
      </c>
      <c r="O10" s="335" t="s">
        <v>45</v>
      </c>
      <c r="P10" s="33" t="s">
        <v>46</v>
      </c>
      <c r="Q10" s="324" t="s">
        <v>47</v>
      </c>
      <c r="R10" s="324" t="s">
        <v>48</v>
      </c>
      <c r="S10" s="34" t="s">
        <v>49</v>
      </c>
      <c r="T10" s="312" t="s">
        <v>50</v>
      </c>
      <c r="U10" s="313"/>
      <c r="V10" s="314"/>
      <c r="W10" s="188" t="s">
        <v>51</v>
      </c>
      <c r="X10" s="188" t="s">
        <v>52</v>
      </c>
      <c r="Y10" s="318" t="s">
        <v>53</v>
      </c>
      <c r="Z10" s="319" t="s">
        <v>54</v>
      </c>
      <c r="AA10" s="320"/>
      <c r="AB10" s="320"/>
      <c r="AC10" s="320"/>
      <c r="AD10" s="320"/>
      <c r="AE10" s="320"/>
      <c r="AF10" s="320"/>
      <c r="AG10" s="321"/>
      <c r="AH10" s="186" t="s">
        <v>55</v>
      </c>
      <c r="AI10" s="186" t="s">
        <v>56</v>
      </c>
      <c r="AJ10" s="307" t="s">
        <v>57</v>
      </c>
      <c r="AK10" s="322" t="s">
        <v>58</v>
      </c>
      <c r="AL10" s="188" t="s">
        <v>59</v>
      </c>
      <c r="AM10" s="188" t="s">
        <v>60</v>
      </c>
      <c r="AN10" s="188" t="s">
        <v>61</v>
      </c>
      <c r="AO10" s="188" t="s">
        <v>62</v>
      </c>
      <c r="AP10" s="188" t="s">
        <v>63</v>
      </c>
      <c r="AQ10" s="188" t="s">
        <v>123</v>
      </c>
      <c r="AR10" s="188" t="s">
        <v>64</v>
      </c>
      <c r="AS10" s="188" t="s">
        <v>65</v>
      </c>
      <c r="AT10" s="324" t="s">
        <v>66</v>
      </c>
      <c r="AU10" s="188" t="s">
        <v>67</v>
      </c>
      <c r="AV10" s="30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88" t="s">
        <v>72</v>
      </c>
      <c r="C11" s="188" t="s">
        <v>73</v>
      </c>
      <c r="D11" s="188" t="s">
        <v>74</v>
      </c>
      <c r="E11" s="188" t="s">
        <v>75</v>
      </c>
      <c r="F11" s="188" t="s">
        <v>126</v>
      </c>
      <c r="G11" s="188" t="s">
        <v>74</v>
      </c>
      <c r="H11" s="188" t="s">
        <v>75</v>
      </c>
      <c r="I11" s="188" t="s">
        <v>126</v>
      </c>
      <c r="J11" s="334"/>
      <c r="K11" s="188" t="s">
        <v>75</v>
      </c>
      <c r="L11" s="188" t="s">
        <v>75</v>
      </c>
      <c r="M11" s="188" t="s">
        <v>75</v>
      </c>
      <c r="N11" s="28" t="s">
        <v>29</v>
      </c>
      <c r="O11" s="336"/>
      <c r="P11" s="28" t="s">
        <v>29</v>
      </c>
      <c r="Q11" s="325"/>
      <c r="R11" s="325"/>
      <c r="S11" s="1">
        <f>'MAY 2'!S36</f>
        <v>93259452</v>
      </c>
      <c r="T11" s="315"/>
      <c r="U11" s="316"/>
      <c r="V11" s="317"/>
      <c r="W11" s="188" t="s">
        <v>75</v>
      </c>
      <c r="X11" s="188" t="s">
        <v>75</v>
      </c>
      <c r="Y11" s="31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'MAY 2'!AI36</f>
        <v>15407575</v>
      </c>
      <c r="AJ11" s="307"/>
      <c r="AK11" s="323"/>
      <c r="AL11" s="188" t="s">
        <v>84</v>
      </c>
      <c r="AM11" s="188" t="s">
        <v>84</v>
      </c>
      <c r="AN11" s="188" t="s">
        <v>84</v>
      </c>
      <c r="AO11" s="188" t="s">
        <v>84</v>
      </c>
      <c r="AP11" s="188" t="s">
        <v>84</v>
      </c>
      <c r="AQ11" s="188" t="s">
        <v>84</v>
      </c>
      <c r="AR11" s="188" t="s">
        <v>84</v>
      </c>
      <c r="AS11" s="1"/>
      <c r="AT11" s="325"/>
      <c r="AU11" s="189" t="s">
        <v>85</v>
      </c>
      <c r="AV11" s="307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283</v>
      </c>
      <c r="B12" s="305" t="s">
        <v>284</v>
      </c>
      <c r="C12" s="305" t="s">
        <v>285</v>
      </c>
      <c r="D12" s="305" t="s">
        <v>286</v>
      </c>
      <c r="E12" s="305" t="s">
        <v>287</v>
      </c>
      <c r="F12" s="305" t="s">
        <v>288</v>
      </c>
      <c r="G12" s="305" t="s">
        <v>289</v>
      </c>
      <c r="H12" s="305" t="s">
        <v>290</v>
      </c>
      <c r="I12" s="305" t="s">
        <v>291</v>
      </c>
      <c r="J12" s="297" t="s">
        <v>292</v>
      </c>
      <c r="K12" s="305" t="s">
        <v>293</v>
      </c>
      <c r="L12" s="305" t="s">
        <v>294</v>
      </c>
      <c r="M12" s="305" t="s">
        <v>295</v>
      </c>
      <c r="N12" s="28" t="s">
        <v>296</v>
      </c>
      <c r="O12" s="298" t="s">
        <v>297</v>
      </c>
      <c r="P12" s="28" t="s">
        <v>298</v>
      </c>
      <c r="Q12" s="300" t="s">
        <v>299</v>
      </c>
      <c r="R12" s="300" t="s">
        <v>300</v>
      </c>
      <c r="S12" s="1" t="s">
        <v>301</v>
      </c>
      <c r="T12" s="302" t="s">
        <v>302</v>
      </c>
      <c r="U12" s="303" t="s">
        <v>303</v>
      </c>
      <c r="V12" s="304" t="s">
        <v>304</v>
      </c>
      <c r="W12" s="305" t="s">
        <v>305</v>
      </c>
      <c r="X12" s="305" t="s">
        <v>306</v>
      </c>
      <c r="Y12" s="305" t="s">
        <v>307</v>
      </c>
      <c r="Z12" s="37" t="s">
        <v>308</v>
      </c>
      <c r="AA12" s="37" t="s">
        <v>309</v>
      </c>
      <c r="AB12" s="37" t="s">
        <v>310</v>
      </c>
      <c r="AC12" s="37" t="s">
        <v>311</v>
      </c>
      <c r="AD12" s="37" t="s">
        <v>312</v>
      </c>
      <c r="AE12" s="37" t="s">
        <v>313</v>
      </c>
      <c r="AF12" s="37" t="s">
        <v>314</v>
      </c>
      <c r="AG12" s="37" t="s">
        <v>315</v>
      </c>
      <c r="AH12" s="38" t="s">
        <v>316</v>
      </c>
      <c r="AI12" s="1" t="s">
        <v>317</v>
      </c>
      <c r="AJ12" s="301" t="s">
        <v>318</v>
      </c>
      <c r="AK12" s="306" t="s">
        <v>319</v>
      </c>
      <c r="AL12" s="305" t="s">
        <v>320</v>
      </c>
      <c r="AM12" s="305" t="s">
        <v>321</v>
      </c>
      <c r="AN12" s="305" t="s">
        <v>322</v>
      </c>
      <c r="AO12" s="305" t="s">
        <v>323</v>
      </c>
      <c r="AP12" s="305" t="s">
        <v>324</v>
      </c>
      <c r="AQ12" s="305" t="s">
        <v>325</v>
      </c>
      <c r="AR12" s="305" t="s">
        <v>326</v>
      </c>
      <c r="AS12" s="1" t="s">
        <v>327</v>
      </c>
      <c r="AT12" s="300" t="s">
        <v>328</v>
      </c>
      <c r="AU12" s="299" t="s">
        <v>329</v>
      </c>
      <c r="AV12" s="301"/>
      <c r="AY12" s="39"/>
      <c r="AZ12" s="39"/>
      <c r="BB12" s="136"/>
    </row>
    <row r="13" spans="1:54" x14ac:dyDescent="0.35">
      <c r="A13" s="357">
        <v>43223</v>
      </c>
      <c r="B13" s="40">
        <v>2</v>
      </c>
      <c r="C13" s="40">
        <v>4.1666666666666664E-2</v>
      </c>
      <c r="D13" s="156" t="s">
        <v>179</v>
      </c>
      <c r="E13" s="154" t="e">
        <f>D13/1.42</f>
        <v>#VALUE!</v>
      </c>
      <c r="F13" s="154">
        <v>3</v>
      </c>
      <c r="G13" s="118">
        <v>72</v>
      </c>
      <c r="H13" s="154">
        <f t="shared" ref="H13:H36" si="0">G13/1.42</f>
        <v>50.70422535211268</v>
      </c>
      <c r="I13" s="154">
        <v>70</v>
      </c>
      <c r="J13" s="41" t="s">
        <v>88</v>
      </c>
      <c r="K13" s="41">
        <f>L13-(2/1.42)</f>
        <v>45.774647887323944</v>
      </c>
      <c r="L13" s="42">
        <f>(G13-5)/1.42</f>
        <v>47.183098591549296</v>
      </c>
      <c r="M13" s="41">
        <f>L13+(6/1.42)</f>
        <v>51.408450704225352</v>
      </c>
      <c r="N13" s="43">
        <v>14</v>
      </c>
      <c r="O13" s="44" t="s">
        <v>89</v>
      </c>
      <c r="P13" s="44">
        <v>11.4</v>
      </c>
      <c r="Q13" s="157"/>
      <c r="R13" s="157"/>
      <c r="S13" s="157">
        <v>93263763</v>
      </c>
      <c r="T13" s="45">
        <f>IF(ISBLANK(S13),"-",S13-S11)</f>
        <v>4311</v>
      </c>
      <c r="U13" s="46">
        <f>T13*24/1000</f>
        <v>103.464</v>
      </c>
      <c r="V13" s="46">
        <f>T13/1000</f>
        <v>4.3109999999999999</v>
      </c>
      <c r="W13" s="96">
        <v>4.9000000000000004</v>
      </c>
      <c r="X13" s="96">
        <f t="shared" ref="X13:X36" si="1">W13</f>
        <v>4.9000000000000004</v>
      </c>
      <c r="Y13" s="97" t="s">
        <v>138</v>
      </c>
      <c r="Z13" s="158">
        <v>0</v>
      </c>
      <c r="AA13" s="158">
        <v>0</v>
      </c>
      <c r="AB13" s="158">
        <v>1187</v>
      </c>
      <c r="AC13" s="158">
        <v>1185</v>
      </c>
      <c r="AD13" s="158">
        <v>1187</v>
      </c>
      <c r="AE13" s="158">
        <v>0</v>
      </c>
      <c r="AF13" s="47" t="s">
        <v>90</v>
      </c>
      <c r="AG13" s="47" t="s">
        <v>90</v>
      </c>
      <c r="AH13" s="98" t="s">
        <v>90</v>
      </c>
      <c r="AI13" s="103">
        <v>15408784</v>
      </c>
      <c r="AJ13" s="45">
        <f>IF(ISBLANK(AI13),"-",AI13-AI11)</f>
        <v>1209</v>
      </c>
      <c r="AK13" s="48">
        <f>AJ13/V13</f>
        <v>280.4453723034099</v>
      </c>
      <c r="AL13" s="155">
        <v>0</v>
      </c>
      <c r="AM13" s="155">
        <v>0</v>
      </c>
      <c r="AN13" s="155">
        <v>1</v>
      </c>
      <c r="AO13" s="155">
        <v>1</v>
      </c>
      <c r="AP13" s="155">
        <v>1</v>
      </c>
      <c r="AQ13" s="155">
        <v>0</v>
      </c>
      <c r="AR13" s="155">
        <v>0.8</v>
      </c>
      <c r="AS13" s="158"/>
      <c r="AT13" s="158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357">
        <v>43223</v>
      </c>
      <c r="B14" s="40">
        <v>2.0416666666666701</v>
      </c>
      <c r="C14" s="40">
        <v>8.3333333333333329E-2</v>
      </c>
      <c r="D14" s="156" t="s">
        <v>179</v>
      </c>
      <c r="E14" s="154" t="e">
        <f t="shared" ref="E14:E36" si="2">D14/1.42</f>
        <v>#VALUE!</v>
      </c>
      <c r="F14" s="154">
        <v>4</v>
      </c>
      <c r="G14" s="118">
        <v>73</v>
      </c>
      <c r="H14" s="154">
        <f t="shared" si="0"/>
        <v>51.408450704225352</v>
      </c>
      <c r="I14" s="154">
        <v>71</v>
      </c>
      <c r="J14" s="41" t="s">
        <v>88</v>
      </c>
      <c r="K14" s="41">
        <f t="shared" ref="K14:K36" si="3">L14-(2/1.42)</f>
        <v>46.478873239436624</v>
      </c>
      <c r="L14" s="42">
        <f>(G14-5)/1.42</f>
        <v>47.887323943661976</v>
      </c>
      <c r="M14" s="41">
        <f>L14+(6/1.42)</f>
        <v>52.112676056338032</v>
      </c>
      <c r="N14" s="43">
        <v>14</v>
      </c>
      <c r="O14" s="44" t="s">
        <v>89</v>
      </c>
      <c r="P14" s="44">
        <v>11.2</v>
      </c>
      <c r="Q14" s="157"/>
      <c r="R14" s="157"/>
      <c r="S14" s="157">
        <v>93267986</v>
      </c>
      <c r="T14" s="45">
        <f t="shared" ref="T14:T36" si="4">IF(ISBLANK(S14),"-",S14-S13)</f>
        <v>4223</v>
      </c>
      <c r="U14" s="46">
        <f t="shared" ref="U14:U37" si="5">T14*24/1000</f>
        <v>101.352</v>
      </c>
      <c r="V14" s="46">
        <f t="shared" ref="V14:V37" si="6">T14/1000</f>
        <v>4.2229999999999999</v>
      </c>
      <c r="W14" s="96">
        <v>6.1</v>
      </c>
      <c r="X14" s="96">
        <f t="shared" si="1"/>
        <v>6.1</v>
      </c>
      <c r="Y14" s="97" t="s">
        <v>138</v>
      </c>
      <c r="Z14" s="158">
        <v>0</v>
      </c>
      <c r="AA14" s="158">
        <v>0</v>
      </c>
      <c r="AB14" s="158">
        <v>1187</v>
      </c>
      <c r="AC14" s="158">
        <v>1185</v>
      </c>
      <c r="AD14" s="158">
        <v>1187</v>
      </c>
      <c r="AE14" s="158">
        <v>0</v>
      </c>
      <c r="AF14" s="47" t="s">
        <v>90</v>
      </c>
      <c r="AG14" s="47" t="s">
        <v>90</v>
      </c>
      <c r="AH14" s="98" t="s">
        <v>90</v>
      </c>
      <c r="AI14" s="103">
        <v>15409897</v>
      </c>
      <c r="AJ14" s="45">
        <f t="shared" ref="AJ14:AJ36" si="7">IF(ISBLANK(AI14),"-",AI14-AI13)</f>
        <v>1113</v>
      </c>
      <c r="AK14" s="48">
        <f t="shared" ref="AK14:AK36" si="8">AJ14/V14</f>
        <v>263.5567132370353</v>
      </c>
      <c r="AL14" s="155">
        <v>0</v>
      </c>
      <c r="AM14" s="155">
        <v>0</v>
      </c>
      <c r="AN14" s="155">
        <v>1</v>
      </c>
      <c r="AO14" s="155">
        <v>1</v>
      </c>
      <c r="AP14" s="155">
        <v>1</v>
      </c>
      <c r="AQ14" s="155">
        <v>0</v>
      </c>
      <c r="AR14" s="155">
        <v>0.8</v>
      </c>
      <c r="AS14" s="158"/>
      <c r="AT14" s="158">
        <f t="shared" ref="AT14:AT35" si="9">AS14-AS13</f>
        <v>0</v>
      </c>
      <c r="AU14" s="119">
        <v>0.92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57">
        <v>43223</v>
      </c>
      <c r="B15" s="40">
        <v>2.0833333333333299</v>
      </c>
      <c r="C15" s="40">
        <v>0.125</v>
      </c>
      <c r="D15" s="156" t="s">
        <v>179</v>
      </c>
      <c r="E15" s="154" t="e">
        <f t="shared" si="2"/>
        <v>#VALUE!</v>
      </c>
      <c r="F15" s="154">
        <v>6</v>
      </c>
      <c r="G15" s="118">
        <v>70</v>
      </c>
      <c r="H15" s="154">
        <f t="shared" si="0"/>
        <v>49.295774647887328</v>
      </c>
      <c r="I15" s="154">
        <v>69</v>
      </c>
      <c r="J15" s="41" t="s">
        <v>88</v>
      </c>
      <c r="K15" s="41">
        <f t="shared" si="3"/>
        <v>44.366197183098592</v>
      </c>
      <c r="L15" s="42">
        <f>(G15-5)/1.42</f>
        <v>45.774647887323944</v>
      </c>
      <c r="M15" s="41">
        <f>L15+(6/1.42)</f>
        <v>50</v>
      </c>
      <c r="N15" s="43">
        <v>14</v>
      </c>
      <c r="O15" s="44" t="s">
        <v>89</v>
      </c>
      <c r="P15" s="44">
        <v>11.2</v>
      </c>
      <c r="Q15" s="157"/>
      <c r="R15" s="157"/>
      <c r="S15" s="157">
        <v>93272129</v>
      </c>
      <c r="T15" s="45">
        <f t="shared" si="4"/>
        <v>4143</v>
      </c>
      <c r="U15" s="46">
        <f t="shared" si="5"/>
        <v>99.432000000000002</v>
      </c>
      <c r="V15" s="46">
        <f t="shared" si="6"/>
        <v>4.1429999999999998</v>
      </c>
      <c r="W15" s="96">
        <v>7.6</v>
      </c>
      <c r="X15" s="96">
        <f t="shared" si="1"/>
        <v>7.6</v>
      </c>
      <c r="Y15" s="97" t="s">
        <v>138</v>
      </c>
      <c r="Z15" s="158">
        <v>0</v>
      </c>
      <c r="AA15" s="158">
        <v>0</v>
      </c>
      <c r="AB15" s="158">
        <v>1187</v>
      </c>
      <c r="AC15" s="158">
        <v>1185</v>
      </c>
      <c r="AD15" s="158">
        <v>1187</v>
      </c>
      <c r="AE15" s="158">
        <v>0</v>
      </c>
      <c r="AF15" s="47" t="s">
        <v>90</v>
      </c>
      <c r="AG15" s="47" t="s">
        <v>90</v>
      </c>
      <c r="AH15" s="98" t="s">
        <v>90</v>
      </c>
      <c r="AI15" s="103">
        <v>15410998</v>
      </c>
      <c r="AJ15" s="45">
        <f t="shared" si="7"/>
        <v>1101</v>
      </c>
      <c r="AK15" s="48">
        <f t="shared" si="8"/>
        <v>265.74945691527881</v>
      </c>
      <c r="AL15" s="155">
        <v>0</v>
      </c>
      <c r="AM15" s="155">
        <v>0</v>
      </c>
      <c r="AN15" s="155">
        <v>1</v>
      </c>
      <c r="AO15" s="155">
        <v>1</v>
      </c>
      <c r="AP15" s="155">
        <v>1</v>
      </c>
      <c r="AQ15" s="155">
        <v>0</v>
      </c>
      <c r="AR15" s="155">
        <v>0.8</v>
      </c>
      <c r="AS15" s="158"/>
      <c r="AT15" s="158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357">
        <v>43223</v>
      </c>
      <c r="B16" s="40">
        <v>2.125</v>
      </c>
      <c r="C16" s="40">
        <v>0.16666666666666699</v>
      </c>
      <c r="D16" s="156" t="s">
        <v>179</v>
      </c>
      <c r="E16" s="154" t="e">
        <f t="shared" si="2"/>
        <v>#VALUE!</v>
      </c>
      <c r="F16" s="154">
        <v>7</v>
      </c>
      <c r="G16" s="118">
        <v>70</v>
      </c>
      <c r="H16" s="154">
        <f t="shared" si="0"/>
        <v>49.295774647887328</v>
      </c>
      <c r="I16" s="154">
        <v>69</v>
      </c>
      <c r="J16" s="41" t="s">
        <v>88</v>
      </c>
      <c r="K16" s="41">
        <f t="shared" si="3"/>
        <v>44.366197183098592</v>
      </c>
      <c r="L16" s="42">
        <f>(G16-5)/1.42</f>
        <v>45.774647887323944</v>
      </c>
      <c r="M16" s="41">
        <f>L16+(6/1.42)</f>
        <v>50</v>
      </c>
      <c r="N16" s="43">
        <v>14</v>
      </c>
      <c r="O16" s="44" t="s">
        <v>89</v>
      </c>
      <c r="P16" s="44">
        <v>12.8</v>
      </c>
      <c r="Q16" s="157"/>
      <c r="R16" s="157"/>
      <c r="S16" s="157">
        <v>93276270</v>
      </c>
      <c r="T16" s="45">
        <f t="shared" si="4"/>
        <v>4141</v>
      </c>
      <c r="U16" s="46">
        <f t="shared" si="5"/>
        <v>99.384</v>
      </c>
      <c r="V16" s="46">
        <f t="shared" si="6"/>
        <v>4.141</v>
      </c>
      <c r="W16" s="96">
        <v>9.5</v>
      </c>
      <c r="X16" s="96">
        <f t="shared" si="1"/>
        <v>9.5</v>
      </c>
      <c r="Y16" s="97" t="s">
        <v>138</v>
      </c>
      <c r="Z16" s="158">
        <v>0</v>
      </c>
      <c r="AA16" s="158">
        <v>0</v>
      </c>
      <c r="AB16" s="158">
        <v>1187</v>
      </c>
      <c r="AC16" s="158">
        <v>1185</v>
      </c>
      <c r="AD16" s="158">
        <v>1187</v>
      </c>
      <c r="AE16" s="158">
        <v>0</v>
      </c>
      <c r="AF16" s="47" t="s">
        <v>90</v>
      </c>
      <c r="AG16" s="47" t="s">
        <v>90</v>
      </c>
      <c r="AH16" s="98" t="s">
        <v>90</v>
      </c>
      <c r="AI16" s="103">
        <v>15412086</v>
      </c>
      <c r="AJ16" s="45">
        <f t="shared" si="7"/>
        <v>1088</v>
      </c>
      <c r="AK16" s="48">
        <f t="shared" si="8"/>
        <v>262.73846896884811</v>
      </c>
      <c r="AL16" s="155">
        <v>0</v>
      </c>
      <c r="AM16" s="155">
        <v>0</v>
      </c>
      <c r="AN16" s="155">
        <v>1</v>
      </c>
      <c r="AO16" s="155">
        <v>1</v>
      </c>
      <c r="AP16" s="155">
        <v>1</v>
      </c>
      <c r="AQ16" s="155">
        <v>0</v>
      </c>
      <c r="AR16" s="155">
        <v>0.8</v>
      </c>
      <c r="AS16" s="158"/>
      <c r="AT16" s="158">
        <f t="shared" si="9"/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357">
        <v>43223</v>
      </c>
      <c r="B17" s="40">
        <v>2.1666666666666701</v>
      </c>
      <c r="C17" s="40">
        <v>0.20833333333333301</v>
      </c>
      <c r="D17" s="156" t="s">
        <v>179</v>
      </c>
      <c r="E17" s="154" t="e">
        <f t="shared" si="2"/>
        <v>#VALUE!</v>
      </c>
      <c r="F17" s="154">
        <v>8</v>
      </c>
      <c r="G17" s="118">
        <v>80</v>
      </c>
      <c r="H17" s="154">
        <f t="shared" si="0"/>
        <v>56.338028169014088</v>
      </c>
      <c r="I17" s="154">
        <v>79</v>
      </c>
      <c r="J17" s="41" t="s">
        <v>88</v>
      </c>
      <c r="K17" s="41">
        <f t="shared" si="3"/>
        <v>51.408450704225352</v>
      </c>
      <c r="L17" s="42">
        <f>(G17-5)/1.42</f>
        <v>52.816901408450704</v>
      </c>
      <c r="M17" s="41">
        <f>L17+(6/1.42)</f>
        <v>57.04225352112676</v>
      </c>
      <c r="N17" s="43">
        <v>18</v>
      </c>
      <c r="O17" s="44" t="s">
        <v>89</v>
      </c>
      <c r="P17" s="44">
        <v>13.1</v>
      </c>
      <c r="Q17" s="157"/>
      <c r="R17" s="157"/>
      <c r="S17" s="157">
        <v>93280495</v>
      </c>
      <c r="T17" s="45">
        <f t="shared" si="4"/>
        <v>4225</v>
      </c>
      <c r="U17" s="46">
        <f t="shared" si="5"/>
        <v>101.4</v>
      </c>
      <c r="V17" s="46">
        <f t="shared" si="6"/>
        <v>4.2249999999999996</v>
      </c>
      <c r="W17" s="96">
        <v>9.5</v>
      </c>
      <c r="X17" s="96">
        <f t="shared" si="1"/>
        <v>9.5</v>
      </c>
      <c r="Y17" s="97" t="s">
        <v>138</v>
      </c>
      <c r="Z17" s="158">
        <v>0</v>
      </c>
      <c r="AA17" s="158">
        <v>0</v>
      </c>
      <c r="AB17" s="158">
        <v>1187</v>
      </c>
      <c r="AC17" s="158">
        <v>1185</v>
      </c>
      <c r="AD17" s="158">
        <v>1187</v>
      </c>
      <c r="AE17" s="158">
        <v>0</v>
      </c>
      <c r="AF17" s="47" t="s">
        <v>90</v>
      </c>
      <c r="AG17" s="47" t="s">
        <v>90</v>
      </c>
      <c r="AH17" s="98" t="s">
        <v>90</v>
      </c>
      <c r="AI17" s="103">
        <v>15413171</v>
      </c>
      <c r="AJ17" s="45">
        <f t="shared" si="7"/>
        <v>1085</v>
      </c>
      <c r="AK17" s="48">
        <f t="shared" si="8"/>
        <v>256.80473372781069</v>
      </c>
      <c r="AL17" s="155">
        <v>0</v>
      </c>
      <c r="AM17" s="155">
        <v>0</v>
      </c>
      <c r="AN17" s="155">
        <v>1</v>
      </c>
      <c r="AO17" s="155">
        <v>1</v>
      </c>
      <c r="AP17" s="155">
        <v>1</v>
      </c>
      <c r="AQ17" s="155">
        <v>0</v>
      </c>
      <c r="AR17" s="155">
        <v>0</v>
      </c>
      <c r="AS17" s="158"/>
      <c r="AT17" s="158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57">
        <v>43223</v>
      </c>
      <c r="B18" s="40">
        <v>2.2083333333333299</v>
      </c>
      <c r="C18" s="40">
        <v>0.25</v>
      </c>
      <c r="D18" s="156">
        <v>4</v>
      </c>
      <c r="E18" s="154">
        <f t="shared" si="2"/>
        <v>2.8169014084507045</v>
      </c>
      <c r="F18" s="154">
        <v>8</v>
      </c>
      <c r="G18" s="118">
        <v>77</v>
      </c>
      <c r="H18" s="154">
        <f t="shared" si="0"/>
        <v>54.225352112676056</v>
      </c>
      <c r="I18" s="154">
        <v>79</v>
      </c>
      <c r="J18" s="41" t="s">
        <v>88</v>
      </c>
      <c r="K18" s="41">
        <f t="shared" si="3"/>
        <v>52.816901408450704</v>
      </c>
      <c r="L18" s="42">
        <f t="shared" ref="L18:L27" si="10">G18/1.42</f>
        <v>54.225352112676056</v>
      </c>
      <c r="M18" s="41">
        <f>L18+1.42</f>
        <v>55.645352112676058</v>
      </c>
      <c r="N18" s="43">
        <v>19</v>
      </c>
      <c r="O18" s="44" t="s">
        <v>100</v>
      </c>
      <c r="P18" s="44">
        <v>13.1</v>
      </c>
      <c r="Q18" s="157">
        <v>128</v>
      </c>
      <c r="R18" s="157"/>
      <c r="S18" s="157">
        <v>93284496</v>
      </c>
      <c r="T18" s="45">
        <f t="shared" si="4"/>
        <v>4001</v>
      </c>
      <c r="U18" s="46">
        <f t="shared" si="5"/>
        <v>96.024000000000001</v>
      </c>
      <c r="V18" s="46">
        <f t="shared" si="6"/>
        <v>4.0010000000000003</v>
      </c>
      <c r="W18" s="96">
        <v>9.5</v>
      </c>
      <c r="X18" s="96">
        <f t="shared" si="1"/>
        <v>9.5</v>
      </c>
      <c r="Y18" s="97" t="s">
        <v>138</v>
      </c>
      <c r="Z18" s="158">
        <v>0</v>
      </c>
      <c r="AA18" s="158">
        <v>0</v>
      </c>
      <c r="AB18" s="158">
        <v>1187</v>
      </c>
      <c r="AC18" s="158">
        <v>1185</v>
      </c>
      <c r="AD18" s="158">
        <v>1187</v>
      </c>
      <c r="AE18" s="158">
        <v>0</v>
      </c>
      <c r="AF18" s="47" t="s">
        <v>90</v>
      </c>
      <c r="AG18" s="47" t="s">
        <v>90</v>
      </c>
      <c r="AH18" s="98" t="s">
        <v>90</v>
      </c>
      <c r="AI18" s="103">
        <v>15414258</v>
      </c>
      <c r="AJ18" s="45">
        <f t="shared" si="7"/>
        <v>1087</v>
      </c>
      <c r="AK18" s="48">
        <f t="shared" si="8"/>
        <v>271.68207948012997</v>
      </c>
      <c r="AL18" s="155">
        <v>0</v>
      </c>
      <c r="AM18" s="155">
        <v>0</v>
      </c>
      <c r="AN18" s="155">
        <v>1</v>
      </c>
      <c r="AO18" s="155">
        <v>1</v>
      </c>
      <c r="AP18" s="155">
        <v>1</v>
      </c>
      <c r="AQ18" s="155">
        <v>0</v>
      </c>
      <c r="AR18" s="155">
        <v>0</v>
      </c>
      <c r="AS18" s="158"/>
      <c r="AT18" s="158">
        <f t="shared" si="9"/>
        <v>0</v>
      </c>
      <c r="AU18" s="119">
        <v>1.01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57">
        <v>43223</v>
      </c>
      <c r="B19" s="40">
        <v>2.25</v>
      </c>
      <c r="C19" s="40">
        <v>0.29166666666666669</v>
      </c>
      <c r="D19" s="156">
        <v>4</v>
      </c>
      <c r="E19" s="154">
        <f t="shared" si="2"/>
        <v>2.8169014084507045</v>
      </c>
      <c r="F19" s="154">
        <v>7</v>
      </c>
      <c r="G19" s="118">
        <v>79</v>
      </c>
      <c r="H19" s="154">
        <f t="shared" si="0"/>
        <v>55.633802816901408</v>
      </c>
      <c r="I19" s="154">
        <v>78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7">
        <v>133</v>
      </c>
      <c r="R19" s="157"/>
      <c r="S19" s="157">
        <v>93288930</v>
      </c>
      <c r="T19" s="45">
        <f t="shared" si="4"/>
        <v>4434</v>
      </c>
      <c r="U19" s="46">
        <f t="shared" si="5"/>
        <v>106.416</v>
      </c>
      <c r="V19" s="46">
        <f t="shared" si="6"/>
        <v>4.4340000000000002</v>
      </c>
      <c r="W19" s="96">
        <v>9.1</v>
      </c>
      <c r="X19" s="96">
        <f t="shared" si="1"/>
        <v>9.1</v>
      </c>
      <c r="Y19" s="97" t="s">
        <v>169</v>
      </c>
      <c r="Z19" s="158">
        <v>1027</v>
      </c>
      <c r="AA19" s="158">
        <v>0</v>
      </c>
      <c r="AB19" s="158">
        <v>1186</v>
      </c>
      <c r="AC19" s="158">
        <v>1185</v>
      </c>
      <c r="AD19" s="158">
        <v>1187</v>
      </c>
      <c r="AE19" s="158">
        <v>0</v>
      </c>
      <c r="AF19" s="47" t="s">
        <v>90</v>
      </c>
      <c r="AG19" s="47" t="s">
        <v>90</v>
      </c>
      <c r="AH19" s="98" t="s">
        <v>90</v>
      </c>
      <c r="AI19" s="103">
        <v>15415456</v>
      </c>
      <c r="AJ19" s="45">
        <f t="shared" si="7"/>
        <v>1198</v>
      </c>
      <c r="AK19" s="48">
        <f t="shared" si="8"/>
        <v>270.18493459630128</v>
      </c>
      <c r="AL19" s="155">
        <v>1</v>
      </c>
      <c r="AM19" s="155">
        <v>0</v>
      </c>
      <c r="AN19" s="155">
        <v>1</v>
      </c>
      <c r="AO19" s="155">
        <v>1</v>
      </c>
      <c r="AP19" s="155">
        <v>1</v>
      </c>
      <c r="AQ19" s="155">
        <v>0</v>
      </c>
      <c r="AR19" s="155">
        <v>0</v>
      </c>
      <c r="AS19" s="158"/>
      <c r="AT19" s="158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57">
        <v>43223</v>
      </c>
      <c r="B20" s="40">
        <v>2.2916666666666701</v>
      </c>
      <c r="C20" s="40">
        <v>0.33333333333333298</v>
      </c>
      <c r="D20" s="156">
        <v>4</v>
      </c>
      <c r="E20" s="154">
        <f t="shared" si="2"/>
        <v>2.8169014084507045</v>
      </c>
      <c r="F20" s="154">
        <v>7</v>
      </c>
      <c r="G20" s="118">
        <v>76</v>
      </c>
      <c r="H20" s="154">
        <f t="shared" si="0"/>
        <v>53.521126760563384</v>
      </c>
      <c r="I20" s="154">
        <v>78</v>
      </c>
      <c r="J20" s="41" t="s">
        <v>88</v>
      </c>
      <c r="K20" s="41">
        <f t="shared" si="3"/>
        <v>52.112676056338032</v>
      </c>
      <c r="L20" s="42">
        <f t="shared" si="10"/>
        <v>53.521126760563384</v>
      </c>
      <c r="M20" s="41">
        <f t="shared" ref="M20:M24" si="11">L20+1.42</f>
        <v>54.941126760563385</v>
      </c>
      <c r="N20" s="43">
        <v>19</v>
      </c>
      <c r="O20" s="44" t="s">
        <v>100</v>
      </c>
      <c r="P20" s="44">
        <v>17.3</v>
      </c>
      <c r="Q20" s="157">
        <v>131</v>
      </c>
      <c r="R20" s="157"/>
      <c r="S20" s="157">
        <v>93293826</v>
      </c>
      <c r="T20" s="45">
        <f t="shared" si="4"/>
        <v>4896</v>
      </c>
      <c r="U20" s="46">
        <f>T20*24/1000</f>
        <v>117.504</v>
      </c>
      <c r="V20" s="46">
        <f t="shared" si="6"/>
        <v>4.8959999999999999</v>
      </c>
      <c r="W20" s="96">
        <v>8.4</v>
      </c>
      <c r="X20" s="96">
        <f t="shared" si="1"/>
        <v>8.4</v>
      </c>
      <c r="Y20" s="97" t="s">
        <v>169</v>
      </c>
      <c r="Z20" s="158">
        <v>1026</v>
      </c>
      <c r="AA20" s="158">
        <v>0</v>
      </c>
      <c r="AB20" s="158">
        <v>1187</v>
      </c>
      <c r="AC20" s="158">
        <v>1185</v>
      </c>
      <c r="AD20" s="158">
        <v>1187</v>
      </c>
      <c r="AE20" s="158">
        <v>0</v>
      </c>
      <c r="AF20" s="47" t="s">
        <v>90</v>
      </c>
      <c r="AG20" s="47" t="s">
        <v>90</v>
      </c>
      <c r="AH20" s="98" t="s">
        <v>90</v>
      </c>
      <c r="AI20" s="103">
        <v>15416668</v>
      </c>
      <c r="AJ20" s="45">
        <f t="shared" si="7"/>
        <v>1212</v>
      </c>
      <c r="AK20" s="48">
        <f t="shared" si="8"/>
        <v>247.54901960784315</v>
      </c>
      <c r="AL20" s="155">
        <v>1</v>
      </c>
      <c r="AM20" s="155">
        <v>0</v>
      </c>
      <c r="AN20" s="155">
        <v>1</v>
      </c>
      <c r="AO20" s="155">
        <v>1</v>
      </c>
      <c r="AP20" s="155">
        <v>1</v>
      </c>
      <c r="AQ20" s="155">
        <v>0</v>
      </c>
      <c r="AR20" s="155">
        <v>0</v>
      </c>
      <c r="AS20" s="158"/>
      <c r="AT20" s="158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357">
        <v>43223</v>
      </c>
      <c r="B21" s="40">
        <v>2.3333333333333299</v>
      </c>
      <c r="C21" s="40">
        <v>0.375</v>
      </c>
      <c r="D21" s="156">
        <v>3</v>
      </c>
      <c r="E21" s="154">
        <f t="shared" si="2"/>
        <v>2.1126760563380285</v>
      </c>
      <c r="F21" s="154">
        <v>6</v>
      </c>
      <c r="G21" s="118">
        <v>76</v>
      </c>
      <c r="H21" s="154">
        <f t="shared" si="0"/>
        <v>53.521126760563384</v>
      </c>
      <c r="I21" s="154">
        <v>74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7">
        <v>129</v>
      </c>
      <c r="R21" s="157"/>
      <c r="S21" s="157">
        <v>93298034</v>
      </c>
      <c r="T21" s="45">
        <f t="shared" si="4"/>
        <v>4208</v>
      </c>
      <c r="U21" s="46">
        <f t="shared" si="5"/>
        <v>100.992</v>
      </c>
      <c r="V21" s="46">
        <f t="shared" si="6"/>
        <v>4.2080000000000002</v>
      </c>
      <c r="W21" s="96">
        <v>7.8</v>
      </c>
      <c r="X21" s="96">
        <f t="shared" si="1"/>
        <v>7.8</v>
      </c>
      <c r="Y21" s="97" t="s">
        <v>169</v>
      </c>
      <c r="Z21" s="158">
        <v>1027</v>
      </c>
      <c r="AA21" s="158">
        <v>0</v>
      </c>
      <c r="AB21" s="158">
        <v>1187</v>
      </c>
      <c r="AC21" s="158">
        <v>1185</v>
      </c>
      <c r="AD21" s="158">
        <v>1187</v>
      </c>
      <c r="AE21" s="158">
        <v>0</v>
      </c>
      <c r="AF21" s="47" t="s">
        <v>90</v>
      </c>
      <c r="AG21" s="47" t="s">
        <v>90</v>
      </c>
      <c r="AH21" s="98" t="s">
        <v>90</v>
      </c>
      <c r="AI21" s="103">
        <v>15417886</v>
      </c>
      <c r="AJ21" s="45">
        <f t="shared" si="7"/>
        <v>1218</v>
      </c>
      <c r="AK21" s="48">
        <f t="shared" si="8"/>
        <v>289.44866920152089</v>
      </c>
      <c r="AL21" s="155">
        <v>1</v>
      </c>
      <c r="AM21" s="155">
        <v>0</v>
      </c>
      <c r="AN21" s="155">
        <v>1</v>
      </c>
      <c r="AO21" s="155">
        <v>1</v>
      </c>
      <c r="AP21" s="155">
        <v>1</v>
      </c>
      <c r="AQ21" s="155">
        <v>0</v>
      </c>
      <c r="AR21" s="155">
        <v>0</v>
      </c>
      <c r="AS21" s="158"/>
      <c r="AT21" s="158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147</v>
      </c>
    </row>
    <row r="22" spans="1:54" x14ac:dyDescent="0.35">
      <c r="A22" s="357">
        <v>43223</v>
      </c>
      <c r="B22" s="40">
        <v>2.375</v>
      </c>
      <c r="C22" s="40">
        <v>0.41666666666666669</v>
      </c>
      <c r="D22" s="156">
        <v>3</v>
      </c>
      <c r="E22" s="154">
        <f t="shared" si="2"/>
        <v>2.1126760563380285</v>
      </c>
      <c r="F22" s="154">
        <v>6</v>
      </c>
      <c r="G22" s="118">
        <v>76</v>
      </c>
      <c r="H22" s="154">
        <f t="shared" si="0"/>
        <v>53.521126760563384</v>
      </c>
      <c r="I22" s="154">
        <v>74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7">
        <v>130</v>
      </c>
      <c r="R22" s="157"/>
      <c r="S22" s="157">
        <v>93302148</v>
      </c>
      <c r="T22" s="45">
        <f t="shared" si="4"/>
        <v>4114</v>
      </c>
      <c r="U22" s="46">
        <f t="shared" si="5"/>
        <v>98.736000000000004</v>
      </c>
      <c r="V22" s="46">
        <f t="shared" si="6"/>
        <v>4.1139999999999999</v>
      </c>
      <c r="W22" s="96">
        <v>7.2</v>
      </c>
      <c r="X22" s="96">
        <f t="shared" si="1"/>
        <v>7.2</v>
      </c>
      <c r="Y22" s="97" t="s">
        <v>169</v>
      </c>
      <c r="Z22" s="158">
        <v>1027</v>
      </c>
      <c r="AA22" s="158">
        <v>0</v>
      </c>
      <c r="AB22" s="158">
        <v>1186</v>
      </c>
      <c r="AC22" s="158">
        <v>1185</v>
      </c>
      <c r="AD22" s="158">
        <v>1187</v>
      </c>
      <c r="AE22" s="158">
        <v>0</v>
      </c>
      <c r="AF22" s="47" t="s">
        <v>90</v>
      </c>
      <c r="AG22" s="47" t="s">
        <v>90</v>
      </c>
      <c r="AH22" s="98" t="s">
        <v>90</v>
      </c>
      <c r="AI22" s="103">
        <v>15419070</v>
      </c>
      <c r="AJ22" s="45">
        <f t="shared" si="7"/>
        <v>1184</v>
      </c>
      <c r="AK22" s="48">
        <f t="shared" si="8"/>
        <v>287.7977637335926</v>
      </c>
      <c r="AL22" s="155">
        <v>1</v>
      </c>
      <c r="AM22" s="155">
        <v>0</v>
      </c>
      <c r="AN22" s="155">
        <v>1</v>
      </c>
      <c r="AO22" s="155">
        <v>1</v>
      </c>
      <c r="AP22" s="155">
        <v>1</v>
      </c>
      <c r="AQ22" s="155">
        <v>0</v>
      </c>
      <c r="AR22" s="155">
        <v>0</v>
      </c>
      <c r="AS22" s="158"/>
      <c r="AT22" s="158">
        <f t="shared" si="9"/>
        <v>0</v>
      </c>
      <c r="AU22" s="119">
        <v>1.08</v>
      </c>
      <c r="AV22" s="50" t="s">
        <v>125</v>
      </c>
      <c r="BB22" s="136" t="s">
        <v>157</v>
      </c>
    </row>
    <row r="23" spans="1:54" x14ac:dyDescent="0.35">
      <c r="A23" s="357">
        <v>43223</v>
      </c>
      <c r="B23" s="40">
        <v>2.4166666666666701</v>
      </c>
      <c r="C23" s="40">
        <v>0.45833333333333298</v>
      </c>
      <c r="D23" s="156">
        <v>3</v>
      </c>
      <c r="E23" s="154">
        <f t="shared" si="2"/>
        <v>2.1126760563380285</v>
      </c>
      <c r="F23" s="154">
        <v>5</v>
      </c>
      <c r="G23" s="118">
        <v>76</v>
      </c>
      <c r="H23" s="154">
        <f t="shared" si="0"/>
        <v>53.521126760563384</v>
      </c>
      <c r="I23" s="154">
        <v>72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7">
        <v>129</v>
      </c>
      <c r="R23" s="157"/>
      <c r="S23" s="157">
        <v>93306248</v>
      </c>
      <c r="T23" s="45">
        <f t="shared" si="4"/>
        <v>4100</v>
      </c>
      <c r="U23" s="46">
        <f t="shared" si="5"/>
        <v>98.4</v>
      </c>
      <c r="V23" s="46">
        <f t="shared" si="6"/>
        <v>4.0999999999999996</v>
      </c>
      <c r="W23" s="96">
        <v>6.6</v>
      </c>
      <c r="X23" s="96">
        <f>W23</f>
        <v>6.6</v>
      </c>
      <c r="Y23" s="97" t="s">
        <v>169</v>
      </c>
      <c r="Z23" s="158">
        <v>1027</v>
      </c>
      <c r="AA23" s="158">
        <v>0</v>
      </c>
      <c r="AB23" s="158">
        <v>1187</v>
      </c>
      <c r="AC23" s="158">
        <v>1185</v>
      </c>
      <c r="AD23" s="158">
        <v>1187</v>
      </c>
      <c r="AE23" s="158">
        <v>0</v>
      </c>
      <c r="AF23" s="47" t="s">
        <v>90</v>
      </c>
      <c r="AG23" s="47" t="s">
        <v>90</v>
      </c>
      <c r="AH23" s="98" t="s">
        <v>90</v>
      </c>
      <c r="AI23" s="103">
        <v>15420268</v>
      </c>
      <c r="AJ23" s="45">
        <f t="shared" si="7"/>
        <v>1198</v>
      </c>
      <c r="AK23" s="48">
        <f t="shared" si="8"/>
        <v>292.19512195121956</v>
      </c>
      <c r="AL23" s="155">
        <v>1</v>
      </c>
      <c r="AM23" s="155">
        <v>0</v>
      </c>
      <c r="AN23" s="155">
        <v>1</v>
      </c>
      <c r="AO23" s="155">
        <v>1</v>
      </c>
      <c r="AP23" s="155">
        <v>1</v>
      </c>
      <c r="AQ23" s="155">
        <v>0</v>
      </c>
      <c r="AR23" s="155">
        <v>0</v>
      </c>
      <c r="AS23" s="158"/>
      <c r="AT23" s="158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357">
        <v>43223</v>
      </c>
      <c r="B24" s="40">
        <v>2.4583333333333299</v>
      </c>
      <c r="C24" s="40">
        <v>0.5</v>
      </c>
      <c r="D24" s="156">
        <v>3</v>
      </c>
      <c r="E24" s="154">
        <f t="shared" si="2"/>
        <v>2.1126760563380285</v>
      </c>
      <c r="F24" s="154">
        <v>5</v>
      </c>
      <c r="G24" s="118">
        <v>75</v>
      </c>
      <c r="H24" s="154">
        <f t="shared" si="0"/>
        <v>52.816901408450704</v>
      </c>
      <c r="I24" s="154">
        <v>72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7">
        <v>128</v>
      </c>
      <c r="R24" s="157"/>
      <c r="S24" s="157">
        <v>93310527</v>
      </c>
      <c r="T24" s="45">
        <f t="shared" si="4"/>
        <v>4279</v>
      </c>
      <c r="U24" s="46">
        <f>T24*24/1000</f>
        <v>102.696</v>
      </c>
      <c r="V24" s="46">
        <f t="shared" si="6"/>
        <v>4.2789999999999999</v>
      </c>
      <c r="W24" s="96">
        <v>6.1</v>
      </c>
      <c r="X24" s="96">
        <f t="shared" si="1"/>
        <v>6.1</v>
      </c>
      <c r="Y24" s="97" t="s">
        <v>169</v>
      </c>
      <c r="Z24" s="158">
        <v>1027</v>
      </c>
      <c r="AA24" s="158">
        <v>0</v>
      </c>
      <c r="AB24" s="158">
        <v>1187</v>
      </c>
      <c r="AC24" s="158">
        <v>1185</v>
      </c>
      <c r="AD24" s="158">
        <v>1187</v>
      </c>
      <c r="AE24" s="158">
        <v>0</v>
      </c>
      <c r="AF24" s="47" t="s">
        <v>90</v>
      </c>
      <c r="AG24" s="47" t="s">
        <v>90</v>
      </c>
      <c r="AH24" s="98" t="s">
        <v>90</v>
      </c>
      <c r="AI24" s="103">
        <v>15421490</v>
      </c>
      <c r="AJ24" s="45">
        <f t="shared" si="7"/>
        <v>1222</v>
      </c>
      <c r="AK24" s="48">
        <f t="shared" si="8"/>
        <v>285.58074316429071</v>
      </c>
      <c r="AL24" s="155">
        <v>1</v>
      </c>
      <c r="AM24" s="155">
        <v>0</v>
      </c>
      <c r="AN24" s="155">
        <v>1</v>
      </c>
      <c r="AO24" s="155">
        <v>1</v>
      </c>
      <c r="AP24" s="155">
        <v>1</v>
      </c>
      <c r="AQ24" s="155">
        <v>0</v>
      </c>
      <c r="AR24" s="155">
        <v>0</v>
      </c>
      <c r="AS24" s="158"/>
      <c r="AT24" s="158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357">
        <v>43223</v>
      </c>
      <c r="B25" s="40">
        <v>2.5</v>
      </c>
      <c r="C25" s="40">
        <v>0.54166666666666696</v>
      </c>
      <c r="D25" s="156">
        <v>3</v>
      </c>
      <c r="E25" s="154">
        <f t="shared" si="2"/>
        <v>2.1126760563380285</v>
      </c>
      <c r="F25" s="154">
        <v>4</v>
      </c>
      <c r="G25" s="118">
        <v>75</v>
      </c>
      <c r="H25" s="154">
        <f t="shared" si="0"/>
        <v>52.816901408450704</v>
      </c>
      <c r="I25" s="154">
        <v>70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7">
        <v>128</v>
      </c>
      <c r="R25" s="157"/>
      <c r="S25" s="157">
        <v>93314424</v>
      </c>
      <c r="T25" s="45">
        <f t="shared" si="4"/>
        <v>3897</v>
      </c>
      <c r="U25" s="46">
        <f>T25*24/1000</f>
        <v>93.528000000000006</v>
      </c>
      <c r="V25" s="46">
        <f t="shared" si="6"/>
        <v>3.8969999999999998</v>
      </c>
      <c r="W25" s="96">
        <v>5.5</v>
      </c>
      <c r="X25" s="96">
        <f t="shared" si="1"/>
        <v>5.5</v>
      </c>
      <c r="Y25" s="97" t="s">
        <v>169</v>
      </c>
      <c r="Z25" s="158">
        <v>1027</v>
      </c>
      <c r="AA25" s="158">
        <v>0</v>
      </c>
      <c r="AB25" s="158">
        <v>1187</v>
      </c>
      <c r="AC25" s="158">
        <v>1185</v>
      </c>
      <c r="AD25" s="158">
        <v>1187</v>
      </c>
      <c r="AE25" s="158">
        <v>0</v>
      </c>
      <c r="AF25" s="47" t="s">
        <v>90</v>
      </c>
      <c r="AG25" s="47" t="s">
        <v>90</v>
      </c>
      <c r="AH25" s="98" t="s">
        <v>90</v>
      </c>
      <c r="AI25" s="103">
        <v>15422664</v>
      </c>
      <c r="AJ25" s="45">
        <f t="shared" si="7"/>
        <v>1174</v>
      </c>
      <c r="AK25" s="48">
        <f t="shared" si="8"/>
        <v>301.25737746984862</v>
      </c>
      <c r="AL25" s="155">
        <v>1</v>
      </c>
      <c r="AM25" s="155">
        <v>0</v>
      </c>
      <c r="AN25" s="155">
        <v>1</v>
      </c>
      <c r="AO25" s="155">
        <v>1</v>
      </c>
      <c r="AP25" s="155">
        <v>1</v>
      </c>
      <c r="AQ25" s="155">
        <v>0</v>
      </c>
      <c r="AR25" s="155">
        <v>0</v>
      </c>
      <c r="AS25" s="158"/>
      <c r="AT25" s="158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57">
        <v>43223</v>
      </c>
      <c r="B26" s="40">
        <v>2.5416666666666701</v>
      </c>
      <c r="C26" s="40">
        <v>0.58333333333333404</v>
      </c>
      <c r="D26" s="156">
        <v>3</v>
      </c>
      <c r="E26" s="154">
        <f t="shared" si="2"/>
        <v>2.1126760563380285</v>
      </c>
      <c r="F26" s="154">
        <v>4</v>
      </c>
      <c r="G26" s="118">
        <v>75</v>
      </c>
      <c r="H26" s="154">
        <f>G26/1.42</f>
        <v>52.816901408450704</v>
      </c>
      <c r="I26" s="154">
        <v>73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7">
        <v>127</v>
      </c>
      <c r="R26" s="157"/>
      <c r="S26" s="157">
        <v>93318543</v>
      </c>
      <c r="T26" s="45">
        <f t="shared" si="4"/>
        <v>4119</v>
      </c>
      <c r="U26" s="46">
        <f t="shared" si="5"/>
        <v>98.855999999999995</v>
      </c>
      <c r="V26" s="46">
        <f t="shared" si="6"/>
        <v>4.1189999999999998</v>
      </c>
      <c r="W26" s="96">
        <v>5</v>
      </c>
      <c r="X26" s="96">
        <f t="shared" si="1"/>
        <v>5</v>
      </c>
      <c r="Y26" s="97" t="s">
        <v>169</v>
      </c>
      <c r="Z26" s="158">
        <v>1025</v>
      </c>
      <c r="AA26" s="158">
        <v>0</v>
      </c>
      <c r="AB26" s="158">
        <v>1187</v>
      </c>
      <c r="AC26" s="158">
        <v>1185</v>
      </c>
      <c r="AD26" s="158">
        <v>1186</v>
      </c>
      <c r="AE26" s="158">
        <v>0</v>
      </c>
      <c r="AF26" s="47" t="s">
        <v>90</v>
      </c>
      <c r="AG26" s="47" t="s">
        <v>90</v>
      </c>
      <c r="AH26" s="98" t="s">
        <v>90</v>
      </c>
      <c r="AI26" s="103">
        <v>15423859</v>
      </c>
      <c r="AJ26" s="45">
        <f t="shared" si="7"/>
        <v>1195</v>
      </c>
      <c r="AK26" s="48">
        <f t="shared" si="8"/>
        <v>290.11896091284297</v>
      </c>
      <c r="AL26" s="155">
        <v>1</v>
      </c>
      <c r="AM26" s="155">
        <v>0</v>
      </c>
      <c r="AN26" s="155">
        <v>1</v>
      </c>
      <c r="AO26" s="155">
        <v>1</v>
      </c>
      <c r="AP26" s="155">
        <v>1</v>
      </c>
      <c r="AQ26" s="155">
        <v>0</v>
      </c>
      <c r="AR26" s="155">
        <v>0</v>
      </c>
      <c r="AS26" s="158"/>
      <c r="AT26" s="158">
        <f t="shared" si="9"/>
        <v>0</v>
      </c>
      <c r="AU26" s="119">
        <v>1.03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57">
        <v>43223</v>
      </c>
      <c r="B27" s="40">
        <v>2.5833333333333299</v>
      </c>
      <c r="C27" s="40">
        <v>0.625</v>
      </c>
      <c r="D27" s="156">
        <v>3</v>
      </c>
      <c r="E27" s="154">
        <f t="shared" si="2"/>
        <v>2.1126760563380285</v>
      </c>
      <c r="F27" s="154">
        <v>3</v>
      </c>
      <c r="G27" s="118">
        <v>76</v>
      </c>
      <c r="H27" s="154">
        <f>G27/1.42</f>
        <v>53.521126760563384</v>
      </c>
      <c r="I27" s="154">
        <v>73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7">
        <v>129</v>
      </c>
      <c r="R27" s="157"/>
      <c r="S27" s="157">
        <v>93322667</v>
      </c>
      <c r="T27" s="45">
        <f t="shared" si="4"/>
        <v>4124</v>
      </c>
      <c r="U27" s="46">
        <f t="shared" si="5"/>
        <v>98.975999999999999</v>
      </c>
      <c r="V27" s="46">
        <f t="shared" si="6"/>
        <v>4.1239999999999997</v>
      </c>
      <c r="W27" s="96">
        <v>4.5999999999999996</v>
      </c>
      <c r="X27" s="96">
        <f t="shared" si="1"/>
        <v>4.5999999999999996</v>
      </c>
      <c r="Y27" s="97" t="s">
        <v>169</v>
      </c>
      <c r="Z27" s="158">
        <v>1025</v>
      </c>
      <c r="AA27" s="158">
        <v>0</v>
      </c>
      <c r="AB27" s="158">
        <v>1186</v>
      </c>
      <c r="AC27" s="158">
        <v>1185</v>
      </c>
      <c r="AD27" s="158">
        <v>1187</v>
      </c>
      <c r="AE27" s="158">
        <v>0</v>
      </c>
      <c r="AF27" s="47" t="s">
        <v>90</v>
      </c>
      <c r="AG27" s="47" t="s">
        <v>90</v>
      </c>
      <c r="AH27" s="98" t="s">
        <v>90</v>
      </c>
      <c r="AI27" s="103">
        <v>15425049</v>
      </c>
      <c r="AJ27" s="45">
        <f t="shared" si="7"/>
        <v>1190</v>
      </c>
      <c r="AK27" s="48">
        <f t="shared" si="8"/>
        <v>288.55480116391857</v>
      </c>
      <c r="AL27" s="155">
        <v>1</v>
      </c>
      <c r="AM27" s="155">
        <v>0</v>
      </c>
      <c r="AN27" s="155">
        <v>1</v>
      </c>
      <c r="AO27" s="155">
        <v>1</v>
      </c>
      <c r="AP27" s="155">
        <v>1</v>
      </c>
      <c r="AQ27" s="155">
        <v>0</v>
      </c>
      <c r="AR27" s="155">
        <v>0</v>
      </c>
      <c r="AS27" s="158"/>
      <c r="AT27" s="158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57">
        <v>43223</v>
      </c>
      <c r="B28" s="40">
        <v>2.625</v>
      </c>
      <c r="C28" s="40">
        <v>0.66666666666666696</v>
      </c>
      <c r="D28" s="156">
        <v>3</v>
      </c>
      <c r="E28" s="154">
        <f t="shared" si="2"/>
        <v>2.1126760563380285</v>
      </c>
      <c r="F28" s="154">
        <v>2</v>
      </c>
      <c r="G28" s="118">
        <v>76</v>
      </c>
      <c r="H28" s="154">
        <f t="shared" si="0"/>
        <v>53.521126760563384</v>
      </c>
      <c r="I28" s="154">
        <v>74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7">
        <v>130</v>
      </c>
      <c r="R28" s="157"/>
      <c r="S28" s="157">
        <v>93326950</v>
      </c>
      <c r="T28" s="45">
        <f t="shared" si="4"/>
        <v>4283</v>
      </c>
      <c r="U28" s="46">
        <f t="shared" si="5"/>
        <v>102.792</v>
      </c>
      <c r="V28" s="46">
        <f t="shared" si="6"/>
        <v>4.2830000000000004</v>
      </c>
      <c r="W28" s="96">
        <v>4.2</v>
      </c>
      <c r="X28" s="96">
        <f t="shared" si="1"/>
        <v>4.2</v>
      </c>
      <c r="Y28" s="97" t="s">
        <v>169</v>
      </c>
      <c r="Z28" s="158">
        <v>1016</v>
      </c>
      <c r="AA28" s="158">
        <v>0</v>
      </c>
      <c r="AB28" s="158">
        <v>1187</v>
      </c>
      <c r="AC28" s="158">
        <v>1185</v>
      </c>
      <c r="AD28" s="158">
        <v>1187</v>
      </c>
      <c r="AE28" s="158">
        <v>0</v>
      </c>
      <c r="AF28" s="47" t="s">
        <v>90</v>
      </c>
      <c r="AG28" s="47" t="s">
        <v>90</v>
      </c>
      <c r="AH28" s="98" t="s">
        <v>90</v>
      </c>
      <c r="AI28" s="103">
        <v>15426217</v>
      </c>
      <c r="AJ28" s="45">
        <f>IF(ISBLANK(AI28),"-",AI28-AI27)</f>
        <v>1168</v>
      </c>
      <c r="AK28" s="48">
        <f t="shared" si="8"/>
        <v>272.70604716320332</v>
      </c>
      <c r="AL28" s="155">
        <v>1</v>
      </c>
      <c r="AM28" s="155">
        <v>0</v>
      </c>
      <c r="AN28" s="155">
        <v>1</v>
      </c>
      <c r="AO28" s="155">
        <v>1</v>
      </c>
      <c r="AP28" s="155">
        <v>1</v>
      </c>
      <c r="AQ28" s="155">
        <v>0</v>
      </c>
      <c r="AR28" s="155">
        <v>0</v>
      </c>
      <c r="AS28" s="158"/>
      <c r="AT28" s="158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357">
        <v>43223</v>
      </c>
      <c r="B29" s="40">
        <v>2.6666666666666701</v>
      </c>
      <c r="C29" s="40">
        <v>0.70833333333333404</v>
      </c>
      <c r="D29" s="156">
        <v>3</v>
      </c>
      <c r="E29" s="154">
        <f t="shared" si="2"/>
        <v>2.1126760563380285</v>
      </c>
      <c r="F29" s="154">
        <v>2</v>
      </c>
      <c r="G29" s="118">
        <v>74</v>
      </c>
      <c r="H29" s="154">
        <f t="shared" si="0"/>
        <v>52.112676056338032</v>
      </c>
      <c r="I29" s="154">
        <v>73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7">
        <v>127</v>
      </c>
      <c r="R29" s="157"/>
      <c r="S29" s="157">
        <v>93331244</v>
      </c>
      <c r="T29" s="45">
        <f t="shared" si="4"/>
        <v>4294</v>
      </c>
      <c r="U29" s="46">
        <f t="shared" si="5"/>
        <v>103.056</v>
      </c>
      <c r="V29" s="46">
        <f t="shared" si="6"/>
        <v>4.2939999999999996</v>
      </c>
      <c r="W29" s="96">
        <v>3.7</v>
      </c>
      <c r="X29" s="96">
        <f t="shared" si="1"/>
        <v>3.7</v>
      </c>
      <c r="Y29" s="97" t="s">
        <v>169</v>
      </c>
      <c r="Z29" s="158">
        <v>1016</v>
      </c>
      <c r="AA29" s="158">
        <v>0</v>
      </c>
      <c r="AB29" s="158">
        <v>1186</v>
      </c>
      <c r="AC29" s="158">
        <v>1185</v>
      </c>
      <c r="AD29" s="158">
        <v>1186</v>
      </c>
      <c r="AE29" s="158">
        <v>0</v>
      </c>
      <c r="AF29" s="47" t="s">
        <v>90</v>
      </c>
      <c r="AG29" s="47" t="s">
        <v>90</v>
      </c>
      <c r="AH29" s="98" t="s">
        <v>90</v>
      </c>
      <c r="AI29" s="103">
        <v>15427410</v>
      </c>
      <c r="AJ29" s="45">
        <f t="shared" si="7"/>
        <v>1193</v>
      </c>
      <c r="AK29" s="48">
        <f>AJ28/V29</f>
        <v>272.007452258966</v>
      </c>
      <c r="AL29" s="155">
        <v>1</v>
      </c>
      <c r="AM29" s="155">
        <v>0</v>
      </c>
      <c r="AN29" s="155">
        <v>1</v>
      </c>
      <c r="AO29" s="155">
        <v>1</v>
      </c>
      <c r="AP29" s="155">
        <v>1</v>
      </c>
      <c r="AQ29" s="155">
        <v>0</v>
      </c>
      <c r="AR29" s="155">
        <v>0</v>
      </c>
      <c r="AS29" s="158"/>
      <c r="AT29" s="158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357">
        <v>43223</v>
      </c>
      <c r="B30" s="40">
        <v>2.7083333333333299</v>
      </c>
      <c r="C30" s="40">
        <v>0.750000000000002</v>
      </c>
      <c r="D30" s="156">
        <v>3</v>
      </c>
      <c r="E30" s="154">
        <f t="shared" si="2"/>
        <v>2.1126760563380285</v>
      </c>
      <c r="F30" s="154">
        <v>1</v>
      </c>
      <c r="G30" s="118">
        <v>74</v>
      </c>
      <c r="H30" s="154">
        <f t="shared" si="0"/>
        <v>52.112676056338032</v>
      </c>
      <c r="I30" s="154">
        <v>73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7">
        <v>129</v>
      </c>
      <c r="R30" s="157"/>
      <c r="S30" s="157">
        <v>93335659</v>
      </c>
      <c r="T30" s="45">
        <f t="shared" si="4"/>
        <v>4415</v>
      </c>
      <c r="U30" s="46">
        <f t="shared" si="5"/>
        <v>105.96</v>
      </c>
      <c r="V30" s="46">
        <f t="shared" si="6"/>
        <v>4.415</v>
      </c>
      <c r="W30" s="96">
        <v>3.3</v>
      </c>
      <c r="X30" s="96">
        <f t="shared" si="1"/>
        <v>3.3</v>
      </c>
      <c r="Y30" s="97" t="s">
        <v>169</v>
      </c>
      <c r="Z30" s="158">
        <v>1015</v>
      </c>
      <c r="AA30" s="158">
        <v>0</v>
      </c>
      <c r="AB30" s="158">
        <v>1187</v>
      </c>
      <c r="AC30" s="158">
        <v>1185</v>
      </c>
      <c r="AD30" s="158">
        <v>1187</v>
      </c>
      <c r="AE30" s="158">
        <v>0</v>
      </c>
      <c r="AF30" s="47" t="s">
        <v>90</v>
      </c>
      <c r="AG30" s="47" t="s">
        <v>90</v>
      </c>
      <c r="AH30" s="98" t="s">
        <v>90</v>
      </c>
      <c r="AI30" s="103">
        <v>15428569</v>
      </c>
      <c r="AJ30" s="45">
        <f t="shared" si="7"/>
        <v>1159</v>
      </c>
      <c r="AK30" s="48">
        <f>AJ29/V30</f>
        <v>270.21517553793882</v>
      </c>
      <c r="AL30" s="155">
        <v>1</v>
      </c>
      <c r="AM30" s="155">
        <v>0</v>
      </c>
      <c r="AN30" s="155">
        <v>1</v>
      </c>
      <c r="AO30" s="155">
        <v>1</v>
      </c>
      <c r="AP30" s="155">
        <v>1</v>
      </c>
      <c r="AQ30" s="155">
        <v>0</v>
      </c>
      <c r="AR30" s="155">
        <v>0</v>
      </c>
      <c r="AS30" s="158"/>
      <c r="AT30" s="158">
        <f t="shared" si="9"/>
        <v>0</v>
      </c>
      <c r="AU30" s="159">
        <v>1</v>
      </c>
      <c r="AV30" s="50" t="s">
        <v>124</v>
      </c>
      <c r="AY30" s="55" t="s">
        <v>114</v>
      </c>
      <c r="AZ30" s="55">
        <v>101.325</v>
      </c>
      <c r="BB30" s="74" t="s">
        <v>143</v>
      </c>
    </row>
    <row r="31" spans="1:54" x14ac:dyDescent="0.35">
      <c r="A31" s="357">
        <v>43223</v>
      </c>
      <c r="B31" s="40">
        <v>2.75</v>
      </c>
      <c r="C31" s="40">
        <v>0.79166666666666896</v>
      </c>
      <c r="D31" s="156">
        <v>3</v>
      </c>
      <c r="E31" s="154">
        <f t="shared" si="2"/>
        <v>2.1126760563380285</v>
      </c>
      <c r="F31" s="154">
        <v>0</v>
      </c>
      <c r="G31" s="118">
        <v>74</v>
      </c>
      <c r="H31" s="154">
        <f t="shared" si="0"/>
        <v>52.112676056338032</v>
      </c>
      <c r="I31" s="154">
        <v>73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7">
        <v>129</v>
      </c>
      <c r="R31" s="157"/>
      <c r="S31" s="157">
        <v>93340378</v>
      </c>
      <c r="T31" s="45">
        <f t="shared" si="4"/>
        <v>4719</v>
      </c>
      <c r="U31" s="46">
        <f t="shared" si="5"/>
        <v>113.256</v>
      </c>
      <c r="V31" s="46">
        <f t="shared" si="6"/>
        <v>4.7190000000000003</v>
      </c>
      <c r="W31" s="96">
        <v>2.9</v>
      </c>
      <c r="X31" s="96">
        <f t="shared" si="1"/>
        <v>2.9</v>
      </c>
      <c r="Y31" s="97" t="s">
        <v>169</v>
      </c>
      <c r="Z31" s="158">
        <v>1016</v>
      </c>
      <c r="AA31" s="158">
        <v>0</v>
      </c>
      <c r="AB31" s="158">
        <v>1188</v>
      </c>
      <c r="AC31" s="158">
        <v>1185</v>
      </c>
      <c r="AD31" s="158">
        <v>1187</v>
      </c>
      <c r="AE31" s="158">
        <v>0</v>
      </c>
      <c r="AF31" s="47" t="s">
        <v>90</v>
      </c>
      <c r="AG31" s="47" t="s">
        <v>90</v>
      </c>
      <c r="AH31" s="98" t="s">
        <v>90</v>
      </c>
      <c r="AI31" s="103">
        <v>15429751</v>
      </c>
      <c r="AJ31" s="45">
        <f t="shared" si="7"/>
        <v>1182</v>
      </c>
      <c r="AK31" s="48">
        <f t="shared" si="8"/>
        <v>250.47679593134137</v>
      </c>
      <c r="AL31" s="155">
        <v>1</v>
      </c>
      <c r="AM31" s="155">
        <v>0</v>
      </c>
      <c r="AN31" s="155">
        <v>1</v>
      </c>
      <c r="AO31" s="155">
        <v>1</v>
      </c>
      <c r="AP31" s="155">
        <v>1</v>
      </c>
      <c r="AQ31" s="155">
        <v>0</v>
      </c>
      <c r="AR31" s="155">
        <v>0</v>
      </c>
      <c r="AS31" s="158"/>
      <c r="AT31" s="158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357">
        <v>43223</v>
      </c>
      <c r="B32" s="40">
        <v>2.7916666666666701</v>
      </c>
      <c r="C32" s="40">
        <v>0.83333333333333703</v>
      </c>
      <c r="D32" s="156">
        <v>3</v>
      </c>
      <c r="E32" s="154">
        <f t="shared" si="2"/>
        <v>2.1126760563380285</v>
      </c>
      <c r="F32" s="154">
        <v>-1</v>
      </c>
      <c r="G32" s="118">
        <v>74</v>
      </c>
      <c r="H32" s="154">
        <f t="shared" si="0"/>
        <v>52.112676056338032</v>
      </c>
      <c r="I32" s="154">
        <v>71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7">
        <v>128</v>
      </c>
      <c r="R32" s="157"/>
      <c r="S32" s="157">
        <v>93344831</v>
      </c>
      <c r="T32" s="45">
        <f t="shared" si="4"/>
        <v>4453</v>
      </c>
      <c r="U32" s="46">
        <f t="shared" si="5"/>
        <v>106.872</v>
      </c>
      <c r="V32" s="46">
        <f t="shared" si="6"/>
        <v>4.4530000000000003</v>
      </c>
      <c r="W32" s="96">
        <v>2.6</v>
      </c>
      <c r="X32" s="96">
        <f t="shared" si="1"/>
        <v>2.6</v>
      </c>
      <c r="Y32" s="97" t="s">
        <v>169</v>
      </c>
      <c r="Z32" s="158">
        <v>1015</v>
      </c>
      <c r="AA32" s="158">
        <v>0</v>
      </c>
      <c r="AB32" s="158">
        <v>1187</v>
      </c>
      <c r="AC32" s="158">
        <v>1185</v>
      </c>
      <c r="AD32" s="158">
        <v>1187</v>
      </c>
      <c r="AE32" s="158">
        <v>0</v>
      </c>
      <c r="AF32" s="47" t="s">
        <v>90</v>
      </c>
      <c r="AG32" s="47" t="s">
        <v>90</v>
      </c>
      <c r="AH32" s="98" t="s">
        <v>90</v>
      </c>
      <c r="AI32" s="103">
        <v>15430922</v>
      </c>
      <c r="AJ32" s="45">
        <f t="shared" si="7"/>
        <v>1171</v>
      </c>
      <c r="AK32" s="48">
        <f t="shared" si="8"/>
        <v>262.96878508870424</v>
      </c>
      <c r="AL32" s="155">
        <v>1</v>
      </c>
      <c r="AM32" s="155">
        <v>0</v>
      </c>
      <c r="AN32" s="155">
        <v>1</v>
      </c>
      <c r="AO32" s="155">
        <v>1</v>
      </c>
      <c r="AP32" s="155">
        <v>1</v>
      </c>
      <c r="AQ32" s="155">
        <v>0</v>
      </c>
      <c r="AR32" s="155">
        <v>0</v>
      </c>
      <c r="AS32" s="158"/>
      <c r="AT32" s="158">
        <v>0</v>
      </c>
      <c r="AU32" s="49"/>
      <c r="AV32" s="50" t="s">
        <v>124</v>
      </c>
      <c r="AY32" s="308" t="s">
        <v>115</v>
      </c>
      <c r="AZ32" s="308"/>
      <c r="BB32" s="74" t="s">
        <v>156</v>
      </c>
    </row>
    <row r="33" spans="1:54" x14ac:dyDescent="0.35">
      <c r="A33" s="357">
        <v>43223</v>
      </c>
      <c r="B33" s="40">
        <v>2.8333333333333299</v>
      </c>
      <c r="C33" s="40">
        <v>0.875</v>
      </c>
      <c r="D33" s="156">
        <v>3</v>
      </c>
      <c r="E33" s="154">
        <f t="shared" si="2"/>
        <v>2.1126760563380285</v>
      </c>
      <c r="F33" s="154">
        <v>-2</v>
      </c>
      <c r="G33" s="118">
        <v>74</v>
      </c>
      <c r="H33" s="154">
        <f t="shared" si="0"/>
        <v>52.112676056338032</v>
      </c>
      <c r="I33" s="154">
        <v>70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7">
        <v>128</v>
      </c>
      <c r="R33" s="157"/>
      <c r="S33" s="157">
        <v>93349185</v>
      </c>
      <c r="T33" s="45">
        <f t="shared" si="4"/>
        <v>4354</v>
      </c>
      <c r="U33" s="46">
        <f t="shared" si="5"/>
        <v>104.496</v>
      </c>
      <c r="V33" s="46">
        <f t="shared" si="6"/>
        <v>4.3540000000000001</v>
      </c>
      <c r="W33" s="96">
        <v>2.2000000000000002</v>
      </c>
      <c r="X33" s="96">
        <f t="shared" si="1"/>
        <v>2.2000000000000002</v>
      </c>
      <c r="Y33" s="97" t="s">
        <v>169</v>
      </c>
      <c r="Z33" s="158">
        <v>1015</v>
      </c>
      <c r="AA33" s="158">
        <v>0</v>
      </c>
      <c r="AB33" s="158">
        <v>1187</v>
      </c>
      <c r="AC33" s="158">
        <v>1185</v>
      </c>
      <c r="AD33" s="158">
        <v>1187</v>
      </c>
      <c r="AE33" s="158">
        <v>0</v>
      </c>
      <c r="AF33" s="47" t="s">
        <v>90</v>
      </c>
      <c r="AG33" s="47" t="s">
        <v>90</v>
      </c>
      <c r="AH33" s="98" t="s">
        <v>90</v>
      </c>
      <c r="AI33" s="103">
        <v>15432090</v>
      </c>
      <c r="AJ33" s="45">
        <f t="shared" si="7"/>
        <v>1168</v>
      </c>
      <c r="AK33" s="48">
        <f t="shared" si="8"/>
        <v>268.25907211759301</v>
      </c>
      <c r="AL33" s="155">
        <v>1</v>
      </c>
      <c r="AM33" s="155">
        <v>0</v>
      </c>
      <c r="AN33" s="155">
        <v>1</v>
      </c>
      <c r="AO33" s="155">
        <v>1</v>
      </c>
      <c r="AP33" s="155">
        <v>1</v>
      </c>
      <c r="AQ33" s="155">
        <v>0</v>
      </c>
      <c r="AR33" s="155">
        <v>0</v>
      </c>
      <c r="AS33" s="158"/>
      <c r="AT33" s="158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57">
        <v>43223</v>
      </c>
      <c r="B34" s="40">
        <v>2.875</v>
      </c>
      <c r="C34" s="40">
        <v>0.91666666666667096</v>
      </c>
      <c r="D34" s="156">
        <v>3</v>
      </c>
      <c r="E34" s="154">
        <f t="shared" si="2"/>
        <v>2.1126760563380285</v>
      </c>
      <c r="F34" s="154">
        <v>-3</v>
      </c>
      <c r="G34" s="118">
        <v>76</v>
      </c>
      <c r="H34" s="154">
        <f t="shared" si="0"/>
        <v>53.521126760563384</v>
      </c>
      <c r="I34" s="154">
        <v>74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7">
        <v>125</v>
      </c>
      <c r="R34" s="157"/>
      <c r="S34" s="157">
        <v>93353739</v>
      </c>
      <c r="T34" s="45">
        <f t="shared" si="4"/>
        <v>4554</v>
      </c>
      <c r="U34" s="46">
        <f t="shared" si="5"/>
        <v>109.29600000000001</v>
      </c>
      <c r="V34" s="46">
        <f t="shared" si="6"/>
        <v>4.5540000000000003</v>
      </c>
      <c r="W34" s="96">
        <v>2</v>
      </c>
      <c r="X34" s="96">
        <f t="shared" si="1"/>
        <v>2</v>
      </c>
      <c r="Y34" s="97" t="s">
        <v>169</v>
      </c>
      <c r="Z34" s="158">
        <v>1015</v>
      </c>
      <c r="AA34" s="158">
        <v>0</v>
      </c>
      <c r="AB34" s="158">
        <v>1187</v>
      </c>
      <c r="AC34" s="158">
        <v>1185</v>
      </c>
      <c r="AD34" s="158">
        <v>1187</v>
      </c>
      <c r="AE34" s="158">
        <v>0</v>
      </c>
      <c r="AF34" s="47" t="s">
        <v>90</v>
      </c>
      <c r="AG34" s="47" t="s">
        <v>90</v>
      </c>
      <c r="AH34" s="98" t="s">
        <v>90</v>
      </c>
      <c r="AI34" s="103">
        <v>15433272</v>
      </c>
      <c r="AJ34" s="45">
        <f t="shared" si="7"/>
        <v>1182</v>
      </c>
      <c r="AK34" s="48">
        <f t="shared" si="8"/>
        <v>259.55204216073781</v>
      </c>
      <c r="AL34" s="155">
        <v>1</v>
      </c>
      <c r="AM34" s="155">
        <v>0</v>
      </c>
      <c r="AN34" s="155">
        <v>1</v>
      </c>
      <c r="AO34" s="155">
        <v>1</v>
      </c>
      <c r="AP34" s="155">
        <v>1</v>
      </c>
      <c r="AQ34" s="155">
        <v>0</v>
      </c>
      <c r="AR34" s="155">
        <v>0</v>
      </c>
      <c r="AS34" s="158"/>
      <c r="AT34" s="158">
        <f>AS34-AS33</f>
        <v>0</v>
      </c>
      <c r="AU34" s="119">
        <v>1.1100000000000001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357">
        <v>43223</v>
      </c>
      <c r="B35" s="40">
        <v>2.9166666666666701</v>
      </c>
      <c r="C35" s="40">
        <v>0.95833333333333803</v>
      </c>
      <c r="D35" s="156">
        <v>3</v>
      </c>
      <c r="E35" s="154">
        <f t="shared" si="2"/>
        <v>2.1126760563380285</v>
      </c>
      <c r="F35" s="154">
        <v>-3</v>
      </c>
      <c r="G35" s="118">
        <v>71</v>
      </c>
      <c r="H35" s="154">
        <f t="shared" si="0"/>
        <v>50</v>
      </c>
      <c r="I35" s="154">
        <v>70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7">
        <v>132</v>
      </c>
      <c r="R35" s="157"/>
      <c r="S35" s="157">
        <v>93357942</v>
      </c>
      <c r="T35" s="45">
        <f t="shared" si="4"/>
        <v>4203</v>
      </c>
      <c r="U35" s="46">
        <f t="shared" si="5"/>
        <v>100.872</v>
      </c>
      <c r="V35" s="46">
        <f t="shared" si="6"/>
        <v>4.2030000000000003</v>
      </c>
      <c r="W35" s="96">
        <v>2.6</v>
      </c>
      <c r="X35" s="96">
        <f t="shared" si="1"/>
        <v>2.6</v>
      </c>
      <c r="Y35" s="97" t="s">
        <v>138</v>
      </c>
      <c r="Z35" s="158">
        <v>0</v>
      </c>
      <c r="AA35" s="158">
        <v>0</v>
      </c>
      <c r="AB35" s="158">
        <v>1187</v>
      </c>
      <c r="AC35" s="158">
        <v>1185</v>
      </c>
      <c r="AD35" s="158">
        <v>1187</v>
      </c>
      <c r="AE35" s="158">
        <v>0</v>
      </c>
      <c r="AF35" s="47" t="s">
        <v>90</v>
      </c>
      <c r="AG35" s="47" t="s">
        <v>90</v>
      </c>
      <c r="AH35" s="98" t="s">
        <v>90</v>
      </c>
      <c r="AI35" s="103">
        <v>15434420</v>
      </c>
      <c r="AJ35" s="45">
        <f t="shared" si="7"/>
        <v>1148</v>
      </c>
      <c r="AK35" s="48">
        <f t="shared" si="8"/>
        <v>273.13823459433735</v>
      </c>
      <c r="AL35" s="155">
        <v>0</v>
      </c>
      <c r="AM35" s="155">
        <v>0</v>
      </c>
      <c r="AN35" s="155">
        <v>1</v>
      </c>
      <c r="AO35" s="155">
        <v>1</v>
      </c>
      <c r="AP35" s="155">
        <v>1</v>
      </c>
      <c r="AQ35" s="155">
        <v>0.3</v>
      </c>
      <c r="AR35" s="155">
        <v>0</v>
      </c>
      <c r="AS35" s="158"/>
      <c r="AT35" s="158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357">
        <v>43223</v>
      </c>
      <c r="B36" s="40">
        <v>2.9583333333333299</v>
      </c>
      <c r="C36" s="40">
        <v>1</v>
      </c>
      <c r="D36" s="156">
        <v>3</v>
      </c>
      <c r="E36" s="154">
        <f t="shared" si="2"/>
        <v>2.1126760563380285</v>
      </c>
      <c r="F36" s="154">
        <v>-1</v>
      </c>
      <c r="G36" s="118">
        <v>73</v>
      </c>
      <c r="H36" s="154">
        <f t="shared" si="0"/>
        <v>51.408450704225352</v>
      </c>
      <c r="I36" s="154">
        <v>71</v>
      </c>
      <c r="J36" s="41" t="s">
        <v>88</v>
      </c>
      <c r="K36" s="41">
        <f t="shared" si="3"/>
        <v>46.478873239436624</v>
      </c>
      <c r="L36" s="42">
        <f>(G36-5)/1.42</f>
        <v>47.887323943661976</v>
      </c>
      <c r="M36" s="41">
        <f t="shared" si="12"/>
        <v>52.112676056338032</v>
      </c>
      <c r="N36" s="43">
        <v>14</v>
      </c>
      <c r="O36" s="44" t="s">
        <v>116</v>
      </c>
      <c r="P36" s="58">
        <v>11.5</v>
      </c>
      <c r="Q36" s="157">
        <v>136</v>
      </c>
      <c r="R36" s="157"/>
      <c r="S36" s="157">
        <v>93362097</v>
      </c>
      <c r="T36" s="45">
        <f t="shared" si="4"/>
        <v>4155</v>
      </c>
      <c r="U36" s="46">
        <f t="shared" si="5"/>
        <v>99.72</v>
      </c>
      <c r="V36" s="46">
        <f t="shared" si="6"/>
        <v>4.1550000000000002</v>
      </c>
      <c r="W36" s="96">
        <v>3.5</v>
      </c>
      <c r="X36" s="96">
        <f t="shared" si="1"/>
        <v>3.5</v>
      </c>
      <c r="Y36" s="97" t="s">
        <v>138</v>
      </c>
      <c r="Z36" s="158">
        <v>0</v>
      </c>
      <c r="AA36" s="158">
        <v>0</v>
      </c>
      <c r="AB36" s="158">
        <v>1187</v>
      </c>
      <c r="AC36" s="158">
        <v>1185</v>
      </c>
      <c r="AD36" s="158">
        <v>1187</v>
      </c>
      <c r="AE36" s="158">
        <v>0</v>
      </c>
      <c r="AF36" s="47" t="s">
        <v>90</v>
      </c>
      <c r="AG36" s="47" t="s">
        <v>90</v>
      </c>
      <c r="AH36" s="98" t="s">
        <v>90</v>
      </c>
      <c r="AI36" s="103">
        <v>15435512</v>
      </c>
      <c r="AJ36" s="45">
        <f t="shared" si="7"/>
        <v>1092</v>
      </c>
      <c r="AK36" s="48">
        <f t="shared" si="8"/>
        <v>262.81588447653428</v>
      </c>
      <c r="AL36" s="155">
        <v>0</v>
      </c>
      <c r="AM36" s="155">
        <v>0</v>
      </c>
      <c r="AN36" s="155">
        <v>1</v>
      </c>
      <c r="AO36" s="155">
        <v>1</v>
      </c>
      <c r="AP36" s="155">
        <v>1</v>
      </c>
      <c r="AQ36" s="155">
        <v>0.3</v>
      </c>
      <c r="AR36" s="155">
        <v>0</v>
      </c>
      <c r="AS36" s="158"/>
      <c r="AT36" s="158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73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09" t="s">
        <v>118</v>
      </c>
      <c r="O37" s="310"/>
      <c r="P37" s="311"/>
      <c r="Q37" s="101"/>
      <c r="R37" s="101"/>
      <c r="S37" s="101"/>
      <c r="T37" s="60">
        <f>SUM(T13:T36)</f>
        <v>102645</v>
      </c>
      <c r="U37" s="46">
        <f t="shared" si="5"/>
        <v>2463.48</v>
      </c>
      <c r="V37" s="46">
        <f t="shared" si="6"/>
        <v>102.645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27937</v>
      </c>
      <c r="AK37" s="61">
        <f>$AJ$37/$V37</f>
        <v>272.17107506454283</v>
      </c>
      <c r="AL37" s="155"/>
      <c r="AM37" s="155"/>
      <c r="AN37" s="155"/>
      <c r="AO37" s="155"/>
      <c r="AP37" s="155"/>
      <c r="AQ37" s="155"/>
      <c r="AR37" s="62"/>
      <c r="AS37" s="63">
        <f>AS36-AS11</f>
        <v>0</v>
      </c>
      <c r="AT37" s="64">
        <f>SUM(AT13:AT36)</f>
        <v>0</v>
      </c>
      <c r="AU37" s="65">
        <f>AVERAGE(AU13:AU36)</f>
        <v>1.0250000000000001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7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8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8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4"/>
      <c r="D47" s="164"/>
      <c r="E47" s="164"/>
      <c r="F47" s="164"/>
      <c r="G47" s="164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71" t="s">
        <v>181</v>
      </c>
      <c r="C48" s="172"/>
      <c r="D48" s="172"/>
      <c r="E48" s="172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2" t="s">
        <v>152</v>
      </c>
      <c r="C49" s="170"/>
      <c r="D49" s="170"/>
      <c r="E49" s="170"/>
      <c r="F49" s="161"/>
      <c r="G49" s="161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15" t="s">
        <v>182</v>
      </c>
      <c r="C50" s="143"/>
      <c r="D50" s="143"/>
      <c r="E50" s="143"/>
      <c r="F50" s="130"/>
      <c r="G50" s="130"/>
      <c r="H50" s="160"/>
      <c r="I50" s="160"/>
      <c r="J50" s="160"/>
      <c r="K50" s="160"/>
      <c r="L50" s="160"/>
      <c r="M50" s="160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32" t="s">
        <v>163</v>
      </c>
      <c r="C51" s="143"/>
      <c r="D51" s="143"/>
      <c r="E51" s="143"/>
      <c r="F51" s="130"/>
      <c r="G51" s="130"/>
      <c r="H51" s="160"/>
      <c r="I51" s="160"/>
      <c r="J51" s="160"/>
      <c r="K51" s="160"/>
      <c r="L51" s="160"/>
      <c r="M51" s="160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2" t="s">
        <v>183</v>
      </c>
      <c r="C52" s="120"/>
      <c r="D52" s="115"/>
      <c r="E52" s="115"/>
      <c r="F52" s="115"/>
      <c r="G52" s="115"/>
      <c r="H52" s="160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2" t="s">
        <v>166</v>
      </c>
      <c r="C53" s="170"/>
      <c r="D53" s="170"/>
      <c r="E53" s="170"/>
      <c r="F53" s="170"/>
      <c r="G53" s="115"/>
      <c r="H53" s="115"/>
      <c r="I53" s="115"/>
      <c r="J53" s="115"/>
      <c r="K53" s="115"/>
      <c r="L53" s="115"/>
      <c r="M53" s="115"/>
      <c r="N53" s="163"/>
      <c r="O53" s="163"/>
      <c r="P53" s="163"/>
      <c r="Q53" s="163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2" t="s">
        <v>170</v>
      </c>
      <c r="C54" s="170"/>
      <c r="D54" s="170"/>
      <c r="E54" s="170"/>
      <c r="F54" s="170"/>
      <c r="G54" s="170"/>
      <c r="H54" s="170"/>
      <c r="I54" s="170"/>
      <c r="J54" s="169"/>
      <c r="K54" s="166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2" t="s">
        <v>171</v>
      </c>
      <c r="C55" s="153"/>
      <c r="D55" s="153"/>
      <c r="E55" s="153"/>
      <c r="F55" s="153"/>
      <c r="G55" s="153"/>
      <c r="H55" s="153"/>
      <c r="I55" s="153"/>
      <c r="J55" s="169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2" t="s">
        <v>172</v>
      </c>
      <c r="C56" s="153"/>
      <c r="D56" s="153"/>
      <c r="E56" s="153"/>
      <c r="F56" s="153"/>
      <c r="G56" s="153"/>
      <c r="H56" s="153"/>
      <c r="I56" s="153"/>
      <c r="J56" s="153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3" t="s">
        <v>184</v>
      </c>
      <c r="C57" s="153"/>
      <c r="D57" s="153"/>
      <c r="E57" s="153"/>
      <c r="F57" s="153"/>
      <c r="G57" s="153"/>
      <c r="H57" s="153"/>
      <c r="I57" s="153"/>
      <c r="J57" s="153"/>
      <c r="K57" s="166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2" t="s">
        <v>174</v>
      </c>
      <c r="C58" s="115"/>
      <c r="D58" s="115"/>
      <c r="E58" s="115"/>
      <c r="F58" s="115"/>
      <c r="G58" s="115"/>
      <c r="H58" s="115"/>
      <c r="I58" s="153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2" t="s">
        <v>175</v>
      </c>
      <c r="C59" s="153"/>
      <c r="D59" s="153"/>
      <c r="E59" s="153"/>
      <c r="F59" s="153"/>
      <c r="G59" s="153"/>
      <c r="H59" s="153"/>
      <c r="I59" s="153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53"/>
      <c r="C60" s="153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32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2"/>
      <c r="C62" s="115"/>
      <c r="D62" s="166"/>
      <c r="E62" s="166"/>
      <c r="F62" s="166"/>
      <c r="G62" s="166"/>
      <c r="H62" s="166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2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2"/>
      <c r="C64" s="165"/>
      <c r="D64" s="165"/>
      <c r="E64" s="165"/>
      <c r="F64" s="165"/>
      <c r="G64" s="165"/>
      <c r="H64" s="165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5"/>
      <c r="C65" s="165"/>
      <c r="D65" s="165"/>
      <c r="E65" s="165"/>
      <c r="F65" s="165"/>
      <c r="G65" s="165"/>
      <c r="H65" s="165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AV65" s="86"/>
      <c r="AW65" s="86"/>
      <c r="AX65" s="86"/>
      <c r="AY65" s="86"/>
      <c r="AZ65" s="86"/>
      <c r="BA65" s="86"/>
      <c r="BB65" s="86"/>
    </row>
    <row r="66" spans="2:54" x14ac:dyDescent="0.35">
      <c r="B66" s="149"/>
      <c r="C66" s="150"/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1"/>
      <c r="R66" s="20"/>
      <c r="S66" s="20"/>
      <c r="T66" s="150"/>
      <c r="U66" s="150"/>
      <c r="V66" s="150"/>
      <c r="AV66" s="86"/>
      <c r="AW66" s="86"/>
      <c r="AX66" s="86"/>
      <c r="AY66" s="86"/>
      <c r="AZ66" s="86"/>
      <c r="BA66" s="86"/>
      <c r="BB66" s="86"/>
    </row>
    <row r="67" spans="2:54" x14ac:dyDescent="0.35">
      <c r="B67" s="152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AF13:AH36 T13:V36 H13:I36 E13:F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3" name="Range1_16_1_1_1_1_1_1_2_2_2_2_2_2_2_2_2_2_2_2_2_2_2_2_2_2_2_2_2_2_2_1_2_2_2_2_2_2_2_2_2_2_3_2_2_2_2_2_2_2_2_2_2_1_1_1_1_2_2_1_1_1_1_1_1_1_1_1_1_3_1_3"/>
    <protectedRange sqref="R4:W4" name="Range1_16_1_1_1_1_1_1_2_2_2_2_2_2_2_2_2_2_2_2_2_2_2_2_2_2_2_2_2_2_2_1_2_2_2_2_2_2_2_2_2_2_3_2_2_2_2_2_2_2_2_2_2_1_1_1_1_2_2_1_1_1_1_1_1_1_1_1_1_1_1_1_1"/>
    <protectedRange sqref="R5:W5" name="Range1_16_1_1_1_1_1_1_2_2_2_2_2_2_2_2_2_2_2_2_2_2_2_2_2_2_2_2_2_2_2_1_2_2_2_2_2_2_2_2_2_2_3_2_2_2_2_2_2_2_2_2_2_1_1_1_1_2_2_1_1_1_1_1_1_1_1_1_1_1_1_1_2_1_1_1_1_1_1_2_1_1_1_1_2_1_1_1_1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492" priority="5" operator="containsText" text="N/A">
      <formula>NOT(ISERROR(SEARCH("N/A",Z13)))</formula>
    </cfRule>
    <cfRule type="cellIs" dxfId="491" priority="17" operator="equal">
      <formula>0</formula>
    </cfRule>
  </conditionalFormatting>
  <conditionalFormatting sqref="Z13:AG36">
    <cfRule type="cellIs" dxfId="490" priority="16" operator="greaterThanOrEqual">
      <formula>1185</formula>
    </cfRule>
  </conditionalFormatting>
  <conditionalFormatting sqref="Z13:AG36">
    <cfRule type="cellIs" dxfId="489" priority="15" operator="between">
      <formula>0.1</formula>
      <formula>1184</formula>
    </cfRule>
  </conditionalFormatting>
  <conditionalFormatting sqref="Z8:Z9 AT13:AT36 AL37:AQ37 AL13:AR36">
    <cfRule type="cellIs" dxfId="488" priority="14" operator="equal">
      <formula>0</formula>
    </cfRule>
  </conditionalFormatting>
  <conditionalFormatting sqref="Z8:Z9 AT13:AT36 AL37:AQ37 AL13:AR36">
    <cfRule type="cellIs" dxfId="487" priority="13" operator="greaterThan">
      <formula>1179</formula>
    </cfRule>
  </conditionalFormatting>
  <conditionalFormatting sqref="Z8:Z9 AT13:AT36 AL37:AQ37 AL13:AR36">
    <cfRule type="cellIs" dxfId="486" priority="12" operator="greaterThan">
      <formula>99</formula>
    </cfRule>
  </conditionalFormatting>
  <conditionalFormatting sqref="Z8:Z9 AT13:AT36 AL37:AQ37 AL13:AR36">
    <cfRule type="cellIs" dxfId="485" priority="11" operator="greaterThan">
      <formula>0.99</formula>
    </cfRule>
  </conditionalFormatting>
  <conditionalFormatting sqref="AD8:AD9">
    <cfRule type="cellIs" dxfId="484" priority="10" operator="equal">
      <formula>0</formula>
    </cfRule>
  </conditionalFormatting>
  <conditionalFormatting sqref="AD8:AD9">
    <cfRule type="cellIs" dxfId="483" priority="9" operator="greaterThan">
      <formula>1179</formula>
    </cfRule>
  </conditionalFormatting>
  <conditionalFormatting sqref="AD8:AD9">
    <cfRule type="cellIs" dxfId="482" priority="8" operator="greaterThan">
      <formula>99</formula>
    </cfRule>
  </conditionalFormatting>
  <conditionalFormatting sqref="AD8:AD9">
    <cfRule type="cellIs" dxfId="481" priority="7" operator="greaterThan">
      <formula>0.99</formula>
    </cfRule>
  </conditionalFormatting>
  <conditionalFormatting sqref="AK13:AK36">
    <cfRule type="cellIs" dxfId="480" priority="6" operator="greaterThan">
      <formula>$AK$8</formula>
    </cfRule>
  </conditionalFormatting>
  <conditionalFormatting sqref="AS13:AS36">
    <cfRule type="containsText" dxfId="479" priority="1" operator="containsText" text="N/A">
      <formula>NOT(ISERROR(SEARCH("N/A",AS13)))</formula>
    </cfRule>
    <cfRule type="cellIs" dxfId="478" priority="4" operator="equal">
      <formula>0</formula>
    </cfRule>
  </conditionalFormatting>
  <conditionalFormatting sqref="AS13:AS36">
    <cfRule type="cellIs" dxfId="477" priority="3" operator="greaterThanOrEqual">
      <formula>1185</formula>
    </cfRule>
  </conditionalFormatting>
  <conditionalFormatting sqref="AS13:AS36">
    <cfRule type="cellIs" dxfId="476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200-000000000000}">
      <formula1>$BB$11:$BB$42</formula1>
    </dataValidation>
    <dataValidation type="list" allowBlank="1" showInputMessage="1" showErrorMessage="1" sqref="AY33:AZ33" xr:uid="{00000000-0002-0000-0200-000001000000}">
      <formula1>$AY$26:$AY$30</formula1>
    </dataValidation>
    <dataValidation type="list" allowBlank="1" showInputMessage="1" showErrorMessage="1" sqref="AS8:AT9 P11:P12 N11:N12 D8:E9 Q8:V9" xr:uid="{00000000-0002-0000-0200-000002000000}">
      <formula1>#REF!</formula1>
    </dataValidation>
    <dataValidation type="list" allowBlank="1" showInputMessage="1" showErrorMessage="1" sqref="J13:J36" xr:uid="{00000000-0002-0000-0200-000003000000}">
      <formula1>$AY$11:$AY$21</formula1>
    </dataValidation>
  </dataValidations>
  <hyperlinks>
    <hyperlink ref="J10:J11" location="'1'!AH8" display="Plant Status" xr:uid="{00000000-0004-0000-0200-000000000000}"/>
  </hyperlinks>
  <pageMargins left="0.7" right="0.7" top="0.75" bottom="0.75" header="0.3" footer="0.3"/>
  <pageSetup paperSize="9"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7030A0"/>
  </sheetPr>
  <dimension ref="A2:BB88"/>
  <sheetViews>
    <sheetView topLeftCell="A49" zoomScaleNormal="100" workbookViewId="0">
      <selection activeCell="R5" sqref="R5:W5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47" t="s">
        <v>157</v>
      </c>
      <c r="S3" s="348"/>
      <c r="T3" s="348"/>
      <c r="U3" s="348"/>
      <c r="V3" s="348"/>
      <c r="W3" s="34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47" t="s">
        <v>143</v>
      </c>
      <c r="S4" s="348"/>
      <c r="T4" s="348"/>
      <c r="U4" s="348"/>
      <c r="V4" s="348"/>
      <c r="W4" s="34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47" t="s">
        <v>158</v>
      </c>
      <c r="S5" s="348"/>
      <c r="T5" s="348"/>
      <c r="U5" s="348"/>
      <c r="V5" s="348"/>
      <c r="W5" s="34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50" t="s">
        <v>6</v>
      </c>
      <c r="C6" s="351"/>
      <c r="D6" s="352" t="s">
        <v>7</v>
      </c>
      <c r="E6" s="353"/>
      <c r="F6" s="353"/>
      <c r="G6" s="353"/>
      <c r="H6" s="353"/>
      <c r="I6" s="353"/>
      <c r="J6" s="354"/>
      <c r="K6" s="87"/>
      <c r="L6" s="87"/>
      <c r="M6" s="187"/>
      <c r="N6" s="355">
        <v>41686</v>
      </c>
      <c r="O6" s="356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37" t="s">
        <v>8</v>
      </c>
      <c r="C7" s="338"/>
      <c r="D7" s="337" t="s">
        <v>9</v>
      </c>
      <c r="E7" s="339"/>
      <c r="F7" s="339"/>
      <c r="G7" s="339"/>
      <c r="H7" s="339"/>
      <c r="I7" s="338"/>
      <c r="J7" s="192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192" t="s">
        <v>14</v>
      </c>
      <c r="R7" s="337" t="s">
        <v>15</v>
      </c>
      <c r="S7" s="339"/>
      <c r="T7" s="339"/>
      <c r="U7" s="339"/>
      <c r="V7" s="338"/>
      <c r="W7" s="337" t="s">
        <v>16</v>
      </c>
      <c r="X7" s="338"/>
      <c r="Y7" s="99" t="s">
        <v>17</v>
      </c>
      <c r="Z7" s="337" t="s">
        <v>18</v>
      </c>
      <c r="AA7" s="338"/>
      <c r="AB7" s="337" t="s">
        <v>19</v>
      </c>
      <c r="AC7" s="338"/>
      <c r="AD7" s="337" t="s">
        <v>20</v>
      </c>
      <c r="AE7" s="338"/>
      <c r="AF7" s="337" t="s">
        <v>21</v>
      </c>
      <c r="AG7" s="338"/>
      <c r="AH7" s="99" t="s">
        <v>22</v>
      </c>
      <c r="AI7" s="99" t="s">
        <v>23</v>
      </c>
      <c r="AJ7" s="99" t="s">
        <v>24</v>
      </c>
      <c r="AK7" s="99" t="s">
        <v>25</v>
      </c>
      <c r="AL7" s="337" t="s">
        <v>26</v>
      </c>
      <c r="AM7" s="339"/>
      <c r="AN7" s="339"/>
      <c r="AO7" s="339"/>
      <c r="AP7" s="339"/>
      <c r="AQ7" s="338"/>
      <c r="AR7" s="337" t="s">
        <v>27</v>
      </c>
      <c r="AS7" s="339"/>
      <c r="AT7" s="33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40">
        <v>43224</v>
      </c>
      <c r="C8" s="341"/>
      <c r="D8" s="342" t="s">
        <v>29</v>
      </c>
      <c r="E8" s="343"/>
      <c r="F8" s="343"/>
      <c r="G8" s="343"/>
      <c r="H8" s="343"/>
      <c r="I8" s="344"/>
      <c r="J8" s="28"/>
      <c r="K8" s="342" t="s">
        <v>29</v>
      </c>
      <c r="L8" s="343"/>
      <c r="M8" s="34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42" t="s">
        <v>33</v>
      </c>
      <c r="X8" s="344"/>
      <c r="Y8" s="30" t="s">
        <v>34</v>
      </c>
      <c r="Z8" s="326">
        <v>0</v>
      </c>
      <c r="AA8" s="327"/>
      <c r="AB8" s="345" t="s">
        <v>35</v>
      </c>
      <c r="AC8" s="346"/>
      <c r="AD8" s="326">
        <v>1185</v>
      </c>
      <c r="AE8" s="327"/>
      <c r="AF8" s="328">
        <v>800</v>
      </c>
      <c r="AG8" s="329"/>
      <c r="AH8" s="28"/>
      <c r="AI8" s="30">
        <f>AI36-AI11</f>
        <v>27823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193"/>
      <c r="C9" s="194"/>
      <c r="D9" s="195"/>
      <c r="E9" s="196"/>
      <c r="F9" s="196"/>
      <c r="G9" s="196"/>
      <c r="H9" s="196"/>
      <c r="I9" s="197"/>
      <c r="J9" s="121"/>
      <c r="K9" s="195"/>
      <c r="L9" s="196"/>
      <c r="M9" s="197"/>
      <c r="N9" s="29"/>
      <c r="O9" s="29"/>
      <c r="P9" s="29"/>
      <c r="Q9" s="121"/>
      <c r="R9" s="121"/>
      <c r="S9" s="121"/>
      <c r="T9" s="122"/>
      <c r="U9" s="123"/>
      <c r="V9" s="124"/>
      <c r="W9" s="195"/>
      <c r="X9" s="197"/>
      <c r="Y9" s="30"/>
      <c r="Z9" s="190"/>
      <c r="AA9" s="125"/>
      <c r="AB9" s="126"/>
      <c r="AC9" s="126"/>
      <c r="AD9" s="125"/>
      <c r="AE9" s="125"/>
      <c r="AF9" s="127"/>
      <c r="AG9" s="191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30" t="s">
        <v>39</v>
      </c>
      <c r="C10" s="331"/>
      <c r="D10" s="330" t="s">
        <v>40</v>
      </c>
      <c r="E10" s="332"/>
      <c r="F10" s="331"/>
      <c r="G10" s="330" t="s">
        <v>41</v>
      </c>
      <c r="H10" s="332"/>
      <c r="I10" s="331"/>
      <c r="J10" s="333" t="s">
        <v>42</v>
      </c>
      <c r="K10" s="330" t="s">
        <v>43</v>
      </c>
      <c r="L10" s="332"/>
      <c r="M10" s="331"/>
      <c r="N10" s="99" t="s">
        <v>44</v>
      </c>
      <c r="O10" s="335" t="s">
        <v>45</v>
      </c>
      <c r="P10" s="33" t="s">
        <v>46</v>
      </c>
      <c r="Q10" s="324" t="s">
        <v>47</v>
      </c>
      <c r="R10" s="324" t="s">
        <v>48</v>
      </c>
      <c r="S10" s="34" t="s">
        <v>49</v>
      </c>
      <c r="T10" s="312" t="s">
        <v>50</v>
      </c>
      <c r="U10" s="313"/>
      <c r="V10" s="314"/>
      <c r="W10" s="188" t="s">
        <v>51</v>
      </c>
      <c r="X10" s="188" t="s">
        <v>52</v>
      </c>
      <c r="Y10" s="318" t="s">
        <v>53</v>
      </c>
      <c r="Z10" s="319" t="s">
        <v>54</v>
      </c>
      <c r="AA10" s="320"/>
      <c r="AB10" s="320"/>
      <c r="AC10" s="320"/>
      <c r="AD10" s="320"/>
      <c r="AE10" s="320"/>
      <c r="AF10" s="320"/>
      <c r="AG10" s="321"/>
      <c r="AH10" s="186" t="s">
        <v>55</v>
      </c>
      <c r="AI10" s="186" t="s">
        <v>56</v>
      </c>
      <c r="AJ10" s="307" t="s">
        <v>57</v>
      </c>
      <c r="AK10" s="322" t="s">
        <v>58</v>
      </c>
      <c r="AL10" s="188" t="s">
        <v>59</v>
      </c>
      <c r="AM10" s="188" t="s">
        <v>60</v>
      </c>
      <c r="AN10" s="188" t="s">
        <v>61</v>
      </c>
      <c r="AO10" s="188" t="s">
        <v>62</v>
      </c>
      <c r="AP10" s="188" t="s">
        <v>63</v>
      </c>
      <c r="AQ10" s="188" t="s">
        <v>123</v>
      </c>
      <c r="AR10" s="188" t="s">
        <v>64</v>
      </c>
      <c r="AS10" s="188" t="s">
        <v>65</v>
      </c>
      <c r="AT10" s="324" t="s">
        <v>66</v>
      </c>
      <c r="AU10" s="188" t="s">
        <v>67</v>
      </c>
      <c r="AV10" s="30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88" t="s">
        <v>72</v>
      </c>
      <c r="C11" s="188" t="s">
        <v>73</v>
      </c>
      <c r="D11" s="188" t="s">
        <v>74</v>
      </c>
      <c r="E11" s="188" t="s">
        <v>75</v>
      </c>
      <c r="F11" s="188" t="s">
        <v>126</v>
      </c>
      <c r="G11" s="188" t="s">
        <v>74</v>
      </c>
      <c r="H11" s="188" t="s">
        <v>75</v>
      </c>
      <c r="I11" s="188" t="s">
        <v>126</v>
      </c>
      <c r="J11" s="334"/>
      <c r="K11" s="188" t="s">
        <v>75</v>
      </c>
      <c r="L11" s="188" t="s">
        <v>75</v>
      </c>
      <c r="M11" s="188" t="s">
        <v>75</v>
      </c>
      <c r="N11" s="28" t="s">
        <v>29</v>
      </c>
      <c r="O11" s="336"/>
      <c r="P11" s="28" t="s">
        <v>29</v>
      </c>
      <c r="Q11" s="325"/>
      <c r="R11" s="325"/>
      <c r="S11" s="1">
        <f>'MAY 3'!S36</f>
        <v>93362097</v>
      </c>
      <c r="T11" s="315"/>
      <c r="U11" s="316"/>
      <c r="V11" s="317"/>
      <c r="W11" s="188" t="s">
        <v>75</v>
      </c>
      <c r="X11" s="188" t="s">
        <v>75</v>
      </c>
      <c r="Y11" s="31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'MAY 3'!AI36</f>
        <v>15435512</v>
      </c>
      <c r="AJ11" s="307"/>
      <c r="AK11" s="323"/>
      <c r="AL11" s="188" t="s">
        <v>84</v>
      </c>
      <c r="AM11" s="188" t="s">
        <v>84</v>
      </c>
      <c r="AN11" s="188" t="s">
        <v>84</v>
      </c>
      <c r="AO11" s="188" t="s">
        <v>84</v>
      </c>
      <c r="AP11" s="188" t="s">
        <v>84</v>
      </c>
      <c r="AQ11" s="188" t="s">
        <v>84</v>
      </c>
      <c r="AR11" s="188" t="s">
        <v>84</v>
      </c>
      <c r="AS11" s="1"/>
      <c r="AT11" s="325"/>
      <c r="AU11" s="189" t="s">
        <v>85</v>
      </c>
      <c r="AV11" s="307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283</v>
      </c>
      <c r="B12" s="305" t="s">
        <v>284</v>
      </c>
      <c r="C12" s="305" t="s">
        <v>285</v>
      </c>
      <c r="D12" s="305" t="s">
        <v>286</v>
      </c>
      <c r="E12" s="305" t="s">
        <v>287</v>
      </c>
      <c r="F12" s="305" t="s">
        <v>288</v>
      </c>
      <c r="G12" s="305" t="s">
        <v>289</v>
      </c>
      <c r="H12" s="305" t="s">
        <v>290</v>
      </c>
      <c r="I12" s="305" t="s">
        <v>291</v>
      </c>
      <c r="J12" s="297" t="s">
        <v>292</v>
      </c>
      <c r="K12" s="305" t="s">
        <v>293</v>
      </c>
      <c r="L12" s="305" t="s">
        <v>294</v>
      </c>
      <c r="M12" s="305" t="s">
        <v>295</v>
      </c>
      <c r="N12" s="28" t="s">
        <v>296</v>
      </c>
      <c r="O12" s="298" t="s">
        <v>297</v>
      </c>
      <c r="P12" s="28" t="s">
        <v>298</v>
      </c>
      <c r="Q12" s="300" t="s">
        <v>299</v>
      </c>
      <c r="R12" s="300" t="s">
        <v>300</v>
      </c>
      <c r="S12" s="1" t="s">
        <v>301</v>
      </c>
      <c r="T12" s="302" t="s">
        <v>302</v>
      </c>
      <c r="U12" s="303" t="s">
        <v>303</v>
      </c>
      <c r="V12" s="304" t="s">
        <v>304</v>
      </c>
      <c r="W12" s="305" t="s">
        <v>305</v>
      </c>
      <c r="X12" s="305" t="s">
        <v>306</v>
      </c>
      <c r="Y12" s="305" t="s">
        <v>307</v>
      </c>
      <c r="Z12" s="37" t="s">
        <v>308</v>
      </c>
      <c r="AA12" s="37" t="s">
        <v>309</v>
      </c>
      <c r="AB12" s="37" t="s">
        <v>310</v>
      </c>
      <c r="AC12" s="37" t="s">
        <v>311</v>
      </c>
      <c r="AD12" s="37" t="s">
        <v>312</v>
      </c>
      <c r="AE12" s="37" t="s">
        <v>313</v>
      </c>
      <c r="AF12" s="37" t="s">
        <v>314</v>
      </c>
      <c r="AG12" s="37" t="s">
        <v>315</v>
      </c>
      <c r="AH12" s="38" t="s">
        <v>316</v>
      </c>
      <c r="AI12" s="1" t="s">
        <v>317</v>
      </c>
      <c r="AJ12" s="301" t="s">
        <v>318</v>
      </c>
      <c r="AK12" s="306" t="s">
        <v>319</v>
      </c>
      <c r="AL12" s="305" t="s">
        <v>320</v>
      </c>
      <c r="AM12" s="305" t="s">
        <v>321</v>
      </c>
      <c r="AN12" s="305" t="s">
        <v>322</v>
      </c>
      <c r="AO12" s="305" t="s">
        <v>323</v>
      </c>
      <c r="AP12" s="305" t="s">
        <v>324</v>
      </c>
      <c r="AQ12" s="305" t="s">
        <v>325</v>
      </c>
      <c r="AR12" s="305" t="s">
        <v>326</v>
      </c>
      <c r="AS12" s="1" t="s">
        <v>327</v>
      </c>
      <c r="AT12" s="300" t="s">
        <v>328</v>
      </c>
      <c r="AU12" s="299" t="s">
        <v>329</v>
      </c>
      <c r="AV12" s="301"/>
      <c r="AY12" s="39"/>
      <c r="AZ12" s="39"/>
      <c r="BB12" s="136"/>
    </row>
    <row r="13" spans="1:54" x14ac:dyDescent="0.35">
      <c r="A13" s="357">
        <v>43224</v>
      </c>
      <c r="B13" s="40">
        <v>2</v>
      </c>
      <c r="C13" s="40">
        <v>4.1666666666666664E-2</v>
      </c>
      <c r="D13" s="156">
        <v>3</v>
      </c>
      <c r="E13" s="154">
        <f>D13/1.42</f>
        <v>2.1126760563380285</v>
      </c>
      <c r="F13" s="154">
        <v>2</v>
      </c>
      <c r="G13" s="118">
        <v>69</v>
      </c>
      <c r="H13" s="154">
        <f t="shared" ref="H13:H36" si="0">G13/1.42</f>
        <v>48.591549295774648</v>
      </c>
      <c r="I13" s="154">
        <v>70</v>
      </c>
      <c r="J13" s="41" t="s">
        <v>88</v>
      </c>
      <c r="K13" s="41">
        <f>L13-(2/1.42)</f>
        <v>43.661971830985919</v>
      </c>
      <c r="L13" s="42">
        <f>(G13-5)/1.42</f>
        <v>45.070422535211272</v>
      </c>
      <c r="M13" s="41">
        <f>L13+(6/1.42)</f>
        <v>49.295774647887328</v>
      </c>
      <c r="N13" s="43">
        <v>14</v>
      </c>
      <c r="O13" s="44" t="s">
        <v>89</v>
      </c>
      <c r="P13" s="44">
        <v>11.4</v>
      </c>
      <c r="Q13" s="157">
        <v>131</v>
      </c>
      <c r="R13" s="157"/>
      <c r="S13" s="157">
        <v>93366463</v>
      </c>
      <c r="T13" s="45">
        <f>IF(ISBLANK(S13),"-",S13-S11)</f>
        <v>4366</v>
      </c>
      <c r="U13" s="46">
        <f>T13*24/1000</f>
        <v>104.78400000000001</v>
      </c>
      <c r="V13" s="46">
        <f>T13/1000</f>
        <v>4.3659999999999997</v>
      </c>
      <c r="W13" s="96">
        <v>4.3</v>
      </c>
      <c r="X13" s="96">
        <f t="shared" ref="X13:X36" si="1">W13</f>
        <v>4.3</v>
      </c>
      <c r="Y13" s="97" t="s">
        <v>138</v>
      </c>
      <c r="Z13" s="158">
        <v>0</v>
      </c>
      <c r="AA13" s="158">
        <v>0</v>
      </c>
      <c r="AB13" s="158">
        <v>1187</v>
      </c>
      <c r="AC13" s="158">
        <v>1185</v>
      </c>
      <c r="AD13" s="158">
        <v>1187</v>
      </c>
      <c r="AE13" s="158">
        <v>0</v>
      </c>
      <c r="AF13" s="47" t="s">
        <v>90</v>
      </c>
      <c r="AG13" s="47" t="s">
        <v>90</v>
      </c>
      <c r="AH13" s="98" t="s">
        <v>90</v>
      </c>
      <c r="AI13" s="103">
        <v>15436703</v>
      </c>
      <c r="AJ13" s="45">
        <f>IF(ISBLANK(AI13),"-",AI13-AI11)</f>
        <v>1191</v>
      </c>
      <c r="AK13" s="48">
        <f>AJ13/V13</f>
        <v>272.78973889143384</v>
      </c>
      <c r="AL13" s="155">
        <v>0</v>
      </c>
      <c r="AM13" s="155">
        <v>0</v>
      </c>
      <c r="AN13" s="155">
        <v>1</v>
      </c>
      <c r="AO13" s="155">
        <v>1</v>
      </c>
      <c r="AP13" s="155">
        <v>1</v>
      </c>
      <c r="AQ13" s="155">
        <v>0</v>
      </c>
      <c r="AR13" s="155">
        <v>0.8</v>
      </c>
      <c r="AS13" s="158"/>
      <c r="AT13" s="158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357">
        <v>43224</v>
      </c>
      <c r="B14" s="40">
        <v>2.0416666666666701</v>
      </c>
      <c r="C14" s="40">
        <v>8.3333333333333329E-2</v>
      </c>
      <c r="D14" s="156">
        <v>3</v>
      </c>
      <c r="E14" s="154">
        <f t="shared" ref="E14:E36" si="2">D14/1.42</f>
        <v>2.1126760563380285</v>
      </c>
      <c r="F14" s="154">
        <v>4</v>
      </c>
      <c r="G14" s="118">
        <v>70</v>
      </c>
      <c r="H14" s="154">
        <f t="shared" si="0"/>
        <v>49.295774647887328</v>
      </c>
      <c r="I14" s="154">
        <v>72</v>
      </c>
      <c r="J14" s="41" t="s">
        <v>88</v>
      </c>
      <c r="K14" s="41">
        <f t="shared" ref="K14:K36" si="3">L14-(2/1.42)</f>
        <v>44.366197183098592</v>
      </c>
      <c r="L14" s="42">
        <f>(G14-5)/1.42</f>
        <v>45.774647887323944</v>
      </c>
      <c r="M14" s="41">
        <f>L14+(6/1.42)</f>
        <v>50</v>
      </c>
      <c r="N14" s="43">
        <v>14</v>
      </c>
      <c r="O14" s="44" t="s">
        <v>89</v>
      </c>
      <c r="P14" s="44">
        <v>11.2</v>
      </c>
      <c r="Q14" s="157">
        <v>134</v>
      </c>
      <c r="R14" s="157"/>
      <c r="S14" s="157">
        <v>93370729</v>
      </c>
      <c r="T14" s="45">
        <f t="shared" ref="T14:T36" si="4">IF(ISBLANK(S14),"-",S14-S13)</f>
        <v>4266</v>
      </c>
      <c r="U14" s="46">
        <f t="shared" ref="U14:U37" si="5">T14*24/1000</f>
        <v>102.384</v>
      </c>
      <c r="V14" s="46">
        <f t="shared" ref="V14:V37" si="6">T14/1000</f>
        <v>4.266</v>
      </c>
      <c r="W14" s="96">
        <v>5.9</v>
      </c>
      <c r="X14" s="96">
        <f t="shared" si="1"/>
        <v>5.9</v>
      </c>
      <c r="Y14" s="97" t="s">
        <v>138</v>
      </c>
      <c r="Z14" s="158">
        <v>0</v>
      </c>
      <c r="AA14" s="158">
        <v>0</v>
      </c>
      <c r="AB14" s="158">
        <v>1187</v>
      </c>
      <c r="AC14" s="158">
        <v>1185</v>
      </c>
      <c r="AD14" s="158">
        <v>1187</v>
      </c>
      <c r="AE14" s="158">
        <v>0</v>
      </c>
      <c r="AF14" s="47" t="s">
        <v>90</v>
      </c>
      <c r="AG14" s="47" t="s">
        <v>90</v>
      </c>
      <c r="AH14" s="98" t="s">
        <v>90</v>
      </c>
      <c r="AI14" s="103">
        <v>15437804</v>
      </c>
      <c r="AJ14" s="45">
        <f t="shared" ref="AJ14:AJ36" si="7">IF(ISBLANK(AI14),"-",AI14-AI13)</f>
        <v>1101</v>
      </c>
      <c r="AK14" s="48">
        <f t="shared" ref="AK14:AK36" si="8">AJ14/V14</f>
        <v>258.0872011251758</v>
      </c>
      <c r="AL14" s="155">
        <v>0</v>
      </c>
      <c r="AM14" s="155">
        <v>0</v>
      </c>
      <c r="AN14" s="155">
        <v>1</v>
      </c>
      <c r="AO14" s="155">
        <v>1</v>
      </c>
      <c r="AP14" s="155">
        <v>1</v>
      </c>
      <c r="AQ14" s="155">
        <v>0</v>
      </c>
      <c r="AR14" s="155">
        <v>0.8</v>
      </c>
      <c r="AS14" s="158"/>
      <c r="AT14" s="158">
        <f t="shared" ref="AT14:AT35" si="9">AS14-AS13</f>
        <v>0</v>
      </c>
      <c r="AU14" s="119">
        <v>0.91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57">
        <v>43224</v>
      </c>
      <c r="B15" s="40">
        <v>2.0833333333333299</v>
      </c>
      <c r="C15" s="40">
        <v>0.125</v>
      </c>
      <c r="D15" s="156">
        <v>3</v>
      </c>
      <c r="E15" s="154">
        <f t="shared" si="2"/>
        <v>2.1126760563380285</v>
      </c>
      <c r="F15" s="154">
        <v>6</v>
      </c>
      <c r="G15" s="118">
        <v>70</v>
      </c>
      <c r="H15" s="154">
        <f t="shared" si="0"/>
        <v>49.295774647887328</v>
      </c>
      <c r="I15" s="154">
        <v>72</v>
      </c>
      <c r="J15" s="41" t="s">
        <v>88</v>
      </c>
      <c r="K15" s="41">
        <f t="shared" si="3"/>
        <v>44.366197183098592</v>
      </c>
      <c r="L15" s="42">
        <f>(G15-5)/1.42</f>
        <v>45.774647887323944</v>
      </c>
      <c r="M15" s="41">
        <f>L15+(6/1.42)</f>
        <v>50</v>
      </c>
      <c r="N15" s="43">
        <v>14</v>
      </c>
      <c r="O15" s="44" t="s">
        <v>89</v>
      </c>
      <c r="P15" s="44">
        <v>11.2</v>
      </c>
      <c r="Q15" s="157">
        <v>135</v>
      </c>
      <c r="R15" s="157"/>
      <c r="S15" s="157">
        <v>93374895</v>
      </c>
      <c r="T15" s="45">
        <f t="shared" si="4"/>
        <v>4166</v>
      </c>
      <c r="U15" s="46">
        <f t="shared" si="5"/>
        <v>99.983999999999995</v>
      </c>
      <c r="V15" s="46">
        <f t="shared" si="6"/>
        <v>4.1660000000000004</v>
      </c>
      <c r="W15" s="96">
        <v>7</v>
      </c>
      <c r="X15" s="96">
        <f t="shared" si="1"/>
        <v>7</v>
      </c>
      <c r="Y15" s="97" t="s">
        <v>138</v>
      </c>
      <c r="Z15" s="158">
        <v>0</v>
      </c>
      <c r="AA15" s="158">
        <v>0</v>
      </c>
      <c r="AB15" s="158">
        <v>1187</v>
      </c>
      <c r="AC15" s="158">
        <v>1185</v>
      </c>
      <c r="AD15" s="158">
        <v>1187</v>
      </c>
      <c r="AE15" s="158">
        <v>0</v>
      </c>
      <c r="AF15" s="47" t="s">
        <v>90</v>
      </c>
      <c r="AG15" s="47" t="s">
        <v>90</v>
      </c>
      <c r="AH15" s="98" t="s">
        <v>90</v>
      </c>
      <c r="AI15" s="103">
        <v>15438882</v>
      </c>
      <c r="AJ15" s="45">
        <f t="shared" si="7"/>
        <v>1078</v>
      </c>
      <c r="AK15" s="48">
        <f t="shared" si="8"/>
        <v>258.76140182429185</v>
      </c>
      <c r="AL15" s="155">
        <v>0</v>
      </c>
      <c r="AM15" s="155">
        <v>0</v>
      </c>
      <c r="AN15" s="155">
        <v>1</v>
      </c>
      <c r="AO15" s="155">
        <v>1</v>
      </c>
      <c r="AP15" s="155">
        <v>1</v>
      </c>
      <c r="AQ15" s="155">
        <v>0</v>
      </c>
      <c r="AR15" s="155">
        <v>0.8</v>
      </c>
      <c r="AS15" s="158"/>
      <c r="AT15" s="158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357">
        <v>43224</v>
      </c>
      <c r="B16" s="40">
        <v>2.125</v>
      </c>
      <c r="C16" s="40">
        <v>0.16666666666666699</v>
      </c>
      <c r="D16" s="156">
        <v>3</v>
      </c>
      <c r="E16" s="154">
        <f t="shared" si="2"/>
        <v>2.1126760563380285</v>
      </c>
      <c r="F16" s="154">
        <v>7</v>
      </c>
      <c r="G16" s="118">
        <v>70</v>
      </c>
      <c r="H16" s="154">
        <f t="shared" si="0"/>
        <v>49.295774647887328</v>
      </c>
      <c r="I16" s="154">
        <v>72</v>
      </c>
      <c r="J16" s="41" t="s">
        <v>88</v>
      </c>
      <c r="K16" s="41">
        <f t="shared" si="3"/>
        <v>44.366197183098592</v>
      </c>
      <c r="L16" s="42">
        <f>(G16-5)/1.42</f>
        <v>45.774647887323944</v>
      </c>
      <c r="M16" s="41">
        <f>L16+(6/1.42)</f>
        <v>50</v>
      </c>
      <c r="N16" s="43">
        <v>14</v>
      </c>
      <c r="O16" s="44" t="s">
        <v>89</v>
      </c>
      <c r="P16" s="44">
        <v>12.8</v>
      </c>
      <c r="Q16" s="157">
        <v>138</v>
      </c>
      <c r="R16" s="157"/>
      <c r="S16" s="157">
        <v>93379162</v>
      </c>
      <c r="T16" s="45">
        <f t="shared" si="4"/>
        <v>4267</v>
      </c>
      <c r="U16" s="46">
        <f t="shared" si="5"/>
        <v>102.408</v>
      </c>
      <c r="V16" s="46">
        <f t="shared" si="6"/>
        <v>4.2670000000000003</v>
      </c>
      <c r="W16" s="96">
        <v>8.1999999999999993</v>
      </c>
      <c r="X16" s="96">
        <f t="shared" si="1"/>
        <v>8.1999999999999993</v>
      </c>
      <c r="Y16" s="97" t="s">
        <v>138</v>
      </c>
      <c r="Z16" s="158">
        <v>0</v>
      </c>
      <c r="AA16" s="158">
        <v>0</v>
      </c>
      <c r="AB16" s="158">
        <v>1187</v>
      </c>
      <c r="AC16" s="158">
        <v>1185</v>
      </c>
      <c r="AD16" s="158">
        <v>1187</v>
      </c>
      <c r="AE16" s="158">
        <v>0</v>
      </c>
      <c r="AF16" s="47" t="s">
        <v>90</v>
      </c>
      <c r="AG16" s="47" t="s">
        <v>90</v>
      </c>
      <c r="AH16" s="98" t="s">
        <v>90</v>
      </c>
      <c r="AI16" s="103">
        <v>15439985</v>
      </c>
      <c r="AJ16" s="45">
        <f t="shared" si="7"/>
        <v>1103</v>
      </c>
      <c r="AK16" s="48">
        <f t="shared" si="8"/>
        <v>258.49543004452772</v>
      </c>
      <c r="AL16" s="155">
        <v>0</v>
      </c>
      <c r="AM16" s="155">
        <v>0</v>
      </c>
      <c r="AN16" s="155">
        <v>1</v>
      </c>
      <c r="AO16" s="155">
        <v>1</v>
      </c>
      <c r="AP16" s="155">
        <v>1</v>
      </c>
      <c r="AQ16" s="155">
        <v>0</v>
      </c>
      <c r="AR16" s="155">
        <v>0.8</v>
      </c>
      <c r="AS16" s="158"/>
      <c r="AT16" s="158">
        <f t="shared" si="9"/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357">
        <v>43224</v>
      </c>
      <c r="B17" s="40">
        <v>2.1666666666666701</v>
      </c>
      <c r="C17" s="40">
        <v>0.20833333333333301</v>
      </c>
      <c r="D17" s="156">
        <v>3</v>
      </c>
      <c r="E17" s="154">
        <f t="shared" si="2"/>
        <v>2.1126760563380285</v>
      </c>
      <c r="F17" s="154">
        <v>8</v>
      </c>
      <c r="G17" s="118">
        <v>81</v>
      </c>
      <c r="H17" s="154">
        <f t="shared" si="0"/>
        <v>57.04225352112676</v>
      </c>
      <c r="I17" s="154">
        <v>80</v>
      </c>
      <c r="J17" s="41" t="s">
        <v>88</v>
      </c>
      <c r="K17" s="41">
        <f t="shared" si="3"/>
        <v>52.112676056338032</v>
      </c>
      <c r="L17" s="42">
        <f>(G17-5)/1.42</f>
        <v>53.521126760563384</v>
      </c>
      <c r="M17" s="41">
        <f>L17+(6/1.42)</f>
        <v>57.74647887323944</v>
      </c>
      <c r="N17" s="43">
        <v>18</v>
      </c>
      <c r="O17" s="44" t="s">
        <v>89</v>
      </c>
      <c r="P17" s="44">
        <v>13.1</v>
      </c>
      <c r="Q17" s="157">
        <v>128</v>
      </c>
      <c r="R17" s="157"/>
      <c r="S17" s="157">
        <v>93383398</v>
      </c>
      <c r="T17" s="45">
        <f t="shared" si="4"/>
        <v>4236</v>
      </c>
      <c r="U17" s="46">
        <f t="shared" si="5"/>
        <v>101.664</v>
      </c>
      <c r="V17" s="46">
        <f t="shared" si="6"/>
        <v>4.2359999999999998</v>
      </c>
      <c r="W17" s="96">
        <v>9.5</v>
      </c>
      <c r="X17" s="96">
        <f t="shared" si="1"/>
        <v>9.5</v>
      </c>
      <c r="Y17" s="97" t="s">
        <v>138</v>
      </c>
      <c r="Z17" s="158">
        <v>0</v>
      </c>
      <c r="AA17" s="158">
        <v>0</v>
      </c>
      <c r="AB17" s="158">
        <v>1187</v>
      </c>
      <c r="AC17" s="158">
        <v>1185</v>
      </c>
      <c r="AD17" s="158">
        <v>1187</v>
      </c>
      <c r="AE17" s="158">
        <v>0</v>
      </c>
      <c r="AF17" s="47" t="s">
        <v>90</v>
      </c>
      <c r="AG17" s="47" t="s">
        <v>90</v>
      </c>
      <c r="AH17" s="98" t="s">
        <v>90</v>
      </c>
      <c r="AI17" s="103">
        <v>15441096</v>
      </c>
      <c r="AJ17" s="45">
        <f t="shared" si="7"/>
        <v>1111</v>
      </c>
      <c r="AK17" s="48">
        <f t="shared" si="8"/>
        <v>262.27573182247403</v>
      </c>
      <c r="AL17" s="155">
        <v>0</v>
      </c>
      <c r="AM17" s="155">
        <v>0</v>
      </c>
      <c r="AN17" s="155">
        <v>1</v>
      </c>
      <c r="AO17" s="155">
        <v>1</v>
      </c>
      <c r="AP17" s="155">
        <v>1</v>
      </c>
      <c r="AQ17" s="155">
        <v>0</v>
      </c>
      <c r="AR17" s="155">
        <v>0</v>
      </c>
      <c r="AS17" s="158"/>
      <c r="AT17" s="158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57">
        <v>43224</v>
      </c>
      <c r="B18" s="40">
        <v>2.2083333333333299</v>
      </c>
      <c r="C18" s="40">
        <v>0.25</v>
      </c>
      <c r="D18" s="156">
        <v>3</v>
      </c>
      <c r="E18" s="154">
        <f t="shared" si="2"/>
        <v>2.1126760563380285</v>
      </c>
      <c r="F18" s="154">
        <v>8</v>
      </c>
      <c r="G18" s="118">
        <v>81</v>
      </c>
      <c r="H18" s="154">
        <f t="shared" si="0"/>
        <v>57.04225352112676</v>
      </c>
      <c r="I18" s="154">
        <v>80</v>
      </c>
      <c r="J18" s="41" t="s">
        <v>88</v>
      </c>
      <c r="K18" s="41">
        <f t="shared" si="3"/>
        <v>55.633802816901408</v>
      </c>
      <c r="L18" s="42">
        <f t="shared" ref="L18:L27" si="10">G18/1.42</f>
        <v>57.04225352112676</v>
      </c>
      <c r="M18" s="41">
        <f>L18+1.42</f>
        <v>58.462253521126762</v>
      </c>
      <c r="N18" s="43">
        <v>19</v>
      </c>
      <c r="O18" s="44" t="s">
        <v>100</v>
      </c>
      <c r="P18" s="44">
        <v>13.1</v>
      </c>
      <c r="Q18" s="157">
        <v>136</v>
      </c>
      <c r="R18" s="157"/>
      <c r="S18" s="157">
        <v>93387948</v>
      </c>
      <c r="T18" s="45">
        <f t="shared" si="4"/>
        <v>4550</v>
      </c>
      <c r="U18" s="46">
        <f t="shared" si="5"/>
        <v>109.2</v>
      </c>
      <c r="V18" s="46">
        <f t="shared" si="6"/>
        <v>4.55</v>
      </c>
      <c r="W18" s="96">
        <v>9.5</v>
      </c>
      <c r="X18" s="96">
        <f t="shared" si="1"/>
        <v>9.5</v>
      </c>
      <c r="Y18" s="97" t="s">
        <v>138</v>
      </c>
      <c r="Z18" s="158">
        <v>0</v>
      </c>
      <c r="AA18" s="158">
        <v>0</v>
      </c>
      <c r="AB18" s="158">
        <v>1187</v>
      </c>
      <c r="AC18" s="158">
        <v>1185</v>
      </c>
      <c r="AD18" s="158">
        <v>1187</v>
      </c>
      <c r="AE18" s="158">
        <v>0</v>
      </c>
      <c r="AF18" s="47" t="s">
        <v>90</v>
      </c>
      <c r="AG18" s="47" t="s">
        <v>90</v>
      </c>
      <c r="AH18" s="98" t="s">
        <v>90</v>
      </c>
      <c r="AI18" s="103">
        <v>15442286</v>
      </c>
      <c r="AJ18" s="45">
        <f t="shared" si="7"/>
        <v>1190</v>
      </c>
      <c r="AK18" s="48">
        <f t="shared" si="8"/>
        <v>261.53846153846155</v>
      </c>
      <c r="AL18" s="155">
        <v>0</v>
      </c>
      <c r="AM18" s="155">
        <v>0</v>
      </c>
      <c r="AN18" s="155">
        <v>1</v>
      </c>
      <c r="AO18" s="155">
        <v>1</v>
      </c>
      <c r="AP18" s="155">
        <v>1</v>
      </c>
      <c r="AQ18" s="155">
        <v>0</v>
      </c>
      <c r="AR18" s="155">
        <v>0</v>
      </c>
      <c r="AS18" s="158"/>
      <c r="AT18" s="158">
        <f t="shared" si="9"/>
        <v>0</v>
      </c>
      <c r="AU18" s="119">
        <v>1.04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57">
        <v>43224</v>
      </c>
      <c r="B19" s="40">
        <v>2.25</v>
      </c>
      <c r="C19" s="40">
        <v>0.29166666666666669</v>
      </c>
      <c r="D19" s="156">
        <v>3</v>
      </c>
      <c r="E19" s="154">
        <f t="shared" si="2"/>
        <v>2.1126760563380285</v>
      </c>
      <c r="F19" s="154">
        <v>7</v>
      </c>
      <c r="G19" s="118">
        <v>78</v>
      </c>
      <c r="H19" s="154">
        <f t="shared" si="0"/>
        <v>54.929577464788736</v>
      </c>
      <c r="I19" s="154">
        <v>76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7">
        <v>131</v>
      </c>
      <c r="R19" s="157"/>
      <c r="S19" s="157">
        <v>93392262</v>
      </c>
      <c r="T19" s="45">
        <f t="shared" si="4"/>
        <v>4314</v>
      </c>
      <c r="U19" s="46">
        <f t="shared" si="5"/>
        <v>103.536</v>
      </c>
      <c r="V19" s="46">
        <f t="shared" si="6"/>
        <v>4.3140000000000001</v>
      </c>
      <c r="W19" s="96">
        <v>9</v>
      </c>
      <c r="X19" s="96">
        <f t="shared" si="1"/>
        <v>9</v>
      </c>
      <c r="Y19" s="97" t="s">
        <v>169</v>
      </c>
      <c r="Z19" s="158">
        <v>0</v>
      </c>
      <c r="AA19" s="158">
        <v>1026</v>
      </c>
      <c r="AB19" s="158">
        <v>1188</v>
      </c>
      <c r="AC19" s="158">
        <v>1185</v>
      </c>
      <c r="AD19" s="158">
        <v>1187</v>
      </c>
      <c r="AE19" s="158">
        <v>0</v>
      </c>
      <c r="AF19" s="47" t="s">
        <v>90</v>
      </c>
      <c r="AG19" s="47" t="s">
        <v>90</v>
      </c>
      <c r="AH19" s="98" t="s">
        <v>90</v>
      </c>
      <c r="AI19" s="103">
        <v>15443462</v>
      </c>
      <c r="AJ19" s="45">
        <f t="shared" si="7"/>
        <v>1176</v>
      </c>
      <c r="AK19" s="48">
        <f t="shared" si="8"/>
        <v>272.60083449235049</v>
      </c>
      <c r="AL19" s="155">
        <v>0</v>
      </c>
      <c r="AM19" s="155">
        <v>1</v>
      </c>
      <c r="AN19" s="155">
        <v>1</v>
      </c>
      <c r="AO19" s="155">
        <v>1</v>
      </c>
      <c r="AP19" s="155">
        <v>1</v>
      </c>
      <c r="AQ19" s="155">
        <v>0</v>
      </c>
      <c r="AR19" s="155">
        <v>0</v>
      </c>
      <c r="AS19" s="158"/>
      <c r="AT19" s="158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57">
        <v>43224</v>
      </c>
      <c r="B20" s="40">
        <v>2.2916666666666701</v>
      </c>
      <c r="C20" s="40">
        <v>0.33333333333333298</v>
      </c>
      <c r="D20" s="156">
        <v>3</v>
      </c>
      <c r="E20" s="154">
        <f t="shared" si="2"/>
        <v>2.1126760563380285</v>
      </c>
      <c r="F20" s="154">
        <v>7</v>
      </c>
      <c r="G20" s="118">
        <v>76</v>
      </c>
      <c r="H20" s="154">
        <f t="shared" si="0"/>
        <v>53.521126760563384</v>
      </c>
      <c r="I20" s="154">
        <v>76</v>
      </c>
      <c r="J20" s="41" t="s">
        <v>88</v>
      </c>
      <c r="K20" s="41">
        <f t="shared" si="3"/>
        <v>52.112676056338032</v>
      </c>
      <c r="L20" s="42">
        <f t="shared" si="10"/>
        <v>53.521126760563384</v>
      </c>
      <c r="M20" s="41">
        <f t="shared" ref="M20:M24" si="11">L20+1.42</f>
        <v>54.941126760563385</v>
      </c>
      <c r="N20" s="43">
        <v>19</v>
      </c>
      <c r="O20" s="44" t="s">
        <v>100</v>
      </c>
      <c r="P20" s="44">
        <v>17.3</v>
      </c>
      <c r="Q20" s="157">
        <v>130</v>
      </c>
      <c r="R20" s="157"/>
      <c r="S20" s="157">
        <v>93396594</v>
      </c>
      <c r="T20" s="45">
        <f t="shared" si="4"/>
        <v>4332</v>
      </c>
      <c r="U20" s="46">
        <f>T20*24/1000</f>
        <v>103.968</v>
      </c>
      <c r="V20" s="46">
        <f t="shared" si="6"/>
        <v>4.3319999999999999</v>
      </c>
      <c r="W20" s="96">
        <v>8.4</v>
      </c>
      <c r="X20" s="96">
        <f t="shared" si="1"/>
        <v>8.4</v>
      </c>
      <c r="Y20" s="97" t="s">
        <v>169</v>
      </c>
      <c r="Z20" s="158">
        <v>0</v>
      </c>
      <c r="AA20" s="158">
        <v>1027</v>
      </c>
      <c r="AB20" s="158">
        <v>1187</v>
      </c>
      <c r="AC20" s="158">
        <v>1185</v>
      </c>
      <c r="AD20" s="158">
        <v>1186</v>
      </c>
      <c r="AE20" s="158">
        <v>0</v>
      </c>
      <c r="AF20" s="47" t="s">
        <v>90</v>
      </c>
      <c r="AG20" s="47" t="s">
        <v>90</v>
      </c>
      <c r="AH20" s="98" t="s">
        <v>90</v>
      </c>
      <c r="AI20" s="103">
        <v>15444598</v>
      </c>
      <c r="AJ20" s="45">
        <f t="shared" si="7"/>
        <v>1136</v>
      </c>
      <c r="AK20" s="48">
        <f t="shared" si="8"/>
        <v>262.23453370267777</v>
      </c>
      <c r="AL20" s="155">
        <v>0</v>
      </c>
      <c r="AM20" s="155">
        <v>1</v>
      </c>
      <c r="AN20" s="155">
        <v>1</v>
      </c>
      <c r="AO20" s="155">
        <v>1</v>
      </c>
      <c r="AP20" s="155">
        <v>1</v>
      </c>
      <c r="AQ20" s="155">
        <v>0</v>
      </c>
      <c r="AR20" s="155">
        <v>0</v>
      </c>
      <c r="AS20" s="158"/>
      <c r="AT20" s="158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357">
        <v>43224</v>
      </c>
      <c r="B21" s="40">
        <v>2.3333333333333299</v>
      </c>
      <c r="C21" s="40">
        <v>0.375</v>
      </c>
      <c r="D21" s="156">
        <v>3</v>
      </c>
      <c r="E21" s="154">
        <f t="shared" si="2"/>
        <v>2.1126760563380285</v>
      </c>
      <c r="F21" s="154">
        <v>6</v>
      </c>
      <c r="G21" s="118">
        <v>77</v>
      </c>
      <c r="H21" s="154">
        <f t="shared" si="0"/>
        <v>54.225352112676056</v>
      </c>
      <c r="I21" s="154">
        <v>74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7">
        <v>128</v>
      </c>
      <c r="R21" s="157"/>
      <c r="S21" s="157">
        <v>93400976</v>
      </c>
      <c r="T21" s="45">
        <f t="shared" si="4"/>
        <v>4382</v>
      </c>
      <c r="U21" s="46">
        <f t="shared" si="5"/>
        <v>105.16800000000001</v>
      </c>
      <c r="V21" s="46">
        <f t="shared" si="6"/>
        <v>4.3819999999999997</v>
      </c>
      <c r="W21" s="96">
        <v>7.7</v>
      </c>
      <c r="X21" s="96">
        <f t="shared" si="1"/>
        <v>7.7</v>
      </c>
      <c r="Y21" s="97" t="s">
        <v>169</v>
      </c>
      <c r="Z21" s="158">
        <v>0</v>
      </c>
      <c r="AA21" s="158">
        <v>1047</v>
      </c>
      <c r="AB21" s="158">
        <v>1187</v>
      </c>
      <c r="AC21" s="158">
        <v>1185</v>
      </c>
      <c r="AD21" s="158">
        <v>1187</v>
      </c>
      <c r="AE21" s="158">
        <v>0</v>
      </c>
      <c r="AF21" s="47" t="s">
        <v>90</v>
      </c>
      <c r="AG21" s="47" t="s">
        <v>90</v>
      </c>
      <c r="AH21" s="98" t="s">
        <v>90</v>
      </c>
      <c r="AI21" s="103">
        <v>15445834</v>
      </c>
      <c r="AJ21" s="45">
        <f t="shared" si="7"/>
        <v>1236</v>
      </c>
      <c r="AK21" s="48">
        <f t="shared" si="8"/>
        <v>282.06298493838432</v>
      </c>
      <c r="AL21" s="155">
        <v>0</v>
      </c>
      <c r="AM21" s="155">
        <v>1</v>
      </c>
      <c r="AN21" s="155">
        <v>1</v>
      </c>
      <c r="AO21" s="155">
        <v>1</v>
      </c>
      <c r="AP21" s="155">
        <v>1</v>
      </c>
      <c r="AQ21" s="155">
        <v>0</v>
      </c>
      <c r="AR21" s="155">
        <v>0</v>
      </c>
      <c r="AS21" s="158"/>
      <c r="AT21" s="158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147</v>
      </c>
    </row>
    <row r="22" spans="1:54" x14ac:dyDescent="0.35">
      <c r="A22" s="357">
        <v>43224</v>
      </c>
      <c r="B22" s="40">
        <v>2.375</v>
      </c>
      <c r="C22" s="40">
        <v>0.41666666666666669</v>
      </c>
      <c r="D22" s="156">
        <v>3</v>
      </c>
      <c r="E22" s="154">
        <f t="shared" si="2"/>
        <v>2.1126760563380285</v>
      </c>
      <c r="F22" s="154">
        <v>6</v>
      </c>
      <c r="G22" s="118">
        <v>76</v>
      </c>
      <c r="H22" s="154">
        <f t="shared" si="0"/>
        <v>53.521126760563384</v>
      </c>
      <c r="I22" s="154">
        <v>74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7">
        <v>130</v>
      </c>
      <c r="R22" s="157"/>
      <c r="S22" s="157">
        <v>93404928</v>
      </c>
      <c r="T22" s="45">
        <f t="shared" si="4"/>
        <v>3952</v>
      </c>
      <c r="U22" s="46">
        <f t="shared" si="5"/>
        <v>94.847999999999999</v>
      </c>
      <c r="V22" s="46">
        <f t="shared" si="6"/>
        <v>3.952</v>
      </c>
      <c r="W22" s="96">
        <v>7</v>
      </c>
      <c r="X22" s="96">
        <f t="shared" si="1"/>
        <v>7</v>
      </c>
      <c r="Y22" s="97" t="s">
        <v>169</v>
      </c>
      <c r="Z22" s="158">
        <v>0</v>
      </c>
      <c r="AA22" s="158">
        <v>1046</v>
      </c>
      <c r="AB22" s="158">
        <v>1187</v>
      </c>
      <c r="AC22" s="158">
        <v>1185</v>
      </c>
      <c r="AD22" s="158">
        <v>1187</v>
      </c>
      <c r="AE22" s="158">
        <v>0</v>
      </c>
      <c r="AF22" s="47" t="s">
        <v>90</v>
      </c>
      <c r="AG22" s="47" t="s">
        <v>90</v>
      </c>
      <c r="AH22" s="98" t="s">
        <v>90</v>
      </c>
      <c r="AI22" s="103">
        <v>15447027</v>
      </c>
      <c r="AJ22" s="45">
        <f t="shared" si="7"/>
        <v>1193</v>
      </c>
      <c r="AK22" s="48">
        <f t="shared" si="8"/>
        <v>301.87246963562751</v>
      </c>
      <c r="AL22" s="155">
        <v>0</v>
      </c>
      <c r="AM22" s="155">
        <v>1</v>
      </c>
      <c r="AN22" s="155">
        <v>1</v>
      </c>
      <c r="AO22" s="155">
        <v>1</v>
      </c>
      <c r="AP22" s="155">
        <v>1</v>
      </c>
      <c r="AQ22" s="155">
        <v>0</v>
      </c>
      <c r="AR22" s="155">
        <v>0</v>
      </c>
      <c r="AS22" s="158"/>
      <c r="AT22" s="158">
        <f t="shared" si="9"/>
        <v>0</v>
      </c>
      <c r="AU22" s="119">
        <v>1.1200000000000001</v>
      </c>
      <c r="AV22" s="50" t="s">
        <v>125</v>
      </c>
      <c r="BB22" s="136" t="s">
        <v>157</v>
      </c>
    </row>
    <row r="23" spans="1:54" x14ac:dyDescent="0.35">
      <c r="A23" s="357">
        <v>43224</v>
      </c>
      <c r="B23" s="40">
        <v>2.4166666666666701</v>
      </c>
      <c r="C23" s="40">
        <v>0.45833333333333298</v>
      </c>
      <c r="D23" s="156">
        <v>3</v>
      </c>
      <c r="E23" s="154">
        <f t="shared" si="2"/>
        <v>2.1126760563380285</v>
      </c>
      <c r="F23" s="154">
        <v>5</v>
      </c>
      <c r="G23" s="118">
        <v>76</v>
      </c>
      <c r="H23" s="154">
        <f t="shared" si="0"/>
        <v>53.521126760563384</v>
      </c>
      <c r="I23" s="154">
        <v>73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7">
        <v>129</v>
      </c>
      <c r="R23" s="157"/>
      <c r="S23" s="157">
        <v>93408936</v>
      </c>
      <c r="T23" s="45">
        <f t="shared" si="4"/>
        <v>4008</v>
      </c>
      <c r="U23" s="46">
        <f t="shared" si="5"/>
        <v>96.191999999999993</v>
      </c>
      <c r="V23" s="46">
        <f t="shared" si="6"/>
        <v>4.008</v>
      </c>
      <c r="W23" s="96">
        <v>6.4</v>
      </c>
      <c r="X23" s="96">
        <f>W23</f>
        <v>6.4</v>
      </c>
      <c r="Y23" s="97" t="s">
        <v>169</v>
      </c>
      <c r="Z23" s="158">
        <v>0</v>
      </c>
      <c r="AA23" s="158">
        <v>1026</v>
      </c>
      <c r="AB23" s="158">
        <v>1186</v>
      </c>
      <c r="AC23" s="158">
        <v>1185</v>
      </c>
      <c r="AD23" s="158">
        <v>1187</v>
      </c>
      <c r="AE23" s="158">
        <v>0</v>
      </c>
      <c r="AF23" s="47" t="s">
        <v>90</v>
      </c>
      <c r="AG23" s="47" t="s">
        <v>90</v>
      </c>
      <c r="AH23" s="98" t="s">
        <v>90</v>
      </c>
      <c r="AI23" s="103">
        <v>15448244</v>
      </c>
      <c r="AJ23" s="45">
        <f t="shared" si="7"/>
        <v>1217</v>
      </c>
      <c r="AK23" s="48">
        <f t="shared" si="8"/>
        <v>303.64271457085829</v>
      </c>
      <c r="AL23" s="155">
        <v>0</v>
      </c>
      <c r="AM23" s="155">
        <v>1</v>
      </c>
      <c r="AN23" s="155">
        <v>1</v>
      </c>
      <c r="AO23" s="155">
        <v>1</v>
      </c>
      <c r="AP23" s="155">
        <v>1</v>
      </c>
      <c r="AQ23" s="155">
        <v>0</v>
      </c>
      <c r="AR23" s="155">
        <v>0</v>
      </c>
      <c r="AS23" s="158"/>
      <c r="AT23" s="158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357">
        <v>43224</v>
      </c>
      <c r="B24" s="40">
        <v>2.4583333333333299</v>
      </c>
      <c r="C24" s="40">
        <v>0.5</v>
      </c>
      <c r="D24" s="156">
        <v>3</v>
      </c>
      <c r="E24" s="154">
        <f t="shared" si="2"/>
        <v>2.1126760563380285</v>
      </c>
      <c r="F24" s="154">
        <v>5</v>
      </c>
      <c r="G24" s="118">
        <v>75</v>
      </c>
      <c r="H24" s="154">
        <f t="shared" si="0"/>
        <v>52.816901408450704</v>
      </c>
      <c r="I24" s="154">
        <v>73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7">
        <v>131</v>
      </c>
      <c r="R24" s="157"/>
      <c r="S24" s="157">
        <v>93412678</v>
      </c>
      <c r="T24" s="45">
        <f t="shared" si="4"/>
        <v>3742</v>
      </c>
      <c r="U24" s="46">
        <f>T24*24/1000</f>
        <v>89.808000000000007</v>
      </c>
      <c r="V24" s="46">
        <f t="shared" si="6"/>
        <v>3.742</v>
      </c>
      <c r="W24" s="96">
        <v>5.9</v>
      </c>
      <c r="X24" s="96">
        <f t="shared" si="1"/>
        <v>5.9</v>
      </c>
      <c r="Y24" s="97" t="s">
        <v>169</v>
      </c>
      <c r="Z24" s="158">
        <v>0</v>
      </c>
      <c r="AA24" s="158">
        <v>1027</v>
      </c>
      <c r="AB24" s="158">
        <v>1186</v>
      </c>
      <c r="AC24" s="158">
        <v>1185</v>
      </c>
      <c r="AD24" s="158">
        <v>1187</v>
      </c>
      <c r="AE24" s="158">
        <v>0</v>
      </c>
      <c r="AF24" s="47" t="s">
        <v>90</v>
      </c>
      <c r="AG24" s="47" t="s">
        <v>90</v>
      </c>
      <c r="AH24" s="98" t="s">
        <v>90</v>
      </c>
      <c r="AI24" s="103">
        <v>15449396</v>
      </c>
      <c r="AJ24" s="45">
        <f t="shared" si="7"/>
        <v>1152</v>
      </c>
      <c r="AK24" s="48">
        <f t="shared" si="8"/>
        <v>307.85676109032602</v>
      </c>
      <c r="AL24" s="155">
        <v>0</v>
      </c>
      <c r="AM24" s="155">
        <v>1</v>
      </c>
      <c r="AN24" s="155">
        <v>1</v>
      </c>
      <c r="AO24" s="155">
        <v>1</v>
      </c>
      <c r="AP24" s="155">
        <v>1</v>
      </c>
      <c r="AQ24" s="155">
        <v>0</v>
      </c>
      <c r="AR24" s="155">
        <v>0</v>
      </c>
      <c r="AS24" s="158"/>
      <c r="AT24" s="158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357">
        <v>43224</v>
      </c>
      <c r="B25" s="40">
        <v>2.5</v>
      </c>
      <c r="C25" s="40">
        <v>0.54166666666666696</v>
      </c>
      <c r="D25" s="156">
        <v>3</v>
      </c>
      <c r="E25" s="154">
        <f t="shared" si="2"/>
        <v>2.1126760563380285</v>
      </c>
      <c r="F25" s="154">
        <v>4</v>
      </c>
      <c r="G25" s="118">
        <v>75</v>
      </c>
      <c r="H25" s="154">
        <f t="shared" si="0"/>
        <v>52.816901408450704</v>
      </c>
      <c r="I25" s="154">
        <v>70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7">
        <v>127</v>
      </c>
      <c r="R25" s="157"/>
      <c r="S25" s="157">
        <v>93416928</v>
      </c>
      <c r="T25" s="45">
        <f t="shared" si="4"/>
        <v>4250</v>
      </c>
      <c r="U25" s="46">
        <f>T25*24/1000</f>
        <v>102</v>
      </c>
      <c r="V25" s="46">
        <f t="shared" si="6"/>
        <v>4.25</v>
      </c>
      <c r="W25" s="96">
        <v>5.3</v>
      </c>
      <c r="X25" s="96">
        <f t="shared" si="1"/>
        <v>5.3</v>
      </c>
      <c r="Y25" s="97" t="s">
        <v>169</v>
      </c>
      <c r="Z25" s="158">
        <v>0</v>
      </c>
      <c r="AA25" s="158">
        <v>1027</v>
      </c>
      <c r="AB25" s="158">
        <v>1186</v>
      </c>
      <c r="AC25" s="158">
        <v>1185</v>
      </c>
      <c r="AD25" s="158">
        <v>1187</v>
      </c>
      <c r="AE25" s="158">
        <v>0</v>
      </c>
      <c r="AF25" s="47" t="s">
        <v>90</v>
      </c>
      <c r="AG25" s="47" t="s">
        <v>90</v>
      </c>
      <c r="AH25" s="98" t="s">
        <v>90</v>
      </c>
      <c r="AI25" s="103">
        <v>15450602</v>
      </c>
      <c r="AJ25" s="45">
        <f t="shared" si="7"/>
        <v>1206</v>
      </c>
      <c r="AK25" s="48">
        <f t="shared" si="8"/>
        <v>283.76470588235293</v>
      </c>
      <c r="AL25" s="155">
        <v>0</v>
      </c>
      <c r="AM25" s="155">
        <v>1</v>
      </c>
      <c r="AN25" s="155">
        <v>1</v>
      </c>
      <c r="AO25" s="155">
        <v>1</v>
      </c>
      <c r="AP25" s="155">
        <v>1</v>
      </c>
      <c r="AQ25" s="155">
        <v>0</v>
      </c>
      <c r="AR25" s="155">
        <v>0</v>
      </c>
      <c r="AS25" s="158"/>
      <c r="AT25" s="158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57">
        <v>43224</v>
      </c>
      <c r="B26" s="40">
        <v>2.5416666666666701</v>
      </c>
      <c r="C26" s="40">
        <v>0.58333333333333404</v>
      </c>
      <c r="D26" s="156">
        <v>3</v>
      </c>
      <c r="E26" s="154">
        <f t="shared" si="2"/>
        <v>2.1126760563380285</v>
      </c>
      <c r="F26" s="154">
        <v>4</v>
      </c>
      <c r="G26" s="118">
        <v>76</v>
      </c>
      <c r="H26" s="154">
        <f>G26/1.42</f>
        <v>53.521126760563384</v>
      </c>
      <c r="I26" s="154">
        <v>71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7">
        <v>125</v>
      </c>
      <c r="R26" s="157"/>
      <c r="S26" s="157">
        <v>93421208</v>
      </c>
      <c r="T26" s="45">
        <f t="shared" si="4"/>
        <v>4280</v>
      </c>
      <c r="U26" s="46">
        <f t="shared" si="5"/>
        <v>102.72</v>
      </c>
      <c r="V26" s="46">
        <f t="shared" si="6"/>
        <v>4.28</v>
      </c>
      <c r="W26" s="96">
        <v>4.8</v>
      </c>
      <c r="X26" s="96">
        <f t="shared" si="1"/>
        <v>4.8</v>
      </c>
      <c r="Y26" s="97" t="s">
        <v>169</v>
      </c>
      <c r="Z26" s="158">
        <v>0</v>
      </c>
      <c r="AA26" s="158">
        <v>1016</v>
      </c>
      <c r="AB26" s="158">
        <v>1187</v>
      </c>
      <c r="AC26" s="158">
        <v>1185</v>
      </c>
      <c r="AD26" s="158">
        <v>1187</v>
      </c>
      <c r="AE26" s="158">
        <v>0</v>
      </c>
      <c r="AF26" s="47" t="s">
        <v>90</v>
      </c>
      <c r="AG26" s="47" t="s">
        <v>90</v>
      </c>
      <c r="AH26" s="98" t="s">
        <v>90</v>
      </c>
      <c r="AI26" s="103">
        <v>15451758</v>
      </c>
      <c r="AJ26" s="45">
        <f t="shared" si="7"/>
        <v>1156</v>
      </c>
      <c r="AK26" s="48">
        <f t="shared" si="8"/>
        <v>270.09345794392522</v>
      </c>
      <c r="AL26" s="155">
        <v>0</v>
      </c>
      <c r="AM26" s="155">
        <v>1</v>
      </c>
      <c r="AN26" s="155">
        <v>1</v>
      </c>
      <c r="AO26" s="155">
        <v>1</v>
      </c>
      <c r="AP26" s="155">
        <v>1</v>
      </c>
      <c r="AQ26" s="155">
        <v>0</v>
      </c>
      <c r="AR26" s="155">
        <v>0</v>
      </c>
      <c r="AS26" s="158"/>
      <c r="AT26" s="158">
        <f t="shared" si="9"/>
        <v>0</v>
      </c>
      <c r="AU26" s="119">
        <v>1.0900000000000001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57">
        <v>43224</v>
      </c>
      <c r="B27" s="40">
        <v>2.5833333333333299</v>
      </c>
      <c r="C27" s="40">
        <v>0.625</v>
      </c>
      <c r="D27" s="156">
        <v>3</v>
      </c>
      <c r="E27" s="154">
        <f t="shared" si="2"/>
        <v>2.1126760563380285</v>
      </c>
      <c r="F27" s="154">
        <v>3</v>
      </c>
      <c r="G27" s="118">
        <v>76</v>
      </c>
      <c r="H27" s="154">
        <f>G27/1.42</f>
        <v>53.521126760563384</v>
      </c>
      <c r="I27" s="154">
        <v>73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7">
        <v>128</v>
      </c>
      <c r="R27" s="157"/>
      <c r="S27" s="157">
        <v>93421208</v>
      </c>
      <c r="T27" s="45">
        <f t="shared" si="4"/>
        <v>0</v>
      </c>
      <c r="U27" s="46">
        <f t="shared" si="5"/>
        <v>0</v>
      </c>
      <c r="V27" s="46">
        <f t="shared" si="6"/>
        <v>0</v>
      </c>
      <c r="W27" s="96">
        <v>4.5</v>
      </c>
      <c r="X27" s="96">
        <f t="shared" si="1"/>
        <v>4.5</v>
      </c>
      <c r="Y27" s="97" t="s">
        <v>169</v>
      </c>
      <c r="Z27" s="158">
        <v>0</v>
      </c>
      <c r="AA27" s="158">
        <v>1015</v>
      </c>
      <c r="AB27" s="158">
        <v>1187</v>
      </c>
      <c r="AC27" s="158">
        <v>1185</v>
      </c>
      <c r="AD27" s="158">
        <v>1187</v>
      </c>
      <c r="AE27" s="158">
        <v>0</v>
      </c>
      <c r="AF27" s="47" t="s">
        <v>90</v>
      </c>
      <c r="AG27" s="47" t="s">
        <v>90</v>
      </c>
      <c r="AH27" s="98" t="s">
        <v>90</v>
      </c>
      <c r="AI27" s="103">
        <v>15452875</v>
      </c>
      <c r="AJ27" s="45">
        <f t="shared" si="7"/>
        <v>1117</v>
      </c>
      <c r="AK27" s="48" t="e">
        <f t="shared" si="8"/>
        <v>#DIV/0!</v>
      </c>
      <c r="AL27" s="155">
        <v>0</v>
      </c>
      <c r="AM27" s="155">
        <v>1</v>
      </c>
      <c r="AN27" s="155">
        <v>1</v>
      </c>
      <c r="AO27" s="155">
        <v>1</v>
      </c>
      <c r="AP27" s="155">
        <v>1</v>
      </c>
      <c r="AQ27" s="155">
        <v>0</v>
      </c>
      <c r="AR27" s="155">
        <v>0</v>
      </c>
      <c r="AS27" s="158"/>
      <c r="AT27" s="158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57">
        <v>43224</v>
      </c>
      <c r="B28" s="40">
        <v>2.625</v>
      </c>
      <c r="C28" s="40">
        <v>0.66666666666666696</v>
      </c>
      <c r="D28" s="156">
        <v>3</v>
      </c>
      <c r="E28" s="154">
        <f t="shared" si="2"/>
        <v>2.1126760563380285</v>
      </c>
      <c r="F28" s="154">
        <v>2</v>
      </c>
      <c r="G28" s="118">
        <v>76</v>
      </c>
      <c r="H28" s="154">
        <f t="shared" si="0"/>
        <v>53.521126760563384</v>
      </c>
      <c r="I28" s="154">
        <v>73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7">
        <v>128</v>
      </c>
      <c r="R28" s="157"/>
      <c r="S28" s="157">
        <v>93421208</v>
      </c>
      <c r="T28" s="45">
        <f t="shared" si="4"/>
        <v>0</v>
      </c>
      <c r="U28" s="46">
        <f t="shared" si="5"/>
        <v>0</v>
      </c>
      <c r="V28" s="46">
        <f t="shared" si="6"/>
        <v>0</v>
      </c>
      <c r="W28" s="96">
        <v>4</v>
      </c>
      <c r="X28" s="96">
        <f t="shared" si="1"/>
        <v>4</v>
      </c>
      <c r="Y28" s="97" t="s">
        <v>169</v>
      </c>
      <c r="Z28" s="158">
        <v>0</v>
      </c>
      <c r="AA28" s="158">
        <v>1015</v>
      </c>
      <c r="AB28" s="158">
        <v>1187</v>
      </c>
      <c r="AC28" s="158">
        <v>1185</v>
      </c>
      <c r="AD28" s="158">
        <v>1187</v>
      </c>
      <c r="AE28" s="158">
        <v>0</v>
      </c>
      <c r="AF28" s="47" t="s">
        <v>90</v>
      </c>
      <c r="AG28" s="47" t="s">
        <v>90</v>
      </c>
      <c r="AH28" s="98" t="s">
        <v>90</v>
      </c>
      <c r="AI28" s="103">
        <v>15454054</v>
      </c>
      <c r="AJ28" s="45">
        <f>IF(ISBLANK(AI28),"-",AI28-AI27)</f>
        <v>1179</v>
      </c>
      <c r="AK28" s="48" t="e">
        <f t="shared" si="8"/>
        <v>#DIV/0!</v>
      </c>
      <c r="AL28" s="155">
        <v>0</v>
      </c>
      <c r="AM28" s="155">
        <v>1</v>
      </c>
      <c r="AN28" s="155">
        <v>1</v>
      </c>
      <c r="AO28" s="155">
        <v>1</v>
      </c>
      <c r="AP28" s="155">
        <v>1</v>
      </c>
      <c r="AQ28" s="155">
        <v>0</v>
      </c>
      <c r="AR28" s="155">
        <v>0</v>
      </c>
      <c r="AS28" s="158"/>
      <c r="AT28" s="158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357">
        <v>43224</v>
      </c>
      <c r="B29" s="40">
        <v>2.6666666666666701</v>
      </c>
      <c r="C29" s="40">
        <v>0.70833333333333404</v>
      </c>
      <c r="D29" s="156">
        <v>3</v>
      </c>
      <c r="E29" s="154">
        <f t="shared" si="2"/>
        <v>2.1126760563380285</v>
      </c>
      <c r="F29" s="154">
        <v>1</v>
      </c>
      <c r="G29" s="118">
        <v>74</v>
      </c>
      <c r="H29" s="154">
        <f t="shared" si="0"/>
        <v>52.112676056338032</v>
      </c>
      <c r="I29" s="154">
        <v>71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7">
        <v>127</v>
      </c>
      <c r="R29" s="157"/>
      <c r="S29" s="157">
        <v>93421208</v>
      </c>
      <c r="T29" s="45">
        <f t="shared" si="4"/>
        <v>0</v>
      </c>
      <c r="U29" s="46">
        <f t="shared" si="5"/>
        <v>0</v>
      </c>
      <c r="V29" s="46">
        <f t="shared" si="6"/>
        <v>0</v>
      </c>
      <c r="W29" s="96">
        <v>3.5</v>
      </c>
      <c r="X29" s="96">
        <f t="shared" si="1"/>
        <v>3.5</v>
      </c>
      <c r="Y29" s="97" t="s">
        <v>169</v>
      </c>
      <c r="Z29" s="158">
        <v>0</v>
      </c>
      <c r="AA29" s="158">
        <v>1015</v>
      </c>
      <c r="AB29" s="158">
        <v>1187</v>
      </c>
      <c r="AC29" s="158">
        <v>1185</v>
      </c>
      <c r="AD29" s="158">
        <v>1187</v>
      </c>
      <c r="AE29" s="158">
        <v>0</v>
      </c>
      <c r="AF29" s="47" t="s">
        <v>90</v>
      </c>
      <c r="AG29" s="47" t="s">
        <v>90</v>
      </c>
      <c r="AH29" s="98" t="s">
        <v>90</v>
      </c>
      <c r="AI29" s="103">
        <v>15455236</v>
      </c>
      <c r="AJ29" s="45">
        <f t="shared" si="7"/>
        <v>1182</v>
      </c>
      <c r="AK29" s="48" t="e">
        <f>AJ28/V29</f>
        <v>#DIV/0!</v>
      </c>
      <c r="AL29" s="155">
        <v>0</v>
      </c>
      <c r="AM29" s="155">
        <v>1</v>
      </c>
      <c r="AN29" s="155">
        <v>1</v>
      </c>
      <c r="AO29" s="155">
        <v>1</v>
      </c>
      <c r="AP29" s="155">
        <v>1</v>
      </c>
      <c r="AQ29" s="155">
        <v>0</v>
      </c>
      <c r="AR29" s="155">
        <v>0</v>
      </c>
      <c r="AS29" s="158"/>
      <c r="AT29" s="158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357">
        <v>43224</v>
      </c>
      <c r="B30" s="40">
        <v>2.7083333333333299</v>
      </c>
      <c r="C30" s="40">
        <v>0.750000000000002</v>
      </c>
      <c r="D30" s="156">
        <v>3</v>
      </c>
      <c r="E30" s="154">
        <f t="shared" si="2"/>
        <v>2.1126760563380285</v>
      </c>
      <c r="F30" s="154">
        <v>0</v>
      </c>
      <c r="G30" s="118">
        <v>74</v>
      </c>
      <c r="H30" s="154">
        <f t="shared" si="0"/>
        <v>52.112676056338032</v>
      </c>
      <c r="I30" s="154">
        <v>70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7">
        <v>127</v>
      </c>
      <c r="R30" s="157"/>
      <c r="S30" s="157">
        <v>93421208</v>
      </c>
      <c r="T30" s="45">
        <f t="shared" si="4"/>
        <v>0</v>
      </c>
      <c r="U30" s="46">
        <f t="shared" si="5"/>
        <v>0</v>
      </c>
      <c r="V30" s="46">
        <f t="shared" si="6"/>
        <v>0</v>
      </c>
      <c r="W30" s="96">
        <v>3.2</v>
      </c>
      <c r="X30" s="96">
        <f t="shared" si="1"/>
        <v>3.2</v>
      </c>
      <c r="Y30" s="97" t="s">
        <v>169</v>
      </c>
      <c r="Z30" s="158">
        <v>0</v>
      </c>
      <c r="AA30" s="158">
        <v>1016</v>
      </c>
      <c r="AB30" s="158">
        <v>1187</v>
      </c>
      <c r="AC30" s="158">
        <v>1185</v>
      </c>
      <c r="AD30" s="158">
        <v>1187</v>
      </c>
      <c r="AE30" s="158">
        <v>0</v>
      </c>
      <c r="AF30" s="47" t="s">
        <v>90</v>
      </c>
      <c r="AG30" s="47" t="s">
        <v>90</v>
      </c>
      <c r="AH30" s="98" t="s">
        <v>90</v>
      </c>
      <c r="AI30" s="103">
        <v>15456391</v>
      </c>
      <c r="AJ30" s="45">
        <f t="shared" si="7"/>
        <v>1155</v>
      </c>
      <c r="AK30" s="48" t="e">
        <f>AJ29/V30</f>
        <v>#DIV/0!</v>
      </c>
      <c r="AL30" s="155">
        <v>0</v>
      </c>
      <c r="AM30" s="155">
        <v>1</v>
      </c>
      <c r="AN30" s="155">
        <v>1</v>
      </c>
      <c r="AO30" s="155">
        <v>1</v>
      </c>
      <c r="AP30" s="155">
        <v>1</v>
      </c>
      <c r="AQ30" s="155">
        <v>0</v>
      </c>
      <c r="AR30" s="155">
        <v>0</v>
      </c>
      <c r="AS30" s="158"/>
      <c r="AT30" s="158">
        <f t="shared" si="9"/>
        <v>0</v>
      </c>
      <c r="AU30" s="159">
        <v>1.21</v>
      </c>
      <c r="AV30" s="50" t="s">
        <v>124</v>
      </c>
      <c r="AY30" s="55" t="s">
        <v>114</v>
      </c>
      <c r="AZ30" s="55">
        <v>101.325</v>
      </c>
      <c r="BB30" s="74" t="s">
        <v>143</v>
      </c>
    </row>
    <row r="31" spans="1:54" x14ac:dyDescent="0.35">
      <c r="A31" s="357">
        <v>43224</v>
      </c>
      <c r="B31" s="40">
        <v>2.75</v>
      </c>
      <c r="C31" s="40">
        <v>0.79166666666666896</v>
      </c>
      <c r="D31" s="156">
        <v>3</v>
      </c>
      <c r="E31" s="154">
        <f t="shared" si="2"/>
        <v>2.1126760563380285</v>
      </c>
      <c r="F31" s="154">
        <v>-1</v>
      </c>
      <c r="G31" s="118">
        <v>75</v>
      </c>
      <c r="H31" s="154">
        <f t="shared" si="0"/>
        <v>52.816901408450704</v>
      </c>
      <c r="I31" s="154">
        <v>70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7">
        <v>128</v>
      </c>
      <c r="R31" s="157"/>
      <c r="S31" s="157">
        <v>93421208</v>
      </c>
      <c r="T31" s="45">
        <f t="shared" si="4"/>
        <v>0</v>
      </c>
      <c r="U31" s="46">
        <f t="shared" si="5"/>
        <v>0</v>
      </c>
      <c r="V31" s="46">
        <f t="shared" si="6"/>
        <v>0</v>
      </c>
      <c r="W31" s="96">
        <v>2.8</v>
      </c>
      <c r="X31" s="96">
        <f t="shared" si="1"/>
        <v>2.8</v>
      </c>
      <c r="Y31" s="97" t="s">
        <v>169</v>
      </c>
      <c r="Z31" s="158">
        <v>0</v>
      </c>
      <c r="AA31" s="158">
        <v>1016</v>
      </c>
      <c r="AB31" s="158">
        <v>1187</v>
      </c>
      <c r="AC31" s="158">
        <v>1185</v>
      </c>
      <c r="AD31" s="158">
        <v>1188</v>
      </c>
      <c r="AE31" s="158">
        <v>0</v>
      </c>
      <c r="AF31" s="47" t="s">
        <v>90</v>
      </c>
      <c r="AG31" s="47" t="s">
        <v>90</v>
      </c>
      <c r="AH31" s="98" t="s">
        <v>90</v>
      </c>
      <c r="AI31" s="103">
        <v>15457585</v>
      </c>
      <c r="AJ31" s="45">
        <f t="shared" si="7"/>
        <v>1194</v>
      </c>
      <c r="AK31" s="48" t="e">
        <f t="shared" si="8"/>
        <v>#DIV/0!</v>
      </c>
      <c r="AL31" s="155">
        <v>0</v>
      </c>
      <c r="AM31" s="155">
        <v>1</v>
      </c>
      <c r="AN31" s="155">
        <v>1</v>
      </c>
      <c r="AO31" s="155">
        <v>1</v>
      </c>
      <c r="AP31" s="155">
        <v>1</v>
      </c>
      <c r="AQ31" s="155">
        <v>0</v>
      </c>
      <c r="AR31" s="155">
        <v>0</v>
      </c>
      <c r="AS31" s="158"/>
      <c r="AT31" s="158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357">
        <v>43224</v>
      </c>
      <c r="B32" s="40">
        <v>2.7916666666666701</v>
      </c>
      <c r="C32" s="40">
        <v>0.83333333333333703</v>
      </c>
      <c r="D32" s="156">
        <v>3</v>
      </c>
      <c r="E32" s="154">
        <f t="shared" si="2"/>
        <v>2.1126760563380285</v>
      </c>
      <c r="F32" s="154">
        <v>-2</v>
      </c>
      <c r="G32" s="118">
        <v>75</v>
      </c>
      <c r="H32" s="154">
        <f t="shared" si="0"/>
        <v>52.816901408450704</v>
      </c>
      <c r="I32" s="154">
        <v>70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7">
        <v>127</v>
      </c>
      <c r="R32" s="157"/>
      <c r="S32" s="157">
        <v>93421208</v>
      </c>
      <c r="T32" s="45">
        <f t="shared" si="4"/>
        <v>0</v>
      </c>
      <c r="U32" s="46">
        <f t="shared" si="5"/>
        <v>0</v>
      </c>
      <c r="V32" s="46">
        <f t="shared" si="6"/>
        <v>0</v>
      </c>
      <c r="W32" s="96">
        <v>2.5</v>
      </c>
      <c r="X32" s="96">
        <f t="shared" si="1"/>
        <v>2.5</v>
      </c>
      <c r="Y32" s="97" t="s">
        <v>169</v>
      </c>
      <c r="Z32" s="158">
        <v>0</v>
      </c>
      <c r="AA32" s="158">
        <v>1016</v>
      </c>
      <c r="AB32" s="158">
        <v>1187</v>
      </c>
      <c r="AC32" s="158">
        <v>1185</v>
      </c>
      <c r="AD32" s="158">
        <v>1187</v>
      </c>
      <c r="AE32" s="158">
        <v>0</v>
      </c>
      <c r="AF32" s="47" t="s">
        <v>90</v>
      </c>
      <c r="AG32" s="47" t="s">
        <v>90</v>
      </c>
      <c r="AH32" s="98" t="s">
        <v>90</v>
      </c>
      <c r="AI32" s="103">
        <v>15458742</v>
      </c>
      <c r="AJ32" s="45">
        <f t="shared" si="7"/>
        <v>1157</v>
      </c>
      <c r="AK32" s="48" t="e">
        <f t="shared" si="8"/>
        <v>#DIV/0!</v>
      </c>
      <c r="AL32" s="155">
        <v>0</v>
      </c>
      <c r="AM32" s="155">
        <v>1</v>
      </c>
      <c r="AN32" s="155">
        <v>1</v>
      </c>
      <c r="AO32" s="155">
        <v>1</v>
      </c>
      <c r="AP32" s="155">
        <v>1</v>
      </c>
      <c r="AQ32" s="155">
        <v>0</v>
      </c>
      <c r="AR32" s="155">
        <v>0</v>
      </c>
      <c r="AS32" s="158"/>
      <c r="AT32" s="158">
        <v>0</v>
      </c>
      <c r="AU32" s="49"/>
      <c r="AV32" s="50" t="s">
        <v>124</v>
      </c>
      <c r="AY32" s="308" t="s">
        <v>115</v>
      </c>
      <c r="AZ32" s="308"/>
      <c r="BB32" s="74" t="s">
        <v>156</v>
      </c>
    </row>
    <row r="33" spans="1:54" x14ac:dyDescent="0.35">
      <c r="A33" s="357">
        <v>43224</v>
      </c>
      <c r="B33" s="40">
        <v>2.8333333333333299</v>
      </c>
      <c r="C33" s="40">
        <v>0.875</v>
      </c>
      <c r="D33" s="156">
        <v>3</v>
      </c>
      <c r="E33" s="154">
        <f t="shared" si="2"/>
        <v>2.1126760563380285</v>
      </c>
      <c r="F33" s="154">
        <v>-2</v>
      </c>
      <c r="G33" s="118">
        <v>74</v>
      </c>
      <c r="H33" s="154">
        <f t="shared" si="0"/>
        <v>52.112676056338032</v>
      </c>
      <c r="I33" s="154">
        <v>70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7">
        <v>127</v>
      </c>
      <c r="R33" s="157"/>
      <c r="S33" s="157">
        <v>93452074</v>
      </c>
      <c r="T33" s="45">
        <f t="shared" si="4"/>
        <v>30866</v>
      </c>
      <c r="U33" s="46">
        <f t="shared" si="5"/>
        <v>740.78399999999999</v>
      </c>
      <c r="V33" s="46">
        <f t="shared" si="6"/>
        <v>30.866</v>
      </c>
      <c r="W33" s="96">
        <v>2.1</v>
      </c>
      <c r="X33" s="96">
        <f t="shared" si="1"/>
        <v>2.1</v>
      </c>
      <c r="Y33" s="97" t="s">
        <v>169</v>
      </c>
      <c r="Z33" s="158">
        <v>0</v>
      </c>
      <c r="AA33" s="158">
        <v>1015</v>
      </c>
      <c r="AB33" s="158">
        <v>1187</v>
      </c>
      <c r="AC33" s="158">
        <v>1185</v>
      </c>
      <c r="AD33" s="158">
        <v>1187</v>
      </c>
      <c r="AE33" s="158">
        <v>0</v>
      </c>
      <c r="AF33" s="47" t="s">
        <v>90</v>
      </c>
      <c r="AG33" s="47" t="s">
        <v>90</v>
      </c>
      <c r="AH33" s="98" t="s">
        <v>90</v>
      </c>
      <c r="AI33" s="103">
        <v>15459916</v>
      </c>
      <c r="AJ33" s="45">
        <f t="shared" si="7"/>
        <v>1174</v>
      </c>
      <c r="AK33" s="48">
        <f t="shared" si="8"/>
        <v>38.035378733881942</v>
      </c>
      <c r="AL33" s="155">
        <v>0</v>
      </c>
      <c r="AM33" s="155">
        <v>1</v>
      </c>
      <c r="AN33" s="155">
        <v>1</v>
      </c>
      <c r="AO33" s="155">
        <v>1</v>
      </c>
      <c r="AP33" s="155">
        <v>1</v>
      </c>
      <c r="AQ33" s="155">
        <v>0</v>
      </c>
      <c r="AR33" s="155">
        <v>0</v>
      </c>
      <c r="AS33" s="158"/>
      <c r="AT33" s="158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57">
        <v>43224</v>
      </c>
      <c r="B34" s="40">
        <v>2.875</v>
      </c>
      <c r="C34" s="40">
        <v>0.91666666666667096</v>
      </c>
      <c r="D34" s="156">
        <v>3</v>
      </c>
      <c r="E34" s="154">
        <f t="shared" si="2"/>
        <v>2.1126760563380285</v>
      </c>
      <c r="F34" s="154">
        <v>0</v>
      </c>
      <c r="G34" s="118">
        <v>75</v>
      </c>
      <c r="H34" s="154">
        <f t="shared" si="0"/>
        <v>52.816901408450704</v>
      </c>
      <c r="I34" s="154">
        <v>72</v>
      </c>
      <c r="J34" s="41" t="s">
        <v>88</v>
      </c>
      <c r="K34" s="41">
        <f t="shared" si="3"/>
        <v>49.295774647887328</v>
      </c>
      <c r="L34" s="42">
        <f t="shared" si="13"/>
        <v>50.70422535211268</v>
      </c>
      <c r="M34" s="41">
        <f t="shared" si="12"/>
        <v>54.929577464788736</v>
      </c>
      <c r="N34" s="43">
        <v>14</v>
      </c>
      <c r="O34" s="44" t="s">
        <v>116</v>
      </c>
      <c r="P34" s="44">
        <v>12.6</v>
      </c>
      <c r="Q34" s="157">
        <v>129</v>
      </c>
      <c r="R34" s="157"/>
      <c r="S34" s="157">
        <v>93456717</v>
      </c>
      <c r="T34" s="45">
        <f t="shared" si="4"/>
        <v>4643</v>
      </c>
      <c r="U34" s="46">
        <f t="shared" si="5"/>
        <v>111.432</v>
      </c>
      <c r="V34" s="46">
        <f t="shared" si="6"/>
        <v>4.6429999999999998</v>
      </c>
      <c r="W34" s="96">
        <v>1.9</v>
      </c>
      <c r="X34" s="96">
        <f t="shared" si="1"/>
        <v>1.9</v>
      </c>
      <c r="Y34" s="97" t="s">
        <v>169</v>
      </c>
      <c r="Z34" s="158">
        <v>0</v>
      </c>
      <c r="AA34" s="158">
        <v>1015</v>
      </c>
      <c r="AB34" s="158">
        <v>1187</v>
      </c>
      <c r="AC34" s="158">
        <v>1185</v>
      </c>
      <c r="AD34" s="158">
        <v>1187</v>
      </c>
      <c r="AE34" s="158">
        <v>0</v>
      </c>
      <c r="AF34" s="47" t="s">
        <v>90</v>
      </c>
      <c r="AG34" s="47" t="s">
        <v>90</v>
      </c>
      <c r="AH34" s="98" t="s">
        <v>90</v>
      </c>
      <c r="AI34" s="103">
        <v>15461104</v>
      </c>
      <c r="AJ34" s="45">
        <f t="shared" si="7"/>
        <v>1188</v>
      </c>
      <c r="AK34" s="48">
        <f t="shared" si="8"/>
        <v>255.86905018307129</v>
      </c>
      <c r="AL34" s="155">
        <v>0</v>
      </c>
      <c r="AM34" s="155">
        <v>1</v>
      </c>
      <c r="AN34" s="155">
        <v>1</v>
      </c>
      <c r="AO34" s="155">
        <v>1</v>
      </c>
      <c r="AP34" s="155">
        <v>1</v>
      </c>
      <c r="AQ34" s="155">
        <v>0</v>
      </c>
      <c r="AR34" s="155">
        <v>0</v>
      </c>
      <c r="AS34" s="158"/>
      <c r="AT34" s="158">
        <f>AS34-AS33</f>
        <v>0</v>
      </c>
      <c r="AU34" s="119">
        <v>1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357">
        <v>43224</v>
      </c>
      <c r="B35" s="40">
        <v>2.9166666666666701</v>
      </c>
      <c r="C35" s="40">
        <v>0.95833333333333803</v>
      </c>
      <c r="D35" s="156">
        <v>3</v>
      </c>
      <c r="E35" s="154">
        <f t="shared" si="2"/>
        <v>2.1126760563380285</v>
      </c>
      <c r="F35" s="154">
        <v>1</v>
      </c>
      <c r="G35" s="118">
        <v>74</v>
      </c>
      <c r="H35" s="154">
        <f t="shared" si="0"/>
        <v>52.112676056338032</v>
      </c>
      <c r="I35" s="154">
        <v>74</v>
      </c>
      <c r="J35" s="41" t="s">
        <v>88</v>
      </c>
      <c r="K35" s="41">
        <f>L35-(2/1.42)</f>
        <v>47.183098591549296</v>
      </c>
      <c r="L35" s="42">
        <f>(G35-5)/1.42</f>
        <v>48.591549295774648</v>
      </c>
      <c r="M35" s="41">
        <f t="shared" si="12"/>
        <v>52.816901408450704</v>
      </c>
      <c r="N35" s="43">
        <v>14</v>
      </c>
      <c r="O35" s="44" t="s">
        <v>116</v>
      </c>
      <c r="P35" s="44">
        <v>11.9</v>
      </c>
      <c r="Q35" s="157">
        <v>131</v>
      </c>
      <c r="R35" s="157"/>
      <c r="S35" s="157">
        <v>93460901</v>
      </c>
      <c r="T35" s="45">
        <f t="shared" si="4"/>
        <v>4184</v>
      </c>
      <c r="U35" s="46">
        <f t="shared" si="5"/>
        <v>100.416</v>
      </c>
      <c r="V35" s="46">
        <f t="shared" si="6"/>
        <v>4.1840000000000002</v>
      </c>
      <c r="W35" s="96">
        <v>2</v>
      </c>
      <c r="X35" s="96">
        <f t="shared" si="1"/>
        <v>2</v>
      </c>
      <c r="Y35" s="97" t="s">
        <v>138</v>
      </c>
      <c r="Z35" s="158">
        <v>0</v>
      </c>
      <c r="AA35" s="158">
        <v>0</v>
      </c>
      <c r="AB35" s="158">
        <v>1187</v>
      </c>
      <c r="AC35" s="158">
        <v>1185</v>
      </c>
      <c r="AD35" s="158">
        <v>1187</v>
      </c>
      <c r="AE35" s="158">
        <v>0</v>
      </c>
      <c r="AF35" s="47" t="s">
        <v>90</v>
      </c>
      <c r="AG35" s="47" t="s">
        <v>90</v>
      </c>
      <c r="AH35" s="98" t="s">
        <v>90</v>
      </c>
      <c r="AI35" s="103">
        <v>15462198</v>
      </c>
      <c r="AJ35" s="45">
        <f t="shared" si="7"/>
        <v>1094</v>
      </c>
      <c r="AK35" s="48">
        <f t="shared" si="8"/>
        <v>261.47227533460801</v>
      </c>
      <c r="AL35" s="155">
        <v>0</v>
      </c>
      <c r="AM35" s="155">
        <v>0</v>
      </c>
      <c r="AN35" s="155">
        <v>1</v>
      </c>
      <c r="AO35" s="155">
        <v>1</v>
      </c>
      <c r="AP35" s="155">
        <v>1</v>
      </c>
      <c r="AQ35" s="155">
        <v>0</v>
      </c>
      <c r="AR35" s="155">
        <v>0.3</v>
      </c>
      <c r="AS35" s="158"/>
      <c r="AT35" s="158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357">
        <v>43224</v>
      </c>
      <c r="B36" s="40">
        <v>2.9583333333333299</v>
      </c>
      <c r="C36" s="40">
        <v>1</v>
      </c>
      <c r="D36" s="156">
        <v>3</v>
      </c>
      <c r="E36" s="154">
        <f t="shared" si="2"/>
        <v>2.1126760563380285</v>
      </c>
      <c r="F36" s="154">
        <v>2</v>
      </c>
      <c r="G36" s="118">
        <v>74</v>
      </c>
      <c r="H36" s="154">
        <f t="shared" si="0"/>
        <v>52.112676056338032</v>
      </c>
      <c r="I36" s="154">
        <v>75</v>
      </c>
      <c r="J36" s="41" t="s">
        <v>88</v>
      </c>
      <c r="K36" s="41">
        <f t="shared" si="3"/>
        <v>47.183098591549296</v>
      </c>
      <c r="L36" s="42">
        <f>(G36-5)/1.42</f>
        <v>48.591549295774648</v>
      </c>
      <c r="M36" s="41">
        <f t="shared" si="12"/>
        <v>52.816901408450704</v>
      </c>
      <c r="N36" s="43">
        <v>14</v>
      </c>
      <c r="O36" s="44" t="s">
        <v>116</v>
      </c>
      <c r="P36" s="58">
        <v>11.5</v>
      </c>
      <c r="Q36" s="157">
        <v>137</v>
      </c>
      <c r="R36" s="157"/>
      <c r="S36" s="157">
        <v>93465104</v>
      </c>
      <c r="T36" s="45">
        <f t="shared" si="4"/>
        <v>4203</v>
      </c>
      <c r="U36" s="46">
        <f t="shared" si="5"/>
        <v>100.872</v>
      </c>
      <c r="V36" s="46">
        <f t="shared" si="6"/>
        <v>4.2030000000000003</v>
      </c>
      <c r="W36" s="96">
        <v>2.8</v>
      </c>
      <c r="X36" s="96">
        <f t="shared" si="1"/>
        <v>2.8</v>
      </c>
      <c r="Y36" s="97" t="s">
        <v>138</v>
      </c>
      <c r="Z36" s="158">
        <v>0</v>
      </c>
      <c r="AA36" s="158">
        <v>0</v>
      </c>
      <c r="AB36" s="158">
        <v>1187</v>
      </c>
      <c r="AC36" s="158">
        <v>1185</v>
      </c>
      <c r="AD36" s="158">
        <v>1187</v>
      </c>
      <c r="AE36" s="158">
        <v>0</v>
      </c>
      <c r="AF36" s="47" t="s">
        <v>90</v>
      </c>
      <c r="AG36" s="47" t="s">
        <v>90</v>
      </c>
      <c r="AH36" s="98" t="s">
        <v>90</v>
      </c>
      <c r="AI36" s="103">
        <v>15463335</v>
      </c>
      <c r="AJ36" s="45">
        <f t="shared" si="7"/>
        <v>1137</v>
      </c>
      <c r="AK36" s="48">
        <f t="shared" si="8"/>
        <v>270.52105638829408</v>
      </c>
      <c r="AL36" s="155">
        <v>0</v>
      </c>
      <c r="AM36" s="155">
        <v>0</v>
      </c>
      <c r="AN36" s="155">
        <v>1</v>
      </c>
      <c r="AO36" s="155">
        <v>1</v>
      </c>
      <c r="AP36" s="155">
        <v>1</v>
      </c>
      <c r="AQ36" s="155">
        <v>0</v>
      </c>
      <c r="AR36" s="155">
        <v>0.3</v>
      </c>
      <c r="AS36" s="158"/>
      <c r="AT36" s="158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73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09" t="s">
        <v>118</v>
      </c>
      <c r="O37" s="310"/>
      <c r="P37" s="311"/>
      <c r="Q37" s="101"/>
      <c r="R37" s="101"/>
      <c r="S37" s="101"/>
      <c r="T37" s="60">
        <f>SUM(T13:T36)</f>
        <v>103007</v>
      </c>
      <c r="U37" s="46">
        <f t="shared" si="5"/>
        <v>2472.1680000000001</v>
      </c>
      <c r="V37" s="46">
        <f t="shared" si="6"/>
        <v>103.00700000000001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27823</v>
      </c>
      <c r="AK37" s="61">
        <f>$AJ$37/$V37</f>
        <v>270.10785674759967</v>
      </c>
      <c r="AL37" s="155"/>
      <c r="AM37" s="155"/>
      <c r="AN37" s="155"/>
      <c r="AO37" s="155"/>
      <c r="AP37" s="155"/>
      <c r="AQ37" s="155"/>
      <c r="AR37" s="62"/>
      <c r="AS37" s="63">
        <f>AS36-AS11</f>
        <v>0</v>
      </c>
      <c r="AT37" s="64">
        <f>SUM(AT13:AT36)</f>
        <v>0</v>
      </c>
      <c r="AU37" s="65">
        <f>AVERAGE(AU13:AU36)</f>
        <v>1.0616666666666668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7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8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8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4"/>
      <c r="D47" s="164"/>
      <c r="E47" s="164"/>
      <c r="F47" s="164"/>
      <c r="G47" s="164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71" t="s">
        <v>185</v>
      </c>
      <c r="C48" s="172"/>
      <c r="D48" s="172"/>
      <c r="E48" s="172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2" t="s">
        <v>152</v>
      </c>
      <c r="C49" s="170"/>
      <c r="D49" s="170"/>
      <c r="E49" s="170"/>
      <c r="F49" s="161"/>
      <c r="G49" s="161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15" t="s">
        <v>164</v>
      </c>
      <c r="C50" s="143"/>
      <c r="D50" s="143"/>
      <c r="E50" s="143"/>
      <c r="F50" s="130"/>
      <c r="G50" s="130"/>
      <c r="H50" s="160"/>
      <c r="I50" s="160"/>
      <c r="J50" s="160"/>
      <c r="K50" s="160"/>
      <c r="L50" s="160"/>
      <c r="M50" s="160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32" t="s">
        <v>163</v>
      </c>
      <c r="C51" s="143"/>
      <c r="D51" s="143"/>
      <c r="E51" s="143"/>
      <c r="F51" s="130"/>
      <c r="G51" s="130"/>
      <c r="H51" s="160"/>
      <c r="I51" s="160"/>
      <c r="J51" s="160"/>
      <c r="K51" s="160"/>
      <c r="L51" s="160"/>
      <c r="M51" s="160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2" t="s">
        <v>186</v>
      </c>
      <c r="C52" s="120"/>
      <c r="D52" s="115"/>
      <c r="E52" s="115"/>
      <c r="F52" s="115"/>
      <c r="G52" s="115"/>
      <c r="H52" s="160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2" t="s">
        <v>166</v>
      </c>
      <c r="C53" s="170"/>
      <c r="D53" s="170"/>
      <c r="E53" s="170"/>
      <c r="F53" s="170"/>
      <c r="G53" s="115"/>
      <c r="H53" s="115"/>
      <c r="I53" s="115"/>
      <c r="J53" s="115"/>
      <c r="K53" s="115"/>
      <c r="L53" s="115"/>
      <c r="M53" s="115"/>
      <c r="N53" s="163"/>
      <c r="O53" s="163"/>
      <c r="P53" s="163"/>
      <c r="Q53" s="163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70" t="s">
        <v>187</v>
      </c>
      <c r="C54" s="170"/>
      <c r="D54" s="170"/>
      <c r="E54" s="170"/>
      <c r="F54" s="170"/>
      <c r="G54" s="170"/>
      <c r="H54" s="170"/>
      <c r="I54" s="170"/>
      <c r="J54" s="169"/>
      <c r="K54" s="166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70" t="s">
        <v>188</v>
      </c>
      <c r="C55" s="170"/>
      <c r="D55" s="170"/>
      <c r="E55" s="153"/>
      <c r="F55" s="153"/>
      <c r="G55" s="153"/>
      <c r="H55" s="153"/>
      <c r="I55" s="153"/>
      <c r="J55" s="169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70" t="s">
        <v>189</v>
      </c>
      <c r="C56" s="170"/>
      <c r="D56" s="170"/>
      <c r="E56" s="153"/>
      <c r="F56" s="153"/>
      <c r="G56" s="153"/>
      <c r="H56" s="153"/>
      <c r="I56" s="153"/>
      <c r="J56" s="153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70" t="s">
        <v>190</v>
      </c>
      <c r="C57" s="170"/>
      <c r="D57" s="170"/>
      <c r="E57" s="153"/>
      <c r="F57" s="153"/>
      <c r="G57" s="153"/>
      <c r="H57" s="153"/>
      <c r="I57" s="153"/>
      <c r="J57" s="153"/>
      <c r="K57" s="166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70" t="s">
        <v>191</v>
      </c>
      <c r="C58" s="170"/>
      <c r="D58" s="170"/>
      <c r="E58" s="115"/>
      <c r="F58" s="115"/>
      <c r="G58" s="115"/>
      <c r="H58" s="115"/>
      <c r="I58" s="153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222" t="s">
        <v>192</v>
      </c>
      <c r="C59" s="170"/>
      <c r="D59" s="170"/>
      <c r="E59" s="153"/>
      <c r="F59" s="153"/>
      <c r="G59" s="153"/>
      <c r="H59" s="153"/>
      <c r="I59" s="153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70" t="s">
        <v>193</v>
      </c>
      <c r="C60" s="170"/>
      <c r="D60" s="223"/>
      <c r="E60" s="223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32" t="s">
        <v>170</v>
      </c>
      <c r="C61" s="153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32" t="s">
        <v>171</v>
      </c>
      <c r="C62" s="115"/>
      <c r="D62" s="100"/>
      <c r="E62" s="100"/>
      <c r="F62" s="115"/>
      <c r="G62" s="115"/>
      <c r="H62" s="92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2" t="s">
        <v>172</v>
      </c>
      <c r="C63" s="115"/>
      <c r="D63" s="166"/>
      <c r="E63" s="166"/>
      <c r="F63" s="166"/>
      <c r="G63" s="166"/>
      <c r="H63" s="166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53" t="s">
        <v>194</v>
      </c>
      <c r="C64" s="115"/>
      <c r="D64" s="100"/>
      <c r="E64" s="100"/>
      <c r="F64" s="115"/>
      <c r="G64" s="115"/>
      <c r="H64" s="92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 t="s">
        <v>174</v>
      </c>
      <c r="C65" s="115"/>
      <c r="D65" s="166"/>
      <c r="E65" s="166"/>
      <c r="F65" s="166"/>
      <c r="G65" s="166"/>
      <c r="H65" s="166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AV65" s="86"/>
      <c r="AW65" s="86"/>
      <c r="AX65" s="86"/>
      <c r="AY65" s="86"/>
      <c r="AZ65" s="86"/>
      <c r="BA65" s="86"/>
      <c r="BB65" s="86"/>
    </row>
    <row r="66" spans="2:54" x14ac:dyDescent="0.35">
      <c r="B66" s="162" t="s">
        <v>195</v>
      </c>
      <c r="C66" s="115"/>
      <c r="D66" s="166"/>
      <c r="E66" s="166"/>
      <c r="F66" s="166"/>
      <c r="G66" s="166"/>
      <c r="H66" s="166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6"/>
      <c r="E67" s="166"/>
      <c r="F67" s="166"/>
      <c r="G67" s="166"/>
      <c r="H67" s="166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AF13:AH36 T13:V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3" name="Range1_16_1_1_1_1_1_1_2_2_2_2_2_2_2_2_2_2_2_2_2_2_2_2_2_2_2_2_2_2_2_1_2_2_2_2_2_2_2_2_2_2_3_2_2_2_2_2_2_2_2_2_2_1_1_1_1_2_2_1_1_1_1_1_1_1_1_1_1_3_1_3"/>
    <protectedRange sqref="R4:W4" name="Range1_16_1_1_1_1_1_1_2_2_2_2_2_2_2_2_2_2_2_2_2_2_2_2_2_2_2_2_2_2_2_1_2_2_2_2_2_2_2_2_2_2_3_2_2_2_2_2_2_2_2_2_2_1_1_1_1_2_2_1_1_1_1_1_1_1_1_1_1_1_1_1_1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R5:W5" name="Range1_16_1_1_1_1_1_1_2_2_2_2_2_2_2_2_2_2_2_2_2_2_2_2_2_2_2_2_2_2_2_1_2_2_2_2_2_2_2_2_2_2_3_2_2_2_2_2_2_2_2_2_2_1_1_1_1_2_2_1_1_1_1_1_1_1_1_1_1_3_1_3_2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475" priority="5" operator="containsText" text="N/A">
      <formula>NOT(ISERROR(SEARCH("N/A",Z13)))</formula>
    </cfRule>
    <cfRule type="cellIs" dxfId="474" priority="17" operator="equal">
      <formula>0</formula>
    </cfRule>
  </conditionalFormatting>
  <conditionalFormatting sqref="Z13:AG36">
    <cfRule type="cellIs" dxfId="473" priority="16" operator="greaterThanOrEqual">
      <formula>1185</formula>
    </cfRule>
  </conditionalFormatting>
  <conditionalFormatting sqref="Z13:AG36">
    <cfRule type="cellIs" dxfId="472" priority="15" operator="between">
      <formula>0.1</formula>
      <formula>1184</formula>
    </cfRule>
  </conditionalFormatting>
  <conditionalFormatting sqref="Z8:Z9 AT13:AT36 AL37:AQ37 AL13:AR36">
    <cfRule type="cellIs" dxfId="471" priority="14" operator="equal">
      <formula>0</formula>
    </cfRule>
  </conditionalFormatting>
  <conditionalFormatting sqref="Z8:Z9 AT13:AT36 AL37:AQ37 AL13:AR36">
    <cfRule type="cellIs" dxfId="470" priority="13" operator="greaterThan">
      <formula>1179</formula>
    </cfRule>
  </conditionalFormatting>
  <conditionalFormatting sqref="Z8:Z9 AT13:AT36 AL37:AQ37 AL13:AR36">
    <cfRule type="cellIs" dxfId="469" priority="12" operator="greaterThan">
      <formula>99</formula>
    </cfRule>
  </conditionalFormatting>
  <conditionalFormatting sqref="Z8:Z9 AT13:AT36 AL37:AQ37 AL13:AR36">
    <cfRule type="cellIs" dxfId="468" priority="11" operator="greaterThan">
      <formula>0.99</formula>
    </cfRule>
  </conditionalFormatting>
  <conditionalFormatting sqref="AD8:AD9">
    <cfRule type="cellIs" dxfId="467" priority="10" operator="equal">
      <formula>0</formula>
    </cfRule>
  </conditionalFormatting>
  <conditionalFormatting sqref="AD8:AD9">
    <cfRule type="cellIs" dxfId="466" priority="9" operator="greaterThan">
      <formula>1179</formula>
    </cfRule>
  </conditionalFormatting>
  <conditionalFormatting sqref="AD8:AD9">
    <cfRule type="cellIs" dxfId="465" priority="8" operator="greaterThan">
      <formula>99</formula>
    </cfRule>
  </conditionalFormatting>
  <conditionalFormatting sqref="AD8:AD9">
    <cfRule type="cellIs" dxfId="464" priority="7" operator="greaterThan">
      <formula>0.99</formula>
    </cfRule>
  </conditionalFormatting>
  <conditionalFormatting sqref="AK13:AK36">
    <cfRule type="cellIs" dxfId="463" priority="6" operator="greaterThan">
      <formula>$AK$8</formula>
    </cfRule>
  </conditionalFormatting>
  <conditionalFormatting sqref="AS13:AS36">
    <cfRule type="containsText" dxfId="462" priority="1" operator="containsText" text="N/A">
      <formula>NOT(ISERROR(SEARCH("N/A",AS13)))</formula>
    </cfRule>
    <cfRule type="cellIs" dxfId="461" priority="4" operator="equal">
      <formula>0</formula>
    </cfRule>
  </conditionalFormatting>
  <conditionalFormatting sqref="AS13:AS36">
    <cfRule type="cellIs" dxfId="460" priority="3" operator="greaterThanOrEqual">
      <formula>1185</formula>
    </cfRule>
  </conditionalFormatting>
  <conditionalFormatting sqref="AS13:AS36">
    <cfRule type="cellIs" dxfId="459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300-000000000000}">
      <formula1>$AY$11:$AY$21</formula1>
    </dataValidation>
    <dataValidation type="list" allowBlank="1" showInputMessage="1" showErrorMessage="1" sqref="AS8:AT9 P11:P12 N11:N12 D8:E9 Q8:V9" xr:uid="{00000000-0002-0000-0300-000001000000}">
      <formula1>#REF!</formula1>
    </dataValidation>
    <dataValidation type="list" allowBlank="1" showInputMessage="1" showErrorMessage="1" sqref="AY33:AZ33" xr:uid="{00000000-0002-0000-0300-000002000000}">
      <formula1>$AY$26:$AY$30</formula1>
    </dataValidation>
    <dataValidation type="list" allowBlank="1" showInputMessage="1" showErrorMessage="1" sqref="R3:R5" xr:uid="{00000000-0002-0000-0300-000003000000}">
      <formula1>$BB$11:$BB$42</formula1>
    </dataValidation>
  </dataValidations>
  <hyperlinks>
    <hyperlink ref="J10:J11" location="'1'!AH8" display="Plant Status" xr:uid="{00000000-0004-0000-0300-000000000000}"/>
  </hyperlinks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7030A0"/>
  </sheetPr>
  <dimension ref="A2:BB88"/>
  <sheetViews>
    <sheetView zoomScaleNormal="100" workbookViewId="0">
      <selection activeCell="B57" sqref="B57:B5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47" t="s">
        <v>137</v>
      </c>
      <c r="S3" s="348"/>
      <c r="T3" s="348"/>
      <c r="U3" s="348"/>
      <c r="V3" s="348"/>
      <c r="W3" s="34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47" t="s">
        <v>143</v>
      </c>
      <c r="S4" s="348"/>
      <c r="T4" s="348"/>
      <c r="U4" s="348"/>
      <c r="V4" s="348"/>
      <c r="W4" s="34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47" t="s">
        <v>157</v>
      </c>
      <c r="S5" s="348"/>
      <c r="T5" s="348"/>
      <c r="U5" s="348"/>
      <c r="V5" s="348"/>
      <c r="W5" s="34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50" t="s">
        <v>6</v>
      </c>
      <c r="C6" s="351"/>
      <c r="D6" s="352" t="s">
        <v>7</v>
      </c>
      <c r="E6" s="353"/>
      <c r="F6" s="353"/>
      <c r="G6" s="353"/>
      <c r="H6" s="353"/>
      <c r="I6" s="353"/>
      <c r="J6" s="354"/>
      <c r="K6" s="87"/>
      <c r="L6" s="87"/>
      <c r="M6" s="208"/>
      <c r="N6" s="355">
        <v>41686</v>
      </c>
      <c r="O6" s="356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37" t="s">
        <v>8</v>
      </c>
      <c r="C7" s="338"/>
      <c r="D7" s="337" t="s">
        <v>9</v>
      </c>
      <c r="E7" s="339"/>
      <c r="F7" s="339"/>
      <c r="G7" s="339"/>
      <c r="H7" s="339"/>
      <c r="I7" s="338"/>
      <c r="J7" s="198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198" t="s">
        <v>14</v>
      </c>
      <c r="R7" s="337" t="s">
        <v>15</v>
      </c>
      <c r="S7" s="339"/>
      <c r="T7" s="339"/>
      <c r="U7" s="339"/>
      <c r="V7" s="338"/>
      <c r="W7" s="337" t="s">
        <v>16</v>
      </c>
      <c r="X7" s="338"/>
      <c r="Y7" s="99" t="s">
        <v>17</v>
      </c>
      <c r="Z7" s="337" t="s">
        <v>18</v>
      </c>
      <c r="AA7" s="338"/>
      <c r="AB7" s="337" t="s">
        <v>19</v>
      </c>
      <c r="AC7" s="338"/>
      <c r="AD7" s="337" t="s">
        <v>20</v>
      </c>
      <c r="AE7" s="338"/>
      <c r="AF7" s="337" t="s">
        <v>21</v>
      </c>
      <c r="AG7" s="338"/>
      <c r="AH7" s="99" t="s">
        <v>22</v>
      </c>
      <c r="AI7" s="99" t="s">
        <v>23</v>
      </c>
      <c r="AJ7" s="99" t="s">
        <v>24</v>
      </c>
      <c r="AK7" s="99" t="s">
        <v>25</v>
      </c>
      <c r="AL7" s="337" t="s">
        <v>26</v>
      </c>
      <c r="AM7" s="339"/>
      <c r="AN7" s="339"/>
      <c r="AO7" s="339"/>
      <c r="AP7" s="339"/>
      <c r="AQ7" s="338"/>
      <c r="AR7" s="337" t="s">
        <v>27</v>
      </c>
      <c r="AS7" s="339"/>
      <c r="AT7" s="33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40">
        <v>43225</v>
      </c>
      <c r="C8" s="341"/>
      <c r="D8" s="342" t="s">
        <v>29</v>
      </c>
      <c r="E8" s="343"/>
      <c r="F8" s="343"/>
      <c r="G8" s="343"/>
      <c r="H8" s="343"/>
      <c r="I8" s="344"/>
      <c r="J8" s="28"/>
      <c r="K8" s="342" t="s">
        <v>29</v>
      </c>
      <c r="L8" s="343"/>
      <c r="M8" s="34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42" t="s">
        <v>33</v>
      </c>
      <c r="X8" s="344"/>
      <c r="Y8" s="30" t="s">
        <v>34</v>
      </c>
      <c r="Z8" s="326">
        <v>0</v>
      </c>
      <c r="AA8" s="327"/>
      <c r="AB8" s="345" t="s">
        <v>35</v>
      </c>
      <c r="AC8" s="346"/>
      <c r="AD8" s="326">
        <v>1185</v>
      </c>
      <c r="AE8" s="327"/>
      <c r="AF8" s="328">
        <v>800</v>
      </c>
      <c r="AG8" s="329"/>
      <c r="AH8" s="28"/>
      <c r="AI8" s="30">
        <f>AI36-AI11</f>
        <v>27891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199"/>
      <c r="C9" s="200"/>
      <c r="D9" s="201"/>
      <c r="E9" s="202"/>
      <c r="F9" s="202"/>
      <c r="G9" s="202"/>
      <c r="H9" s="202"/>
      <c r="I9" s="203"/>
      <c r="J9" s="121"/>
      <c r="K9" s="201"/>
      <c r="L9" s="202"/>
      <c r="M9" s="203"/>
      <c r="N9" s="29"/>
      <c r="O9" s="29"/>
      <c r="P9" s="29"/>
      <c r="Q9" s="121"/>
      <c r="R9" s="121"/>
      <c r="S9" s="121"/>
      <c r="T9" s="122"/>
      <c r="U9" s="123"/>
      <c r="V9" s="124"/>
      <c r="W9" s="201"/>
      <c r="X9" s="203"/>
      <c r="Y9" s="30"/>
      <c r="Z9" s="204"/>
      <c r="AA9" s="125"/>
      <c r="AB9" s="126"/>
      <c r="AC9" s="126"/>
      <c r="AD9" s="125"/>
      <c r="AE9" s="125"/>
      <c r="AF9" s="127"/>
      <c r="AG9" s="205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30" t="s">
        <v>39</v>
      </c>
      <c r="C10" s="331"/>
      <c r="D10" s="330" t="s">
        <v>40</v>
      </c>
      <c r="E10" s="332"/>
      <c r="F10" s="331"/>
      <c r="G10" s="330" t="s">
        <v>41</v>
      </c>
      <c r="H10" s="332"/>
      <c r="I10" s="331"/>
      <c r="J10" s="333" t="s">
        <v>42</v>
      </c>
      <c r="K10" s="330" t="s">
        <v>43</v>
      </c>
      <c r="L10" s="332"/>
      <c r="M10" s="331"/>
      <c r="N10" s="99" t="s">
        <v>44</v>
      </c>
      <c r="O10" s="335" t="s">
        <v>45</v>
      </c>
      <c r="P10" s="33" t="s">
        <v>46</v>
      </c>
      <c r="Q10" s="324" t="s">
        <v>47</v>
      </c>
      <c r="R10" s="324" t="s">
        <v>48</v>
      </c>
      <c r="S10" s="34" t="s">
        <v>49</v>
      </c>
      <c r="T10" s="312" t="s">
        <v>50</v>
      </c>
      <c r="U10" s="313"/>
      <c r="V10" s="314"/>
      <c r="W10" s="209" t="s">
        <v>51</v>
      </c>
      <c r="X10" s="209" t="s">
        <v>52</v>
      </c>
      <c r="Y10" s="318" t="s">
        <v>53</v>
      </c>
      <c r="Z10" s="319" t="s">
        <v>54</v>
      </c>
      <c r="AA10" s="320"/>
      <c r="AB10" s="320"/>
      <c r="AC10" s="320"/>
      <c r="AD10" s="320"/>
      <c r="AE10" s="320"/>
      <c r="AF10" s="320"/>
      <c r="AG10" s="321"/>
      <c r="AH10" s="207" t="s">
        <v>55</v>
      </c>
      <c r="AI10" s="207" t="s">
        <v>56</v>
      </c>
      <c r="AJ10" s="307" t="s">
        <v>57</v>
      </c>
      <c r="AK10" s="322" t="s">
        <v>58</v>
      </c>
      <c r="AL10" s="209" t="s">
        <v>59</v>
      </c>
      <c r="AM10" s="209" t="s">
        <v>60</v>
      </c>
      <c r="AN10" s="209" t="s">
        <v>61</v>
      </c>
      <c r="AO10" s="209" t="s">
        <v>62</v>
      </c>
      <c r="AP10" s="209" t="s">
        <v>63</v>
      </c>
      <c r="AQ10" s="209" t="s">
        <v>123</v>
      </c>
      <c r="AR10" s="209" t="s">
        <v>64</v>
      </c>
      <c r="AS10" s="209" t="s">
        <v>65</v>
      </c>
      <c r="AT10" s="324" t="s">
        <v>66</v>
      </c>
      <c r="AU10" s="209" t="s">
        <v>67</v>
      </c>
      <c r="AV10" s="30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09" t="s">
        <v>72</v>
      </c>
      <c r="C11" s="209" t="s">
        <v>73</v>
      </c>
      <c r="D11" s="209" t="s">
        <v>74</v>
      </c>
      <c r="E11" s="209" t="s">
        <v>75</v>
      </c>
      <c r="F11" s="209" t="s">
        <v>126</v>
      </c>
      <c r="G11" s="209" t="s">
        <v>74</v>
      </c>
      <c r="H11" s="209" t="s">
        <v>75</v>
      </c>
      <c r="I11" s="209" t="s">
        <v>126</v>
      </c>
      <c r="J11" s="334"/>
      <c r="K11" s="209" t="s">
        <v>75</v>
      </c>
      <c r="L11" s="209" t="s">
        <v>75</v>
      </c>
      <c r="M11" s="209" t="s">
        <v>75</v>
      </c>
      <c r="N11" s="28" t="s">
        <v>29</v>
      </c>
      <c r="O11" s="336"/>
      <c r="P11" s="28" t="s">
        <v>29</v>
      </c>
      <c r="Q11" s="325"/>
      <c r="R11" s="325"/>
      <c r="S11" s="1">
        <f>'MAY 4'!S36</f>
        <v>93465104</v>
      </c>
      <c r="T11" s="315"/>
      <c r="U11" s="316"/>
      <c r="V11" s="317"/>
      <c r="W11" s="209" t="s">
        <v>75</v>
      </c>
      <c r="X11" s="209" t="s">
        <v>75</v>
      </c>
      <c r="Y11" s="31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'MAY 4'!AI36</f>
        <v>15463335</v>
      </c>
      <c r="AJ11" s="307"/>
      <c r="AK11" s="323"/>
      <c r="AL11" s="209" t="s">
        <v>84</v>
      </c>
      <c r="AM11" s="209" t="s">
        <v>84</v>
      </c>
      <c r="AN11" s="209" t="s">
        <v>84</v>
      </c>
      <c r="AO11" s="209" t="s">
        <v>84</v>
      </c>
      <c r="AP11" s="209" t="s">
        <v>84</v>
      </c>
      <c r="AQ11" s="209" t="s">
        <v>84</v>
      </c>
      <c r="AR11" s="209" t="s">
        <v>84</v>
      </c>
      <c r="AS11" s="1"/>
      <c r="AT11" s="325"/>
      <c r="AU11" s="206" t="s">
        <v>85</v>
      </c>
      <c r="AV11" s="307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283</v>
      </c>
      <c r="B12" s="305" t="s">
        <v>284</v>
      </c>
      <c r="C12" s="305" t="s">
        <v>285</v>
      </c>
      <c r="D12" s="305" t="s">
        <v>286</v>
      </c>
      <c r="E12" s="305" t="s">
        <v>287</v>
      </c>
      <c r="F12" s="305" t="s">
        <v>288</v>
      </c>
      <c r="G12" s="305" t="s">
        <v>289</v>
      </c>
      <c r="H12" s="305" t="s">
        <v>290</v>
      </c>
      <c r="I12" s="305" t="s">
        <v>291</v>
      </c>
      <c r="J12" s="297" t="s">
        <v>292</v>
      </c>
      <c r="K12" s="305" t="s">
        <v>293</v>
      </c>
      <c r="L12" s="305" t="s">
        <v>294</v>
      </c>
      <c r="M12" s="305" t="s">
        <v>295</v>
      </c>
      <c r="N12" s="28" t="s">
        <v>296</v>
      </c>
      <c r="O12" s="298" t="s">
        <v>297</v>
      </c>
      <c r="P12" s="28" t="s">
        <v>298</v>
      </c>
      <c r="Q12" s="300" t="s">
        <v>299</v>
      </c>
      <c r="R12" s="300" t="s">
        <v>300</v>
      </c>
      <c r="S12" s="1" t="s">
        <v>301</v>
      </c>
      <c r="T12" s="302" t="s">
        <v>302</v>
      </c>
      <c r="U12" s="303" t="s">
        <v>303</v>
      </c>
      <c r="V12" s="304" t="s">
        <v>304</v>
      </c>
      <c r="W12" s="305" t="s">
        <v>305</v>
      </c>
      <c r="X12" s="305" t="s">
        <v>306</v>
      </c>
      <c r="Y12" s="305" t="s">
        <v>307</v>
      </c>
      <c r="Z12" s="37" t="s">
        <v>308</v>
      </c>
      <c r="AA12" s="37" t="s">
        <v>309</v>
      </c>
      <c r="AB12" s="37" t="s">
        <v>310</v>
      </c>
      <c r="AC12" s="37" t="s">
        <v>311</v>
      </c>
      <c r="AD12" s="37" t="s">
        <v>312</v>
      </c>
      <c r="AE12" s="37" t="s">
        <v>313</v>
      </c>
      <c r="AF12" s="37" t="s">
        <v>314</v>
      </c>
      <c r="AG12" s="37" t="s">
        <v>315</v>
      </c>
      <c r="AH12" s="38" t="s">
        <v>316</v>
      </c>
      <c r="AI12" s="1" t="s">
        <v>317</v>
      </c>
      <c r="AJ12" s="301" t="s">
        <v>318</v>
      </c>
      <c r="AK12" s="306" t="s">
        <v>319</v>
      </c>
      <c r="AL12" s="305" t="s">
        <v>320</v>
      </c>
      <c r="AM12" s="305" t="s">
        <v>321</v>
      </c>
      <c r="AN12" s="305" t="s">
        <v>322</v>
      </c>
      <c r="AO12" s="305" t="s">
        <v>323</v>
      </c>
      <c r="AP12" s="305" t="s">
        <v>324</v>
      </c>
      <c r="AQ12" s="305" t="s">
        <v>325</v>
      </c>
      <c r="AR12" s="305" t="s">
        <v>326</v>
      </c>
      <c r="AS12" s="1" t="s">
        <v>327</v>
      </c>
      <c r="AT12" s="300" t="s">
        <v>328</v>
      </c>
      <c r="AU12" s="299" t="s">
        <v>329</v>
      </c>
      <c r="AV12" s="301"/>
      <c r="AY12" s="39"/>
      <c r="AZ12" s="39"/>
      <c r="BB12" s="136"/>
    </row>
    <row r="13" spans="1:54" x14ac:dyDescent="0.35">
      <c r="A13" s="357">
        <v>43225</v>
      </c>
      <c r="B13" s="40">
        <v>2</v>
      </c>
      <c r="C13" s="40">
        <v>4.1666666666666664E-2</v>
      </c>
      <c r="D13" s="156" t="s">
        <v>179</v>
      </c>
      <c r="E13" s="154" t="e">
        <f>D13/1.42</f>
        <v>#VALUE!</v>
      </c>
      <c r="F13" s="154">
        <v>3</v>
      </c>
      <c r="G13" s="118">
        <v>70</v>
      </c>
      <c r="H13" s="154">
        <f t="shared" ref="H13:H36" si="0">G13/1.42</f>
        <v>49.295774647887328</v>
      </c>
      <c r="I13" s="154">
        <v>77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7" t="s">
        <v>179</v>
      </c>
      <c r="R13" s="157"/>
      <c r="S13" s="157">
        <v>93468994</v>
      </c>
      <c r="T13" s="45">
        <f>IF(ISBLANK(S13),"-",S13-S11)</f>
        <v>3890</v>
      </c>
      <c r="U13" s="46">
        <f>T13*24/1000</f>
        <v>93.36</v>
      </c>
      <c r="V13" s="46">
        <f>T13/1000</f>
        <v>3.89</v>
      </c>
      <c r="W13" s="96">
        <v>4.3</v>
      </c>
      <c r="X13" s="96">
        <f t="shared" ref="X13:X36" si="1">W13</f>
        <v>4.3</v>
      </c>
      <c r="Y13" s="97" t="s">
        <v>138</v>
      </c>
      <c r="Z13" s="158">
        <v>0</v>
      </c>
      <c r="AA13" s="158">
        <v>0</v>
      </c>
      <c r="AB13" s="158">
        <v>1187</v>
      </c>
      <c r="AC13" s="158">
        <v>1185</v>
      </c>
      <c r="AD13" s="158">
        <v>1187</v>
      </c>
      <c r="AE13" s="158">
        <v>0</v>
      </c>
      <c r="AF13" s="47" t="s">
        <v>90</v>
      </c>
      <c r="AG13" s="47" t="s">
        <v>90</v>
      </c>
      <c r="AH13" s="98" t="s">
        <v>90</v>
      </c>
      <c r="AI13" s="103">
        <v>15464455</v>
      </c>
      <c r="AJ13" s="45">
        <f>IF(ISBLANK(AI13),"-",AI13-AI11)</f>
        <v>1120</v>
      </c>
      <c r="AK13" s="48">
        <f>AJ13/V13</f>
        <v>287.9177377892031</v>
      </c>
      <c r="AL13" s="155">
        <v>0</v>
      </c>
      <c r="AM13" s="155">
        <v>0</v>
      </c>
      <c r="AN13" s="155">
        <v>1</v>
      </c>
      <c r="AO13" s="155">
        <v>1</v>
      </c>
      <c r="AP13" s="155">
        <v>1</v>
      </c>
      <c r="AQ13" s="155">
        <v>0</v>
      </c>
      <c r="AR13" s="155">
        <v>0.8</v>
      </c>
      <c r="AS13" s="158"/>
      <c r="AT13" s="158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357">
        <v>43225</v>
      </c>
      <c r="B14" s="40">
        <v>2.0416666666666701</v>
      </c>
      <c r="C14" s="40">
        <v>8.3333333333333329E-2</v>
      </c>
      <c r="D14" s="156" t="s">
        <v>179</v>
      </c>
      <c r="E14" s="154" t="e">
        <f t="shared" ref="E14:E36" si="2">D14/1.42</f>
        <v>#VALUE!</v>
      </c>
      <c r="F14" s="154">
        <v>5</v>
      </c>
      <c r="G14" s="118">
        <v>71</v>
      </c>
      <c r="H14" s="154">
        <f t="shared" si="0"/>
        <v>50</v>
      </c>
      <c r="I14" s="154">
        <v>78</v>
      </c>
      <c r="J14" s="41" t="s">
        <v>88</v>
      </c>
      <c r="K14" s="41">
        <f t="shared" ref="K14:K36" si="3">L14-(2/1.42)</f>
        <v>45.070422535211272</v>
      </c>
      <c r="L14" s="42">
        <f>(G14-5)/1.42</f>
        <v>46.478873239436624</v>
      </c>
      <c r="M14" s="41">
        <f>L14+(6/1.42)</f>
        <v>50.70422535211268</v>
      </c>
      <c r="N14" s="43">
        <v>14</v>
      </c>
      <c r="O14" s="44" t="s">
        <v>89</v>
      </c>
      <c r="P14" s="44">
        <v>11.2</v>
      </c>
      <c r="Q14" s="157" t="s">
        <v>179</v>
      </c>
      <c r="R14" s="157"/>
      <c r="S14" s="157">
        <v>93472999</v>
      </c>
      <c r="T14" s="45">
        <f t="shared" ref="T14:T36" si="4">IF(ISBLANK(S14),"-",S14-S13)</f>
        <v>4005</v>
      </c>
      <c r="U14" s="46">
        <f t="shared" ref="U14:U37" si="5">T14*24/1000</f>
        <v>96.12</v>
      </c>
      <c r="V14" s="46">
        <f t="shared" ref="V14:V37" si="6">T14/1000</f>
        <v>4.0049999999999999</v>
      </c>
      <c r="W14" s="96">
        <v>5.4</v>
      </c>
      <c r="X14" s="96">
        <f t="shared" si="1"/>
        <v>5.4</v>
      </c>
      <c r="Y14" s="97" t="s">
        <v>138</v>
      </c>
      <c r="Z14" s="158">
        <v>0</v>
      </c>
      <c r="AA14" s="158">
        <v>0</v>
      </c>
      <c r="AB14" s="158">
        <v>1187</v>
      </c>
      <c r="AC14" s="158">
        <v>1185</v>
      </c>
      <c r="AD14" s="158">
        <v>1187</v>
      </c>
      <c r="AE14" s="158">
        <v>0</v>
      </c>
      <c r="AF14" s="47" t="s">
        <v>90</v>
      </c>
      <c r="AG14" s="47" t="s">
        <v>90</v>
      </c>
      <c r="AH14" s="98" t="s">
        <v>90</v>
      </c>
      <c r="AI14" s="103">
        <v>15465555</v>
      </c>
      <c r="AJ14" s="45">
        <f t="shared" ref="AJ14:AJ36" si="7">IF(ISBLANK(AI14),"-",AI14-AI13)</f>
        <v>1100</v>
      </c>
      <c r="AK14" s="48">
        <f t="shared" ref="AK14:AK36" si="8">AJ14/V14</f>
        <v>274.65667915106116</v>
      </c>
      <c r="AL14" s="155">
        <v>0</v>
      </c>
      <c r="AM14" s="155">
        <v>0</v>
      </c>
      <c r="AN14" s="155">
        <v>1</v>
      </c>
      <c r="AO14" s="155">
        <v>1</v>
      </c>
      <c r="AP14" s="155">
        <v>1</v>
      </c>
      <c r="AQ14" s="155">
        <v>0</v>
      </c>
      <c r="AR14" s="155">
        <v>0.8</v>
      </c>
      <c r="AS14" s="158"/>
      <c r="AT14" s="158">
        <f t="shared" ref="AT14:AT35" si="9">AS14-AS13</f>
        <v>0</v>
      </c>
      <c r="AU14" s="119">
        <v>0.99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57">
        <v>43225</v>
      </c>
      <c r="B15" s="40">
        <v>2.0833333333333299</v>
      </c>
      <c r="C15" s="40">
        <v>0.125</v>
      </c>
      <c r="D15" s="156" t="s">
        <v>179</v>
      </c>
      <c r="E15" s="154" t="e">
        <f t="shared" si="2"/>
        <v>#VALUE!</v>
      </c>
      <c r="F15" s="154">
        <v>7</v>
      </c>
      <c r="G15" s="118">
        <v>73</v>
      </c>
      <c r="H15" s="154">
        <f t="shared" si="0"/>
        <v>51.408450704225352</v>
      </c>
      <c r="I15" s="154">
        <v>78</v>
      </c>
      <c r="J15" s="41" t="s">
        <v>88</v>
      </c>
      <c r="K15" s="41">
        <f t="shared" si="3"/>
        <v>46.478873239436624</v>
      </c>
      <c r="L15" s="42">
        <f>(G15-5)/1.42</f>
        <v>47.887323943661976</v>
      </c>
      <c r="M15" s="41">
        <f>L15+(6/1.42)</f>
        <v>52.112676056338032</v>
      </c>
      <c r="N15" s="43">
        <v>14</v>
      </c>
      <c r="O15" s="44" t="s">
        <v>89</v>
      </c>
      <c r="P15" s="44">
        <v>11.2</v>
      </c>
      <c r="Q15" s="157" t="s">
        <v>179</v>
      </c>
      <c r="R15" s="157"/>
      <c r="S15" s="157">
        <v>93477008</v>
      </c>
      <c r="T15" s="45">
        <f t="shared" si="4"/>
        <v>4009</v>
      </c>
      <c r="U15" s="46">
        <f t="shared" si="5"/>
        <v>96.215999999999994</v>
      </c>
      <c r="V15" s="46">
        <f t="shared" si="6"/>
        <v>4.0090000000000003</v>
      </c>
      <c r="W15" s="96">
        <v>6.7</v>
      </c>
      <c r="X15" s="96">
        <f t="shared" si="1"/>
        <v>6.7</v>
      </c>
      <c r="Y15" s="97" t="s">
        <v>138</v>
      </c>
      <c r="Z15" s="158">
        <v>0</v>
      </c>
      <c r="AA15" s="158">
        <v>0</v>
      </c>
      <c r="AB15" s="158">
        <v>1187</v>
      </c>
      <c r="AC15" s="158">
        <v>1185</v>
      </c>
      <c r="AD15" s="158">
        <v>1187</v>
      </c>
      <c r="AE15" s="158">
        <v>0</v>
      </c>
      <c r="AF15" s="47" t="s">
        <v>90</v>
      </c>
      <c r="AG15" s="47" t="s">
        <v>90</v>
      </c>
      <c r="AH15" s="98" t="s">
        <v>90</v>
      </c>
      <c r="AI15" s="103">
        <v>15466673</v>
      </c>
      <c r="AJ15" s="45">
        <f t="shared" si="7"/>
        <v>1118</v>
      </c>
      <c r="AK15" s="48">
        <f t="shared" si="8"/>
        <v>278.87253679221749</v>
      </c>
      <c r="AL15" s="155">
        <v>0</v>
      </c>
      <c r="AM15" s="155">
        <v>0</v>
      </c>
      <c r="AN15" s="155">
        <v>1</v>
      </c>
      <c r="AO15" s="155">
        <v>1</v>
      </c>
      <c r="AP15" s="155">
        <v>1</v>
      </c>
      <c r="AQ15" s="155">
        <v>0</v>
      </c>
      <c r="AR15" s="155">
        <v>0.8</v>
      </c>
      <c r="AS15" s="158"/>
      <c r="AT15" s="158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357">
        <v>43225</v>
      </c>
      <c r="B16" s="40">
        <v>2.125</v>
      </c>
      <c r="C16" s="40">
        <v>0.16666666666666699</v>
      </c>
      <c r="D16" s="156">
        <v>3</v>
      </c>
      <c r="E16" s="154">
        <f t="shared" si="2"/>
        <v>2.1126760563380285</v>
      </c>
      <c r="F16" s="154">
        <v>8</v>
      </c>
      <c r="G16" s="118">
        <v>72</v>
      </c>
      <c r="H16" s="154">
        <f t="shared" si="0"/>
        <v>50.70422535211268</v>
      </c>
      <c r="I16" s="154">
        <v>79</v>
      </c>
      <c r="J16" s="41" t="s">
        <v>88</v>
      </c>
      <c r="K16" s="41">
        <f t="shared" si="3"/>
        <v>45.774647887323944</v>
      </c>
      <c r="L16" s="42">
        <f>(G16-5)/1.42</f>
        <v>47.183098591549296</v>
      </c>
      <c r="M16" s="41">
        <f>L16+(6/1.42)</f>
        <v>51.408450704225352</v>
      </c>
      <c r="N16" s="43">
        <v>14</v>
      </c>
      <c r="O16" s="44" t="s">
        <v>89</v>
      </c>
      <c r="P16" s="44">
        <v>12.8</v>
      </c>
      <c r="Q16" s="157">
        <v>142</v>
      </c>
      <c r="R16" s="157"/>
      <c r="S16" s="157">
        <v>93481218</v>
      </c>
      <c r="T16" s="45">
        <f t="shared" si="4"/>
        <v>4210</v>
      </c>
      <c r="U16" s="46">
        <f t="shared" si="5"/>
        <v>101.04</v>
      </c>
      <c r="V16" s="46">
        <f t="shared" si="6"/>
        <v>4.21</v>
      </c>
      <c r="W16" s="96">
        <v>8</v>
      </c>
      <c r="X16" s="96">
        <f t="shared" si="1"/>
        <v>8</v>
      </c>
      <c r="Y16" s="97" t="s">
        <v>138</v>
      </c>
      <c r="Z16" s="158">
        <v>0</v>
      </c>
      <c r="AA16" s="158">
        <v>0</v>
      </c>
      <c r="AB16" s="158">
        <v>1187</v>
      </c>
      <c r="AC16" s="158">
        <v>1185</v>
      </c>
      <c r="AD16" s="158">
        <v>1187</v>
      </c>
      <c r="AE16" s="158">
        <v>0</v>
      </c>
      <c r="AF16" s="47" t="s">
        <v>90</v>
      </c>
      <c r="AG16" s="47" t="s">
        <v>90</v>
      </c>
      <c r="AH16" s="98" t="s">
        <v>90</v>
      </c>
      <c r="AI16" s="103">
        <v>15467802</v>
      </c>
      <c r="AJ16" s="45">
        <f t="shared" si="7"/>
        <v>1129</v>
      </c>
      <c r="AK16" s="48">
        <f t="shared" si="8"/>
        <v>268.17102137767222</v>
      </c>
      <c r="AL16" s="155">
        <v>0</v>
      </c>
      <c r="AM16" s="155">
        <v>0</v>
      </c>
      <c r="AN16" s="155">
        <v>1</v>
      </c>
      <c r="AO16" s="155">
        <v>1</v>
      </c>
      <c r="AP16" s="155">
        <v>1</v>
      </c>
      <c r="AQ16" s="155">
        <v>0</v>
      </c>
      <c r="AR16" s="155">
        <v>0.8</v>
      </c>
      <c r="AS16" s="158"/>
      <c r="AT16" s="158">
        <f t="shared" si="9"/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357">
        <v>43225</v>
      </c>
      <c r="B17" s="40">
        <v>2.1666666666666701</v>
      </c>
      <c r="C17" s="40">
        <v>0.20833333333333301</v>
      </c>
      <c r="D17" s="156">
        <v>3</v>
      </c>
      <c r="E17" s="154">
        <f t="shared" si="2"/>
        <v>2.1126760563380285</v>
      </c>
      <c r="F17" s="154">
        <v>9</v>
      </c>
      <c r="G17" s="118">
        <v>83</v>
      </c>
      <c r="H17" s="154">
        <f t="shared" si="0"/>
        <v>58.450704225352112</v>
      </c>
      <c r="I17" s="154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7">
        <v>129</v>
      </c>
      <c r="R17" s="157"/>
      <c r="S17" s="157">
        <v>93485013</v>
      </c>
      <c r="T17" s="45">
        <f t="shared" si="4"/>
        <v>3795</v>
      </c>
      <c r="U17" s="46">
        <f t="shared" si="5"/>
        <v>91.08</v>
      </c>
      <c r="V17" s="46">
        <f t="shared" si="6"/>
        <v>3.7949999999999999</v>
      </c>
      <c r="W17" s="96">
        <v>9.5</v>
      </c>
      <c r="X17" s="96">
        <f t="shared" si="1"/>
        <v>9.5</v>
      </c>
      <c r="Y17" s="97" t="s">
        <v>138</v>
      </c>
      <c r="Z17" s="158">
        <v>0</v>
      </c>
      <c r="AA17" s="158">
        <v>0</v>
      </c>
      <c r="AB17" s="158">
        <v>1187</v>
      </c>
      <c r="AC17" s="158">
        <v>1185</v>
      </c>
      <c r="AD17" s="158">
        <v>1187</v>
      </c>
      <c r="AE17" s="158">
        <v>0</v>
      </c>
      <c r="AF17" s="47" t="s">
        <v>90</v>
      </c>
      <c r="AG17" s="47" t="s">
        <v>90</v>
      </c>
      <c r="AH17" s="98" t="s">
        <v>90</v>
      </c>
      <c r="AI17" s="103">
        <v>15468897</v>
      </c>
      <c r="AJ17" s="45">
        <f t="shared" si="7"/>
        <v>1095</v>
      </c>
      <c r="AK17" s="48">
        <f t="shared" si="8"/>
        <v>288.53754940711462</v>
      </c>
      <c r="AL17" s="155">
        <v>0</v>
      </c>
      <c r="AM17" s="155">
        <v>0</v>
      </c>
      <c r="AN17" s="155">
        <v>1</v>
      </c>
      <c r="AO17" s="155">
        <v>1</v>
      </c>
      <c r="AP17" s="155">
        <v>1</v>
      </c>
      <c r="AQ17" s="155">
        <v>0</v>
      </c>
      <c r="AR17" s="155">
        <v>0</v>
      </c>
      <c r="AS17" s="158"/>
      <c r="AT17" s="158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57">
        <v>43225</v>
      </c>
      <c r="B18" s="40">
        <v>2.2083333333333299</v>
      </c>
      <c r="C18" s="40">
        <v>0.25</v>
      </c>
      <c r="D18" s="156">
        <v>3</v>
      </c>
      <c r="E18" s="154">
        <f t="shared" si="2"/>
        <v>2.1126760563380285</v>
      </c>
      <c r="F18" s="154">
        <v>9</v>
      </c>
      <c r="G18" s="118">
        <v>82</v>
      </c>
      <c r="H18" s="154">
        <f t="shared" si="0"/>
        <v>57.74647887323944</v>
      </c>
      <c r="I18" s="154">
        <v>80</v>
      </c>
      <c r="J18" s="41" t="s">
        <v>88</v>
      </c>
      <c r="K18" s="41">
        <f t="shared" si="3"/>
        <v>56.338028169014088</v>
      </c>
      <c r="L18" s="42">
        <f t="shared" ref="L18:L27" si="10">G18/1.42</f>
        <v>57.74647887323944</v>
      </c>
      <c r="M18" s="41">
        <f>L18+1.42</f>
        <v>59.166478873239441</v>
      </c>
      <c r="N18" s="43">
        <v>19</v>
      </c>
      <c r="O18" s="44" t="s">
        <v>100</v>
      </c>
      <c r="P18" s="44">
        <v>13.1</v>
      </c>
      <c r="Q18" s="157">
        <v>136</v>
      </c>
      <c r="R18" s="157"/>
      <c r="S18" s="157">
        <v>93489000</v>
      </c>
      <c r="T18" s="45">
        <f t="shared" si="4"/>
        <v>3987</v>
      </c>
      <c r="U18" s="46">
        <f t="shared" si="5"/>
        <v>95.688000000000002</v>
      </c>
      <c r="V18" s="46">
        <f t="shared" si="6"/>
        <v>3.9870000000000001</v>
      </c>
      <c r="W18" s="96">
        <v>9.5</v>
      </c>
      <c r="X18" s="96">
        <f t="shared" si="1"/>
        <v>9.5</v>
      </c>
      <c r="Y18" s="97" t="s">
        <v>138</v>
      </c>
      <c r="Z18" s="158">
        <v>0</v>
      </c>
      <c r="AA18" s="158">
        <v>0</v>
      </c>
      <c r="AB18" s="158">
        <v>1187</v>
      </c>
      <c r="AC18" s="158">
        <v>1185</v>
      </c>
      <c r="AD18" s="158">
        <v>1187</v>
      </c>
      <c r="AE18" s="158">
        <v>0</v>
      </c>
      <c r="AF18" s="47" t="s">
        <v>90</v>
      </c>
      <c r="AG18" s="47" t="s">
        <v>90</v>
      </c>
      <c r="AH18" s="98" t="s">
        <v>90</v>
      </c>
      <c r="AI18" s="103">
        <v>15470062</v>
      </c>
      <c r="AJ18" s="45">
        <f t="shared" si="7"/>
        <v>1165</v>
      </c>
      <c r="AK18" s="48">
        <f t="shared" si="8"/>
        <v>292.19964885879108</v>
      </c>
      <c r="AL18" s="155">
        <v>0</v>
      </c>
      <c r="AM18" s="155">
        <v>0</v>
      </c>
      <c r="AN18" s="155">
        <v>1</v>
      </c>
      <c r="AO18" s="155">
        <v>1</v>
      </c>
      <c r="AP18" s="155">
        <v>1</v>
      </c>
      <c r="AQ18" s="155">
        <v>0</v>
      </c>
      <c r="AR18" s="155">
        <v>0</v>
      </c>
      <c r="AS18" s="158"/>
      <c r="AT18" s="158">
        <f t="shared" si="9"/>
        <v>0</v>
      </c>
      <c r="AU18" s="119">
        <v>1.04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57">
        <v>43225</v>
      </c>
      <c r="B19" s="40">
        <v>2.25</v>
      </c>
      <c r="C19" s="40">
        <v>0.29166666666666669</v>
      </c>
      <c r="D19" s="156">
        <v>3</v>
      </c>
      <c r="E19" s="154">
        <f t="shared" si="2"/>
        <v>2.1126760563380285</v>
      </c>
      <c r="F19" s="154">
        <v>8</v>
      </c>
      <c r="G19" s="118">
        <v>81</v>
      </c>
      <c r="H19" s="154">
        <f t="shared" si="0"/>
        <v>57.04225352112676</v>
      </c>
      <c r="I19" s="154">
        <v>78</v>
      </c>
      <c r="J19" s="41" t="s">
        <v>88</v>
      </c>
      <c r="K19" s="41">
        <f t="shared" si="3"/>
        <v>55.633802816901408</v>
      </c>
      <c r="L19" s="42">
        <f t="shared" si="10"/>
        <v>57.04225352112676</v>
      </c>
      <c r="M19" s="41">
        <f>L19+1.42</f>
        <v>58.462253521126762</v>
      </c>
      <c r="N19" s="43">
        <v>19</v>
      </c>
      <c r="O19" s="44" t="s">
        <v>100</v>
      </c>
      <c r="P19" s="44">
        <v>16.7</v>
      </c>
      <c r="Q19" s="157">
        <v>131</v>
      </c>
      <c r="R19" s="157"/>
      <c r="S19" s="157">
        <v>93493074</v>
      </c>
      <c r="T19" s="45">
        <f t="shared" si="4"/>
        <v>4074</v>
      </c>
      <c r="U19" s="46">
        <f t="shared" si="5"/>
        <v>97.775999999999996</v>
      </c>
      <c r="V19" s="46">
        <f t="shared" si="6"/>
        <v>4.0739999999999998</v>
      </c>
      <c r="W19" s="96">
        <v>9.1999999999999993</v>
      </c>
      <c r="X19" s="96">
        <f t="shared" si="1"/>
        <v>9.1999999999999993</v>
      </c>
      <c r="Y19" s="97" t="s">
        <v>169</v>
      </c>
      <c r="Z19" s="158">
        <v>1047</v>
      </c>
      <c r="AA19" s="158">
        <v>0</v>
      </c>
      <c r="AB19" s="158">
        <v>1187</v>
      </c>
      <c r="AC19" s="158">
        <v>1185</v>
      </c>
      <c r="AD19" s="158">
        <v>1186</v>
      </c>
      <c r="AE19" s="158">
        <v>0</v>
      </c>
      <c r="AF19" s="47" t="s">
        <v>90</v>
      </c>
      <c r="AG19" s="47" t="s">
        <v>90</v>
      </c>
      <c r="AH19" s="98" t="s">
        <v>90</v>
      </c>
      <c r="AI19" s="103">
        <v>15471196</v>
      </c>
      <c r="AJ19" s="45">
        <f t="shared" si="7"/>
        <v>1134</v>
      </c>
      <c r="AK19" s="48">
        <f t="shared" si="8"/>
        <v>278.35051546391753</v>
      </c>
      <c r="AL19" s="155">
        <v>1</v>
      </c>
      <c r="AM19" s="155">
        <v>0</v>
      </c>
      <c r="AN19" s="155">
        <v>1</v>
      </c>
      <c r="AO19" s="155">
        <v>1</v>
      </c>
      <c r="AP19" s="155">
        <v>1</v>
      </c>
      <c r="AQ19" s="155">
        <v>0</v>
      </c>
      <c r="AR19" s="155">
        <v>0</v>
      </c>
      <c r="AS19" s="158"/>
      <c r="AT19" s="158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57">
        <v>43225</v>
      </c>
      <c r="B20" s="40">
        <v>2.2916666666666701</v>
      </c>
      <c r="C20" s="40">
        <v>0.33333333333333298</v>
      </c>
      <c r="D20" s="156">
        <v>3</v>
      </c>
      <c r="E20" s="154">
        <f t="shared" si="2"/>
        <v>2.1126760563380285</v>
      </c>
      <c r="F20" s="154">
        <v>8</v>
      </c>
      <c r="G20" s="118">
        <v>78</v>
      </c>
      <c r="H20" s="154">
        <f t="shared" si="0"/>
        <v>54.929577464788736</v>
      </c>
      <c r="I20" s="154">
        <v>78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7">
        <v>129</v>
      </c>
      <c r="R20" s="157"/>
      <c r="S20" s="157">
        <v>93497652</v>
      </c>
      <c r="T20" s="45">
        <f t="shared" si="4"/>
        <v>4578</v>
      </c>
      <c r="U20" s="46">
        <f>T20*24/1000</f>
        <v>109.872</v>
      </c>
      <c r="V20" s="46">
        <f t="shared" si="6"/>
        <v>4.5780000000000003</v>
      </c>
      <c r="W20" s="96">
        <v>8.5</v>
      </c>
      <c r="X20" s="96">
        <f t="shared" si="1"/>
        <v>8.5</v>
      </c>
      <c r="Y20" s="97" t="s">
        <v>169</v>
      </c>
      <c r="Z20" s="158">
        <v>1047</v>
      </c>
      <c r="AA20" s="158">
        <v>0</v>
      </c>
      <c r="AB20" s="158">
        <v>1187</v>
      </c>
      <c r="AC20" s="158">
        <v>1185</v>
      </c>
      <c r="AD20" s="158">
        <v>1187</v>
      </c>
      <c r="AE20" s="158">
        <v>0</v>
      </c>
      <c r="AF20" s="47" t="s">
        <v>90</v>
      </c>
      <c r="AG20" s="47" t="s">
        <v>90</v>
      </c>
      <c r="AH20" s="98" t="s">
        <v>90</v>
      </c>
      <c r="AI20" s="103">
        <v>15472394</v>
      </c>
      <c r="AJ20" s="45">
        <f t="shared" si="7"/>
        <v>1198</v>
      </c>
      <c r="AK20" s="48">
        <f t="shared" si="8"/>
        <v>261.68632590650935</v>
      </c>
      <c r="AL20" s="155">
        <v>1</v>
      </c>
      <c r="AM20" s="155">
        <v>0</v>
      </c>
      <c r="AN20" s="155">
        <v>1</v>
      </c>
      <c r="AO20" s="155">
        <v>1</v>
      </c>
      <c r="AP20" s="155">
        <v>1</v>
      </c>
      <c r="AQ20" s="155">
        <v>0</v>
      </c>
      <c r="AR20" s="155">
        <v>0</v>
      </c>
      <c r="AS20" s="158"/>
      <c r="AT20" s="158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357">
        <v>43225</v>
      </c>
      <c r="B21" s="40">
        <v>2.3333333333333299</v>
      </c>
      <c r="C21" s="40">
        <v>0.375</v>
      </c>
      <c r="D21" s="156">
        <v>3</v>
      </c>
      <c r="E21" s="154">
        <f t="shared" si="2"/>
        <v>2.1126760563380285</v>
      </c>
      <c r="F21" s="154">
        <v>7</v>
      </c>
      <c r="G21" s="118">
        <v>77</v>
      </c>
      <c r="H21" s="154">
        <f t="shared" si="0"/>
        <v>54.225352112676056</v>
      </c>
      <c r="I21" s="154">
        <v>75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7">
        <v>129</v>
      </c>
      <c r="R21" s="157"/>
      <c r="S21" s="157">
        <v>93502488</v>
      </c>
      <c r="T21" s="45">
        <f t="shared" si="4"/>
        <v>4836</v>
      </c>
      <c r="U21" s="46">
        <f t="shared" si="5"/>
        <v>116.06399999999999</v>
      </c>
      <c r="V21" s="46">
        <f t="shared" si="6"/>
        <v>4.8360000000000003</v>
      </c>
      <c r="W21" s="96">
        <v>7.8</v>
      </c>
      <c r="X21" s="96">
        <f t="shared" si="1"/>
        <v>7.8</v>
      </c>
      <c r="Y21" s="97" t="s">
        <v>169</v>
      </c>
      <c r="Z21" s="158">
        <v>1047</v>
      </c>
      <c r="AA21" s="158">
        <v>0</v>
      </c>
      <c r="AB21" s="158">
        <v>1187</v>
      </c>
      <c r="AC21" s="158">
        <v>1185</v>
      </c>
      <c r="AD21" s="158">
        <v>1186</v>
      </c>
      <c r="AE21" s="158">
        <v>0</v>
      </c>
      <c r="AF21" s="47" t="s">
        <v>90</v>
      </c>
      <c r="AG21" s="47" t="s">
        <v>90</v>
      </c>
      <c r="AH21" s="98" t="s">
        <v>90</v>
      </c>
      <c r="AI21" s="103">
        <v>15473650</v>
      </c>
      <c r="AJ21" s="45">
        <f t="shared" si="7"/>
        <v>1256</v>
      </c>
      <c r="AK21" s="48">
        <f t="shared" si="8"/>
        <v>259.7187758478081</v>
      </c>
      <c r="AL21" s="155">
        <v>1</v>
      </c>
      <c r="AM21" s="155">
        <v>0</v>
      </c>
      <c r="AN21" s="155">
        <v>1</v>
      </c>
      <c r="AO21" s="155">
        <v>1</v>
      </c>
      <c r="AP21" s="155">
        <v>1</v>
      </c>
      <c r="AQ21" s="155">
        <v>0</v>
      </c>
      <c r="AR21" s="155">
        <v>0</v>
      </c>
      <c r="AS21" s="158"/>
      <c r="AT21" s="158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147</v>
      </c>
    </row>
    <row r="22" spans="1:54" x14ac:dyDescent="0.35">
      <c r="A22" s="357">
        <v>43225</v>
      </c>
      <c r="B22" s="40">
        <v>2.375</v>
      </c>
      <c r="C22" s="40">
        <v>0.41666666666666669</v>
      </c>
      <c r="D22" s="156">
        <v>3</v>
      </c>
      <c r="E22" s="154">
        <f t="shared" si="2"/>
        <v>2.1126760563380285</v>
      </c>
      <c r="F22" s="154">
        <v>7</v>
      </c>
      <c r="G22" s="118">
        <v>76</v>
      </c>
      <c r="H22" s="154">
        <f t="shared" si="0"/>
        <v>53.521126760563384</v>
      </c>
      <c r="I22" s="154">
        <v>75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7">
        <v>130</v>
      </c>
      <c r="R22" s="157"/>
      <c r="S22" s="157">
        <v>93506956</v>
      </c>
      <c r="T22" s="45">
        <f t="shared" si="4"/>
        <v>4468</v>
      </c>
      <c r="U22" s="46">
        <f t="shared" si="5"/>
        <v>107.232</v>
      </c>
      <c r="V22" s="46">
        <f t="shared" si="6"/>
        <v>4.468</v>
      </c>
      <c r="W22" s="96">
        <v>7.2</v>
      </c>
      <c r="X22" s="96">
        <f t="shared" si="1"/>
        <v>7.2</v>
      </c>
      <c r="Y22" s="97" t="s">
        <v>169</v>
      </c>
      <c r="Z22" s="158">
        <v>1039</v>
      </c>
      <c r="AA22" s="158">
        <v>0</v>
      </c>
      <c r="AB22" s="158">
        <v>1187</v>
      </c>
      <c r="AC22" s="158">
        <v>1185</v>
      </c>
      <c r="AD22" s="158">
        <v>1186</v>
      </c>
      <c r="AE22" s="158">
        <v>0</v>
      </c>
      <c r="AF22" s="47" t="s">
        <v>90</v>
      </c>
      <c r="AG22" s="47" t="s">
        <v>90</v>
      </c>
      <c r="AH22" s="98" t="s">
        <v>90</v>
      </c>
      <c r="AI22" s="103">
        <v>15474842</v>
      </c>
      <c r="AJ22" s="45">
        <f t="shared" si="7"/>
        <v>1192</v>
      </c>
      <c r="AK22" s="48">
        <f t="shared" si="8"/>
        <v>266.78603401969559</v>
      </c>
      <c r="AL22" s="155">
        <v>1</v>
      </c>
      <c r="AM22" s="155">
        <v>0</v>
      </c>
      <c r="AN22" s="155">
        <v>1</v>
      </c>
      <c r="AO22" s="155">
        <v>1</v>
      </c>
      <c r="AP22" s="155">
        <v>1</v>
      </c>
      <c r="AQ22" s="155">
        <v>0</v>
      </c>
      <c r="AR22" s="155">
        <v>0</v>
      </c>
      <c r="AS22" s="158"/>
      <c r="AT22" s="158">
        <f t="shared" si="9"/>
        <v>0</v>
      </c>
      <c r="AU22" s="119">
        <v>1.1200000000000001</v>
      </c>
      <c r="AV22" s="50" t="s">
        <v>125</v>
      </c>
      <c r="BB22" s="136" t="s">
        <v>157</v>
      </c>
    </row>
    <row r="23" spans="1:54" x14ac:dyDescent="0.35">
      <c r="A23" s="357">
        <v>43225</v>
      </c>
      <c r="B23" s="40">
        <v>2.4166666666666701</v>
      </c>
      <c r="C23" s="40">
        <v>0.45833333333333298</v>
      </c>
      <c r="D23" s="156">
        <v>3</v>
      </c>
      <c r="E23" s="154">
        <f t="shared" si="2"/>
        <v>2.1126760563380285</v>
      </c>
      <c r="F23" s="154">
        <v>6</v>
      </c>
      <c r="G23" s="118">
        <v>76</v>
      </c>
      <c r="H23" s="154">
        <f t="shared" si="0"/>
        <v>53.521126760563384</v>
      </c>
      <c r="I23" s="154">
        <v>73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7">
        <v>128</v>
      </c>
      <c r="R23" s="157"/>
      <c r="S23" s="157">
        <v>93511636</v>
      </c>
      <c r="T23" s="45">
        <f t="shared" si="4"/>
        <v>4680</v>
      </c>
      <c r="U23" s="46">
        <f t="shared" si="5"/>
        <v>112.32</v>
      </c>
      <c r="V23" s="46">
        <f t="shared" si="6"/>
        <v>4.68</v>
      </c>
      <c r="W23" s="96">
        <v>6.6</v>
      </c>
      <c r="X23" s="96">
        <f>W23</f>
        <v>6.6</v>
      </c>
      <c r="Y23" s="97" t="s">
        <v>169</v>
      </c>
      <c r="Z23" s="158">
        <v>1036</v>
      </c>
      <c r="AA23" s="158">
        <v>0</v>
      </c>
      <c r="AB23" s="158">
        <v>1187</v>
      </c>
      <c r="AC23" s="158">
        <v>1185</v>
      </c>
      <c r="AD23" s="158">
        <v>1187</v>
      </c>
      <c r="AE23" s="158">
        <v>0</v>
      </c>
      <c r="AF23" s="47" t="s">
        <v>90</v>
      </c>
      <c r="AG23" s="47" t="s">
        <v>90</v>
      </c>
      <c r="AH23" s="98" t="s">
        <v>90</v>
      </c>
      <c r="AI23" s="103">
        <v>15476048</v>
      </c>
      <c r="AJ23" s="45">
        <f t="shared" si="7"/>
        <v>1206</v>
      </c>
      <c r="AK23" s="48">
        <f t="shared" si="8"/>
        <v>257.69230769230774</v>
      </c>
      <c r="AL23" s="155">
        <v>1</v>
      </c>
      <c r="AM23" s="155">
        <v>0</v>
      </c>
      <c r="AN23" s="155">
        <v>1</v>
      </c>
      <c r="AO23" s="155">
        <v>1</v>
      </c>
      <c r="AP23" s="155">
        <v>1</v>
      </c>
      <c r="AQ23" s="155">
        <v>0</v>
      </c>
      <c r="AR23" s="155">
        <v>0</v>
      </c>
      <c r="AS23" s="158"/>
      <c r="AT23" s="158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357">
        <v>43225</v>
      </c>
      <c r="B24" s="40">
        <v>2.4583333333333299</v>
      </c>
      <c r="C24" s="40">
        <v>0.5</v>
      </c>
      <c r="D24" s="156">
        <v>3</v>
      </c>
      <c r="E24" s="154">
        <f t="shared" si="2"/>
        <v>2.1126760563380285</v>
      </c>
      <c r="F24" s="154">
        <v>6</v>
      </c>
      <c r="G24" s="118">
        <v>75</v>
      </c>
      <c r="H24" s="154">
        <f t="shared" si="0"/>
        <v>52.816901408450704</v>
      </c>
      <c r="I24" s="154">
        <v>73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7">
        <v>132</v>
      </c>
      <c r="R24" s="157"/>
      <c r="S24" s="157">
        <v>93516118</v>
      </c>
      <c r="T24" s="45">
        <f t="shared" si="4"/>
        <v>4482</v>
      </c>
      <c r="U24" s="46">
        <f>T24*24/1000</f>
        <v>107.568</v>
      </c>
      <c r="V24" s="46">
        <f t="shared" si="6"/>
        <v>4.4820000000000002</v>
      </c>
      <c r="W24" s="96">
        <v>6</v>
      </c>
      <c r="X24" s="96">
        <f t="shared" si="1"/>
        <v>6</v>
      </c>
      <c r="Y24" s="97" t="s">
        <v>169</v>
      </c>
      <c r="Z24" s="158">
        <v>1037</v>
      </c>
      <c r="AA24" s="158">
        <v>0</v>
      </c>
      <c r="AB24" s="158">
        <v>1187</v>
      </c>
      <c r="AC24" s="158">
        <v>1185</v>
      </c>
      <c r="AD24" s="158">
        <v>1187</v>
      </c>
      <c r="AE24" s="158">
        <v>0</v>
      </c>
      <c r="AF24" s="47" t="s">
        <v>90</v>
      </c>
      <c r="AG24" s="47" t="s">
        <v>90</v>
      </c>
      <c r="AH24" s="98" t="s">
        <v>90</v>
      </c>
      <c r="AI24" s="103">
        <v>15477238</v>
      </c>
      <c r="AJ24" s="45">
        <f t="shared" si="7"/>
        <v>1190</v>
      </c>
      <c r="AK24" s="48">
        <f t="shared" si="8"/>
        <v>265.50647032574744</v>
      </c>
      <c r="AL24" s="155">
        <v>1</v>
      </c>
      <c r="AM24" s="155">
        <v>0</v>
      </c>
      <c r="AN24" s="155">
        <v>1</v>
      </c>
      <c r="AO24" s="155">
        <v>1</v>
      </c>
      <c r="AP24" s="155">
        <v>1</v>
      </c>
      <c r="AQ24" s="155">
        <v>0</v>
      </c>
      <c r="AR24" s="155">
        <v>0</v>
      </c>
      <c r="AS24" s="158"/>
      <c r="AT24" s="158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357">
        <v>43225</v>
      </c>
      <c r="B25" s="40">
        <v>2.5</v>
      </c>
      <c r="C25" s="40">
        <v>0.54166666666666696</v>
      </c>
      <c r="D25" s="156">
        <v>3</v>
      </c>
      <c r="E25" s="154">
        <f t="shared" si="2"/>
        <v>2.1126760563380285</v>
      </c>
      <c r="F25" s="154">
        <v>5</v>
      </c>
      <c r="G25" s="118">
        <v>75</v>
      </c>
      <c r="H25" s="154">
        <f t="shared" si="0"/>
        <v>52.816901408450704</v>
      </c>
      <c r="I25" s="154">
        <v>70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7">
        <v>128</v>
      </c>
      <c r="R25" s="157"/>
      <c r="S25" s="157">
        <v>93520880</v>
      </c>
      <c r="T25" s="45">
        <f t="shared" si="4"/>
        <v>4762</v>
      </c>
      <c r="U25" s="46">
        <f>T25*24/1000</f>
        <v>114.288</v>
      </c>
      <c r="V25" s="46">
        <f t="shared" si="6"/>
        <v>4.7619999999999996</v>
      </c>
      <c r="W25" s="96">
        <v>5.3</v>
      </c>
      <c r="X25" s="96">
        <f t="shared" si="1"/>
        <v>5.3</v>
      </c>
      <c r="Y25" s="97" t="s">
        <v>169</v>
      </c>
      <c r="Z25" s="158">
        <v>1036</v>
      </c>
      <c r="AA25" s="158">
        <v>0</v>
      </c>
      <c r="AB25" s="158">
        <v>1187</v>
      </c>
      <c r="AC25" s="158">
        <v>1185</v>
      </c>
      <c r="AD25" s="158">
        <v>1187</v>
      </c>
      <c r="AE25" s="158">
        <v>0</v>
      </c>
      <c r="AF25" s="47" t="s">
        <v>90</v>
      </c>
      <c r="AG25" s="47" t="s">
        <v>90</v>
      </c>
      <c r="AH25" s="98" t="s">
        <v>90</v>
      </c>
      <c r="AI25" s="103">
        <v>15478454</v>
      </c>
      <c r="AJ25" s="45">
        <f t="shared" si="7"/>
        <v>1216</v>
      </c>
      <c r="AK25" s="48">
        <f t="shared" si="8"/>
        <v>255.35489290214198</v>
      </c>
      <c r="AL25" s="155">
        <v>1</v>
      </c>
      <c r="AM25" s="155">
        <v>0</v>
      </c>
      <c r="AN25" s="155">
        <v>1</v>
      </c>
      <c r="AO25" s="155">
        <v>1</v>
      </c>
      <c r="AP25" s="155">
        <v>1</v>
      </c>
      <c r="AQ25" s="155">
        <v>0</v>
      </c>
      <c r="AR25" s="155">
        <v>0</v>
      </c>
      <c r="AS25" s="158"/>
      <c r="AT25" s="158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57">
        <v>43225</v>
      </c>
      <c r="B26" s="40">
        <v>2.5416666666666701</v>
      </c>
      <c r="C26" s="40">
        <v>0.58333333333333404</v>
      </c>
      <c r="D26" s="156">
        <v>3</v>
      </c>
      <c r="E26" s="154">
        <f t="shared" si="2"/>
        <v>2.1126760563380285</v>
      </c>
      <c r="F26" s="154">
        <v>4</v>
      </c>
      <c r="G26" s="118">
        <v>75</v>
      </c>
      <c r="H26" s="154">
        <f>G26/1.42</f>
        <v>52.816901408450704</v>
      </c>
      <c r="I26" s="154">
        <v>71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7">
        <v>128</v>
      </c>
      <c r="R26" s="157"/>
      <c r="S26" s="157">
        <v>93524916</v>
      </c>
      <c r="T26" s="45">
        <f t="shared" si="4"/>
        <v>4036</v>
      </c>
      <c r="U26" s="46">
        <f t="shared" si="5"/>
        <v>96.864000000000004</v>
      </c>
      <c r="V26" s="46">
        <f t="shared" si="6"/>
        <v>4.0359999999999996</v>
      </c>
      <c r="W26" s="96">
        <v>4.8</v>
      </c>
      <c r="X26" s="96">
        <f t="shared" si="1"/>
        <v>4.8</v>
      </c>
      <c r="Y26" s="97" t="s">
        <v>169</v>
      </c>
      <c r="Z26" s="158">
        <v>1026</v>
      </c>
      <c r="AA26" s="158">
        <v>0</v>
      </c>
      <c r="AB26" s="158">
        <v>1187</v>
      </c>
      <c r="AC26" s="158">
        <v>1185</v>
      </c>
      <c r="AD26" s="158">
        <v>1187</v>
      </c>
      <c r="AE26" s="158">
        <v>0</v>
      </c>
      <c r="AF26" s="47" t="s">
        <v>90</v>
      </c>
      <c r="AG26" s="47" t="s">
        <v>90</v>
      </c>
      <c r="AH26" s="98" t="s">
        <v>90</v>
      </c>
      <c r="AI26" s="103">
        <v>15479649</v>
      </c>
      <c r="AJ26" s="45">
        <f t="shared" si="7"/>
        <v>1195</v>
      </c>
      <c r="AK26" s="48">
        <f t="shared" si="8"/>
        <v>296.08523290386523</v>
      </c>
      <c r="AL26" s="155">
        <v>1</v>
      </c>
      <c r="AM26" s="155">
        <v>0</v>
      </c>
      <c r="AN26" s="155">
        <v>1</v>
      </c>
      <c r="AO26" s="155">
        <v>1</v>
      </c>
      <c r="AP26" s="155">
        <v>1</v>
      </c>
      <c r="AQ26" s="155">
        <v>0</v>
      </c>
      <c r="AR26" s="155">
        <v>0</v>
      </c>
      <c r="AS26" s="158"/>
      <c r="AT26" s="158">
        <f t="shared" si="9"/>
        <v>0</v>
      </c>
      <c r="AU26" s="119">
        <v>1.01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57">
        <v>43225</v>
      </c>
      <c r="B27" s="40">
        <v>2.5833333333333299</v>
      </c>
      <c r="C27" s="40">
        <v>0.625</v>
      </c>
      <c r="D27" s="156">
        <v>3</v>
      </c>
      <c r="E27" s="154">
        <f t="shared" si="2"/>
        <v>2.1126760563380285</v>
      </c>
      <c r="F27" s="154">
        <v>3</v>
      </c>
      <c r="G27" s="118">
        <v>75</v>
      </c>
      <c r="H27" s="154">
        <f>G27/1.42</f>
        <v>52.816901408450704</v>
      </c>
      <c r="I27" s="154">
        <v>71</v>
      </c>
      <c r="J27" s="41" t="s">
        <v>88</v>
      </c>
      <c r="K27" s="41">
        <f t="shared" si="3"/>
        <v>51.408450704225352</v>
      </c>
      <c r="L27" s="42">
        <f t="shared" si="10"/>
        <v>52.816901408450704</v>
      </c>
      <c r="M27" s="41">
        <f t="shared" si="12"/>
        <v>57.04225352112676</v>
      </c>
      <c r="N27" s="43">
        <v>18</v>
      </c>
      <c r="O27" s="44" t="s">
        <v>100</v>
      </c>
      <c r="P27" s="44">
        <v>16.899999999999999</v>
      </c>
      <c r="Q27" s="157">
        <v>130</v>
      </c>
      <c r="R27" s="157"/>
      <c r="S27" s="157">
        <v>93529337</v>
      </c>
      <c r="T27" s="45">
        <f t="shared" si="4"/>
        <v>4421</v>
      </c>
      <c r="U27" s="46">
        <f t="shared" si="5"/>
        <v>106.104</v>
      </c>
      <c r="V27" s="46">
        <f t="shared" si="6"/>
        <v>4.4210000000000003</v>
      </c>
      <c r="W27" s="96">
        <v>4.4000000000000004</v>
      </c>
      <c r="X27" s="96">
        <f t="shared" si="1"/>
        <v>4.4000000000000004</v>
      </c>
      <c r="Y27" s="97" t="s">
        <v>169</v>
      </c>
      <c r="Z27" s="158">
        <v>1014</v>
      </c>
      <c r="AA27" s="158">
        <v>0</v>
      </c>
      <c r="AB27" s="158">
        <v>1187</v>
      </c>
      <c r="AC27" s="158">
        <v>1185</v>
      </c>
      <c r="AD27" s="158">
        <v>1187</v>
      </c>
      <c r="AE27" s="158">
        <v>0</v>
      </c>
      <c r="AF27" s="47" t="s">
        <v>90</v>
      </c>
      <c r="AG27" s="47" t="s">
        <v>90</v>
      </c>
      <c r="AH27" s="98" t="s">
        <v>90</v>
      </c>
      <c r="AI27" s="103">
        <v>15480812</v>
      </c>
      <c r="AJ27" s="45">
        <f t="shared" si="7"/>
        <v>1163</v>
      </c>
      <c r="AK27" s="48">
        <f t="shared" si="8"/>
        <v>263.06265550780364</v>
      </c>
      <c r="AL27" s="155">
        <v>1</v>
      </c>
      <c r="AM27" s="155">
        <v>0</v>
      </c>
      <c r="AN27" s="155">
        <v>1</v>
      </c>
      <c r="AO27" s="155">
        <v>1</v>
      </c>
      <c r="AP27" s="155">
        <v>1</v>
      </c>
      <c r="AQ27" s="155">
        <v>0</v>
      </c>
      <c r="AR27" s="155">
        <v>0</v>
      </c>
      <c r="AS27" s="158"/>
      <c r="AT27" s="158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57">
        <v>43225</v>
      </c>
      <c r="B28" s="40">
        <v>2.625</v>
      </c>
      <c r="C28" s="40">
        <v>0.66666666666666696</v>
      </c>
      <c r="D28" s="156">
        <v>3</v>
      </c>
      <c r="E28" s="154">
        <f t="shared" si="2"/>
        <v>2.1126760563380285</v>
      </c>
      <c r="F28" s="154">
        <v>2</v>
      </c>
      <c r="G28" s="118">
        <v>74</v>
      </c>
      <c r="H28" s="154">
        <f t="shared" si="0"/>
        <v>52.112676056338032</v>
      </c>
      <c r="I28" s="154">
        <v>70</v>
      </c>
      <c r="J28" s="41" t="s">
        <v>88</v>
      </c>
      <c r="K28" s="41">
        <f t="shared" si="3"/>
        <v>48.591549295774648</v>
      </c>
      <c r="L28" s="42">
        <f>(G28-3)/1.42</f>
        <v>50</v>
      </c>
      <c r="M28" s="41">
        <f t="shared" si="12"/>
        <v>54.225352112676056</v>
      </c>
      <c r="N28" s="43">
        <v>18</v>
      </c>
      <c r="O28" s="44" t="s">
        <v>100</v>
      </c>
      <c r="P28" s="44">
        <v>16.7</v>
      </c>
      <c r="Q28" s="157">
        <v>129</v>
      </c>
      <c r="R28" s="157"/>
      <c r="S28" s="157">
        <v>93533672</v>
      </c>
      <c r="T28" s="45">
        <f t="shared" si="4"/>
        <v>4335</v>
      </c>
      <c r="U28" s="46">
        <f t="shared" si="5"/>
        <v>104.04</v>
      </c>
      <c r="V28" s="46">
        <f t="shared" si="6"/>
        <v>4.335</v>
      </c>
      <c r="W28" s="96">
        <v>3.9</v>
      </c>
      <c r="X28" s="96">
        <f t="shared" si="1"/>
        <v>3.9</v>
      </c>
      <c r="Y28" s="97" t="s">
        <v>169</v>
      </c>
      <c r="Z28" s="158">
        <v>1016</v>
      </c>
      <c r="AA28" s="158">
        <v>0</v>
      </c>
      <c r="AB28" s="158">
        <v>1187</v>
      </c>
      <c r="AC28" s="158">
        <v>1185</v>
      </c>
      <c r="AD28" s="158">
        <v>1187</v>
      </c>
      <c r="AE28" s="158">
        <v>0</v>
      </c>
      <c r="AF28" s="47" t="s">
        <v>90</v>
      </c>
      <c r="AG28" s="47" t="s">
        <v>90</v>
      </c>
      <c r="AH28" s="98" t="s">
        <v>90</v>
      </c>
      <c r="AI28" s="103">
        <v>15481982</v>
      </c>
      <c r="AJ28" s="45">
        <f>IF(ISBLANK(AI28),"-",AI28-AI27)</f>
        <v>1170</v>
      </c>
      <c r="AK28" s="48">
        <f t="shared" si="8"/>
        <v>269.89619377162632</v>
      </c>
      <c r="AL28" s="155">
        <v>1</v>
      </c>
      <c r="AM28" s="155">
        <v>0</v>
      </c>
      <c r="AN28" s="155">
        <v>1</v>
      </c>
      <c r="AO28" s="155">
        <v>1</v>
      </c>
      <c r="AP28" s="155">
        <v>1</v>
      </c>
      <c r="AQ28" s="155">
        <v>0</v>
      </c>
      <c r="AR28" s="155">
        <v>0</v>
      </c>
      <c r="AS28" s="158"/>
      <c r="AT28" s="158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357">
        <v>43225</v>
      </c>
      <c r="B29" s="40">
        <v>2.6666666666666701</v>
      </c>
      <c r="C29" s="40">
        <v>0.70833333333333404</v>
      </c>
      <c r="D29" s="156">
        <v>3</v>
      </c>
      <c r="E29" s="154">
        <f t="shared" si="2"/>
        <v>2.1126760563380285</v>
      </c>
      <c r="F29" s="154">
        <v>1</v>
      </c>
      <c r="G29" s="118">
        <v>74</v>
      </c>
      <c r="H29" s="154">
        <f t="shared" si="0"/>
        <v>52.112676056338032</v>
      </c>
      <c r="I29" s="154">
        <v>70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7">
        <v>129</v>
      </c>
      <c r="R29" s="157"/>
      <c r="S29" s="157">
        <v>93537906</v>
      </c>
      <c r="T29" s="45">
        <f t="shared" si="4"/>
        <v>4234</v>
      </c>
      <c r="U29" s="46">
        <f t="shared" si="5"/>
        <v>101.616</v>
      </c>
      <c r="V29" s="46">
        <f t="shared" si="6"/>
        <v>4.234</v>
      </c>
      <c r="W29" s="96">
        <v>3.5</v>
      </c>
      <c r="X29" s="96">
        <f t="shared" si="1"/>
        <v>3.5</v>
      </c>
      <c r="Y29" s="97" t="s">
        <v>169</v>
      </c>
      <c r="Z29" s="158">
        <v>1016</v>
      </c>
      <c r="AA29" s="158">
        <v>0</v>
      </c>
      <c r="AB29" s="158">
        <v>1187</v>
      </c>
      <c r="AC29" s="158">
        <v>1185</v>
      </c>
      <c r="AD29" s="158">
        <v>1187</v>
      </c>
      <c r="AE29" s="158">
        <v>0</v>
      </c>
      <c r="AF29" s="47" t="s">
        <v>90</v>
      </c>
      <c r="AG29" s="47" t="s">
        <v>90</v>
      </c>
      <c r="AH29" s="98" t="s">
        <v>90</v>
      </c>
      <c r="AI29" s="103">
        <v>15483162</v>
      </c>
      <c r="AJ29" s="45">
        <f t="shared" si="7"/>
        <v>1180</v>
      </c>
      <c r="AK29" s="48">
        <f>AJ28/V29</f>
        <v>276.33443552196502</v>
      </c>
      <c r="AL29" s="155">
        <v>1</v>
      </c>
      <c r="AM29" s="155">
        <v>0</v>
      </c>
      <c r="AN29" s="155">
        <v>1</v>
      </c>
      <c r="AO29" s="155">
        <v>1</v>
      </c>
      <c r="AP29" s="155">
        <v>1</v>
      </c>
      <c r="AQ29" s="155">
        <v>0</v>
      </c>
      <c r="AR29" s="155">
        <v>0</v>
      </c>
      <c r="AS29" s="158"/>
      <c r="AT29" s="158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357">
        <v>43225</v>
      </c>
      <c r="B30" s="40">
        <v>2.7083333333333299</v>
      </c>
      <c r="C30" s="40">
        <v>0.750000000000002</v>
      </c>
      <c r="D30" s="156">
        <v>3</v>
      </c>
      <c r="E30" s="154">
        <f t="shared" si="2"/>
        <v>2.1126760563380285</v>
      </c>
      <c r="F30" s="154">
        <v>0</v>
      </c>
      <c r="G30" s="118">
        <v>74</v>
      </c>
      <c r="H30" s="154">
        <f t="shared" si="0"/>
        <v>52.112676056338032</v>
      </c>
      <c r="I30" s="154">
        <v>70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7">
        <v>128</v>
      </c>
      <c r="R30" s="157"/>
      <c r="S30" s="157">
        <v>93542399</v>
      </c>
      <c r="T30" s="45">
        <f t="shared" si="4"/>
        <v>4493</v>
      </c>
      <c r="U30" s="46">
        <f t="shared" si="5"/>
        <v>107.83199999999999</v>
      </c>
      <c r="V30" s="46">
        <f t="shared" si="6"/>
        <v>4.4930000000000003</v>
      </c>
      <c r="W30" s="96">
        <v>3.1</v>
      </c>
      <c r="X30" s="96">
        <f t="shared" si="1"/>
        <v>3.1</v>
      </c>
      <c r="Y30" s="97" t="s">
        <v>169</v>
      </c>
      <c r="Z30" s="158">
        <v>1015</v>
      </c>
      <c r="AA30" s="158">
        <v>0</v>
      </c>
      <c r="AB30" s="158">
        <v>1187</v>
      </c>
      <c r="AC30" s="158">
        <v>1185</v>
      </c>
      <c r="AD30" s="158">
        <v>1187</v>
      </c>
      <c r="AE30" s="158">
        <v>0</v>
      </c>
      <c r="AF30" s="47" t="s">
        <v>90</v>
      </c>
      <c r="AG30" s="47" t="s">
        <v>90</v>
      </c>
      <c r="AH30" s="98" t="s">
        <v>90</v>
      </c>
      <c r="AI30" s="103">
        <v>15484333</v>
      </c>
      <c r="AJ30" s="45">
        <f t="shared" si="7"/>
        <v>1171</v>
      </c>
      <c r="AK30" s="48">
        <f>AJ29/V30</f>
        <v>262.63075895837966</v>
      </c>
      <c r="AL30" s="155">
        <v>1</v>
      </c>
      <c r="AM30" s="155">
        <v>0</v>
      </c>
      <c r="AN30" s="155">
        <v>1</v>
      </c>
      <c r="AO30" s="155">
        <v>1</v>
      </c>
      <c r="AP30" s="155">
        <v>1</v>
      </c>
      <c r="AQ30" s="155">
        <v>0</v>
      </c>
      <c r="AR30" s="155">
        <v>0</v>
      </c>
      <c r="AS30" s="158"/>
      <c r="AT30" s="158">
        <f t="shared" si="9"/>
        <v>0</v>
      </c>
      <c r="AU30" s="159">
        <v>0.93</v>
      </c>
      <c r="AV30" s="50" t="s">
        <v>124</v>
      </c>
      <c r="AY30" s="55" t="s">
        <v>114</v>
      </c>
      <c r="AZ30" s="55">
        <v>101.325</v>
      </c>
      <c r="BB30" s="74" t="s">
        <v>143</v>
      </c>
    </row>
    <row r="31" spans="1:54" x14ac:dyDescent="0.35">
      <c r="A31" s="357">
        <v>43225</v>
      </c>
      <c r="B31" s="40">
        <v>2.75</v>
      </c>
      <c r="C31" s="40">
        <v>0.79166666666666896</v>
      </c>
      <c r="D31" s="156">
        <v>3</v>
      </c>
      <c r="E31" s="154">
        <f t="shared" si="2"/>
        <v>2.1126760563380285</v>
      </c>
      <c r="F31" s="154">
        <v>-1</v>
      </c>
      <c r="G31" s="118">
        <v>74</v>
      </c>
      <c r="H31" s="154">
        <f t="shared" si="0"/>
        <v>52.112676056338032</v>
      </c>
      <c r="I31" s="154">
        <v>70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7">
        <v>129</v>
      </c>
      <c r="R31" s="157"/>
      <c r="S31" s="157">
        <v>93546893</v>
      </c>
      <c r="T31" s="45">
        <f t="shared" si="4"/>
        <v>4494</v>
      </c>
      <c r="U31" s="46">
        <f t="shared" si="5"/>
        <v>107.85599999999999</v>
      </c>
      <c r="V31" s="46">
        <f t="shared" si="6"/>
        <v>4.4939999999999998</v>
      </c>
      <c r="W31" s="96">
        <v>2.8</v>
      </c>
      <c r="X31" s="96">
        <f t="shared" si="1"/>
        <v>2.8</v>
      </c>
      <c r="Y31" s="97" t="s">
        <v>169</v>
      </c>
      <c r="Z31" s="158">
        <v>1015</v>
      </c>
      <c r="AA31" s="158">
        <v>0</v>
      </c>
      <c r="AB31" s="158">
        <v>1186</v>
      </c>
      <c r="AC31" s="158">
        <v>1185</v>
      </c>
      <c r="AD31" s="158">
        <v>1186</v>
      </c>
      <c r="AE31" s="158">
        <v>0</v>
      </c>
      <c r="AF31" s="47" t="s">
        <v>90</v>
      </c>
      <c r="AG31" s="47" t="s">
        <v>90</v>
      </c>
      <c r="AH31" s="98" t="s">
        <v>90</v>
      </c>
      <c r="AI31" s="103">
        <v>15485509</v>
      </c>
      <c r="AJ31" s="45">
        <f t="shared" si="7"/>
        <v>1176</v>
      </c>
      <c r="AK31" s="48">
        <f t="shared" si="8"/>
        <v>261.68224299065423</v>
      </c>
      <c r="AL31" s="155">
        <v>1</v>
      </c>
      <c r="AM31" s="155">
        <v>0</v>
      </c>
      <c r="AN31" s="155">
        <v>1</v>
      </c>
      <c r="AO31" s="155">
        <v>1</v>
      </c>
      <c r="AP31" s="155">
        <v>1</v>
      </c>
      <c r="AQ31" s="155">
        <v>0</v>
      </c>
      <c r="AR31" s="155">
        <v>0</v>
      </c>
      <c r="AS31" s="158"/>
      <c r="AT31" s="158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357">
        <v>43225</v>
      </c>
      <c r="B32" s="40">
        <v>2.7916666666666701</v>
      </c>
      <c r="C32" s="40">
        <v>0.83333333333333703</v>
      </c>
      <c r="D32" s="156">
        <v>3</v>
      </c>
      <c r="E32" s="154">
        <f t="shared" si="2"/>
        <v>2.1126760563380285</v>
      </c>
      <c r="F32" s="154">
        <v>-2</v>
      </c>
      <c r="G32" s="118">
        <v>74</v>
      </c>
      <c r="H32" s="154">
        <f t="shared" si="0"/>
        <v>52.112676056338032</v>
      </c>
      <c r="I32" s="154">
        <v>70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7">
        <v>127</v>
      </c>
      <c r="R32" s="157"/>
      <c r="S32" s="157">
        <v>93551441</v>
      </c>
      <c r="T32" s="45">
        <f t="shared" si="4"/>
        <v>4548</v>
      </c>
      <c r="U32" s="46">
        <f t="shared" si="5"/>
        <v>109.152</v>
      </c>
      <c r="V32" s="46">
        <f t="shared" si="6"/>
        <v>4.548</v>
      </c>
      <c r="W32" s="96">
        <v>2.4</v>
      </c>
      <c r="X32" s="96">
        <f t="shared" si="1"/>
        <v>2.4</v>
      </c>
      <c r="Y32" s="97" t="s">
        <v>169</v>
      </c>
      <c r="Z32" s="158">
        <v>1016</v>
      </c>
      <c r="AA32" s="158">
        <v>0</v>
      </c>
      <c r="AB32" s="158">
        <v>1186</v>
      </c>
      <c r="AC32" s="158">
        <v>1185</v>
      </c>
      <c r="AD32" s="158">
        <v>1187</v>
      </c>
      <c r="AE32" s="158">
        <v>0</v>
      </c>
      <c r="AF32" s="47" t="s">
        <v>90</v>
      </c>
      <c r="AG32" s="47" t="s">
        <v>90</v>
      </c>
      <c r="AH32" s="98" t="s">
        <v>90</v>
      </c>
      <c r="AI32" s="103">
        <v>15486673</v>
      </c>
      <c r="AJ32" s="45">
        <f t="shared" si="7"/>
        <v>1164</v>
      </c>
      <c r="AK32" s="48">
        <f t="shared" si="8"/>
        <v>255.93667546174143</v>
      </c>
      <c r="AL32" s="155">
        <v>1</v>
      </c>
      <c r="AM32" s="155">
        <v>0</v>
      </c>
      <c r="AN32" s="155">
        <v>1</v>
      </c>
      <c r="AO32" s="155">
        <v>1</v>
      </c>
      <c r="AP32" s="155">
        <v>1</v>
      </c>
      <c r="AQ32" s="155">
        <v>0</v>
      </c>
      <c r="AR32" s="155">
        <v>0</v>
      </c>
      <c r="AS32" s="158"/>
      <c r="AT32" s="158">
        <v>0</v>
      </c>
      <c r="AU32" s="49"/>
      <c r="AV32" s="50" t="s">
        <v>124</v>
      </c>
      <c r="AY32" s="308" t="s">
        <v>115</v>
      </c>
      <c r="AZ32" s="308"/>
      <c r="BB32" s="74" t="s">
        <v>156</v>
      </c>
    </row>
    <row r="33" spans="1:54" x14ac:dyDescent="0.35">
      <c r="A33" s="357">
        <v>43225</v>
      </c>
      <c r="B33" s="40">
        <v>2.8333333333333299</v>
      </c>
      <c r="C33" s="40">
        <v>0.875</v>
      </c>
      <c r="D33" s="156">
        <v>3</v>
      </c>
      <c r="E33" s="154">
        <f t="shared" si="2"/>
        <v>2.1126760563380285</v>
      </c>
      <c r="F33" s="154">
        <v>-2</v>
      </c>
      <c r="G33" s="118">
        <v>75</v>
      </c>
      <c r="H33" s="154">
        <f t="shared" si="0"/>
        <v>52.816901408450704</v>
      </c>
      <c r="I33" s="154">
        <v>71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7">
        <v>127</v>
      </c>
      <c r="R33" s="157"/>
      <c r="S33" s="157">
        <v>93556043</v>
      </c>
      <c r="T33" s="45">
        <f t="shared" si="4"/>
        <v>4602</v>
      </c>
      <c r="U33" s="46">
        <f t="shared" si="5"/>
        <v>110.44799999999999</v>
      </c>
      <c r="V33" s="46">
        <f t="shared" si="6"/>
        <v>4.6020000000000003</v>
      </c>
      <c r="W33" s="96">
        <v>2.1</v>
      </c>
      <c r="X33" s="96">
        <f t="shared" si="1"/>
        <v>2.1</v>
      </c>
      <c r="Y33" s="97" t="s">
        <v>169</v>
      </c>
      <c r="Z33" s="158">
        <v>1016</v>
      </c>
      <c r="AA33" s="158">
        <v>0</v>
      </c>
      <c r="AB33" s="158">
        <v>1187</v>
      </c>
      <c r="AC33" s="158">
        <v>1185</v>
      </c>
      <c r="AD33" s="158">
        <v>1187</v>
      </c>
      <c r="AE33" s="158">
        <v>0</v>
      </c>
      <c r="AF33" s="47" t="s">
        <v>90</v>
      </c>
      <c r="AG33" s="47" t="s">
        <v>90</v>
      </c>
      <c r="AH33" s="98" t="s">
        <v>90</v>
      </c>
      <c r="AI33" s="103">
        <v>15487844</v>
      </c>
      <c r="AJ33" s="45">
        <f t="shared" si="7"/>
        <v>1171</v>
      </c>
      <c r="AK33" s="48">
        <f t="shared" si="8"/>
        <v>254.45458496305952</v>
      </c>
      <c r="AL33" s="155">
        <v>1</v>
      </c>
      <c r="AM33" s="155">
        <v>0</v>
      </c>
      <c r="AN33" s="155">
        <v>1</v>
      </c>
      <c r="AO33" s="155">
        <v>1</v>
      </c>
      <c r="AP33" s="155">
        <v>1</v>
      </c>
      <c r="AQ33" s="155">
        <v>0</v>
      </c>
      <c r="AR33" s="155">
        <v>0</v>
      </c>
      <c r="AS33" s="158"/>
      <c r="AT33" s="158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57">
        <v>43225</v>
      </c>
      <c r="B34" s="40">
        <v>2.875</v>
      </c>
      <c r="C34" s="40">
        <v>0.91666666666667096</v>
      </c>
      <c r="D34" s="156">
        <v>3</v>
      </c>
      <c r="E34" s="154">
        <f t="shared" si="2"/>
        <v>2.1126760563380285</v>
      </c>
      <c r="F34" s="154">
        <v>0</v>
      </c>
      <c r="G34" s="118">
        <v>77</v>
      </c>
      <c r="H34" s="154">
        <f t="shared" si="0"/>
        <v>54.225352112676056</v>
      </c>
      <c r="I34" s="154">
        <v>71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7">
        <v>128</v>
      </c>
      <c r="R34" s="157"/>
      <c r="S34" s="157">
        <v>93560914</v>
      </c>
      <c r="T34" s="45">
        <f t="shared" si="4"/>
        <v>4871</v>
      </c>
      <c r="U34" s="46">
        <f t="shared" si="5"/>
        <v>116.904</v>
      </c>
      <c r="V34" s="46">
        <f t="shared" si="6"/>
        <v>4.8710000000000004</v>
      </c>
      <c r="W34" s="96">
        <v>1.9</v>
      </c>
      <c r="X34" s="96">
        <f t="shared" si="1"/>
        <v>1.9</v>
      </c>
      <c r="Y34" s="97" t="s">
        <v>169</v>
      </c>
      <c r="Z34" s="158">
        <v>1015</v>
      </c>
      <c r="AA34" s="158">
        <v>0</v>
      </c>
      <c r="AB34" s="158">
        <v>1187</v>
      </c>
      <c r="AC34" s="158">
        <v>1185</v>
      </c>
      <c r="AD34" s="158">
        <v>1187</v>
      </c>
      <c r="AE34" s="158">
        <v>0</v>
      </c>
      <c r="AF34" s="47" t="s">
        <v>90</v>
      </c>
      <c r="AG34" s="47" t="s">
        <v>90</v>
      </c>
      <c r="AH34" s="98" t="s">
        <v>90</v>
      </c>
      <c r="AI34" s="103">
        <v>15489042</v>
      </c>
      <c r="AJ34" s="45">
        <f t="shared" si="7"/>
        <v>1198</v>
      </c>
      <c r="AK34" s="48">
        <f t="shared" si="8"/>
        <v>245.94539109012521</v>
      </c>
      <c r="AL34" s="155">
        <v>1</v>
      </c>
      <c r="AM34" s="155">
        <v>0</v>
      </c>
      <c r="AN34" s="155">
        <v>1</v>
      </c>
      <c r="AO34" s="155">
        <v>1</v>
      </c>
      <c r="AP34" s="155">
        <v>1</v>
      </c>
      <c r="AQ34" s="155">
        <v>0</v>
      </c>
      <c r="AR34" s="155">
        <v>0</v>
      </c>
      <c r="AS34" s="158"/>
      <c r="AT34" s="158">
        <f>AS34-AS33</f>
        <v>0</v>
      </c>
      <c r="AU34" s="119">
        <v>1.04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357">
        <v>43225</v>
      </c>
      <c r="B35" s="40">
        <v>2.9166666666666701</v>
      </c>
      <c r="C35" s="40">
        <v>0.95833333333333803</v>
      </c>
      <c r="D35" s="156">
        <v>3</v>
      </c>
      <c r="E35" s="154">
        <f t="shared" si="2"/>
        <v>2.1126760563380285</v>
      </c>
      <c r="F35" s="154">
        <v>1</v>
      </c>
      <c r="G35" s="118">
        <v>70</v>
      </c>
      <c r="H35" s="154">
        <f t="shared" si="0"/>
        <v>49.295774647887328</v>
      </c>
      <c r="I35" s="154">
        <v>71</v>
      </c>
      <c r="J35" s="41" t="s">
        <v>88</v>
      </c>
      <c r="K35" s="41">
        <f>L35-(2/1.42)</f>
        <v>44.366197183098592</v>
      </c>
      <c r="L35" s="42">
        <f>(G35-5)/1.42</f>
        <v>45.774647887323944</v>
      </c>
      <c r="M35" s="41">
        <f t="shared" si="12"/>
        <v>50</v>
      </c>
      <c r="N35" s="43">
        <v>14</v>
      </c>
      <c r="O35" s="44" t="s">
        <v>116</v>
      </c>
      <c r="P35" s="44">
        <v>11.9</v>
      </c>
      <c r="Q35" s="157">
        <v>142</v>
      </c>
      <c r="R35" s="157"/>
      <c r="S35" s="157">
        <v>93564982</v>
      </c>
      <c r="T35" s="45">
        <f t="shared" si="4"/>
        <v>4068</v>
      </c>
      <c r="U35" s="46">
        <f t="shared" si="5"/>
        <v>97.632000000000005</v>
      </c>
      <c r="V35" s="46">
        <f t="shared" si="6"/>
        <v>4.0679999999999996</v>
      </c>
      <c r="W35" s="96">
        <v>2.7</v>
      </c>
      <c r="X35" s="96">
        <f t="shared" si="1"/>
        <v>2.7</v>
      </c>
      <c r="Y35" s="97" t="s">
        <v>138</v>
      </c>
      <c r="Z35" s="158">
        <v>0</v>
      </c>
      <c r="AA35" s="158">
        <v>0</v>
      </c>
      <c r="AB35" s="158">
        <v>1187</v>
      </c>
      <c r="AC35" s="158">
        <v>1185</v>
      </c>
      <c r="AD35" s="158">
        <v>1187</v>
      </c>
      <c r="AE35" s="158">
        <v>0</v>
      </c>
      <c r="AF35" s="47" t="s">
        <v>90</v>
      </c>
      <c r="AG35" s="47" t="s">
        <v>90</v>
      </c>
      <c r="AH35" s="98" t="s">
        <v>90</v>
      </c>
      <c r="AI35" s="103">
        <v>15490116</v>
      </c>
      <c r="AJ35" s="45">
        <f t="shared" si="7"/>
        <v>1074</v>
      </c>
      <c r="AK35" s="48">
        <f t="shared" si="8"/>
        <v>264.01179941002954</v>
      </c>
      <c r="AL35" s="155">
        <v>0</v>
      </c>
      <c r="AM35" s="155">
        <v>0</v>
      </c>
      <c r="AN35" s="155">
        <v>1</v>
      </c>
      <c r="AO35" s="155">
        <v>1</v>
      </c>
      <c r="AP35" s="155">
        <v>1</v>
      </c>
      <c r="AQ35" s="155">
        <v>0</v>
      </c>
      <c r="AR35" s="155">
        <v>0.3</v>
      </c>
      <c r="AS35" s="158"/>
      <c r="AT35" s="158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357">
        <v>43225</v>
      </c>
      <c r="B36" s="40">
        <v>2.9583333333333299</v>
      </c>
      <c r="C36" s="40">
        <v>1</v>
      </c>
      <c r="D36" s="156">
        <v>3</v>
      </c>
      <c r="E36" s="154">
        <f t="shared" si="2"/>
        <v>2.1126760563380285</v>
      </c>
      <c r="F36" s="154">
        <v>1</v>
      </c>
      <c r="G36" s="118">
        <v>71</v>
      </c>
      <c r="H36" s="154">
        <f t="shared" si="0"/>
        <v>50</v>
      </c>
      <c r="I36" s="154">
        <v>71</v>
      </c>
      <c r="J36" s="41" t="s">
        <v>88</v>
      </c>
      <c r="K36" s="41">
        <f t="shared" si="3"/>
        <v>45.070422535211272</v>
      </c>
      <c r="L36" s="42">
        <f>(G36-5)/1.42</f>
        <v>46.478873239436624</v>
      </c>
      <c r="M36" s="41">
        <f t="shared" si="12"/>
        <v>50.70422535211268</v>
      </c>
      <c r="N36" s="43">
        <v>14</v>
      </c>
      <c r="O36" s="44" t="s">
        <v>116</v>
      </c>
      <c r="P36" s="58">
        <v>11.5</v>
      </c>
      <c r="Q36" s="157">
        <v>134</v>
      </c>
      <c r="R36" s="157"/>
      <c r="S36" s="157">
        <v>93568988</v>
      </c>
      <c r="T36" s="45">
        <f t="shared" si="4"/>
        <v>4006</v>
      </c>
      <c r="U36" s="46">
        <f t="shared" si="5"/>
        <v>96.144000000000005</v>
      </c>
      <c r="V36" s="46">
        <f t="shared" si="6"/>
        <v>4.0060000000000002</v>
      </c>
      <c r="W36" s="96">
        <v>3.9</v>
      </c>
      <c r="X36" s="96">
        <f t="shared" si="1"/>
        <v>3.9</v>
      </c>
      <c r="Y36" s="97" t="s">
        <v>138</v>
      </c>
      <c r="Z36" s="158">
        <v>0</v>
      </c>
      <c r="AA36" s="158">
        <v>0</v>
      </c>
      <c r="AB36" s="158">
        <v>1187</v>
      </c>
      <c r="AC36" s="158">
        <v>1185</v>
      </c>
      <c r="AD36" s="158">
        <v>1187</v>
      </c>
      <c r="AE36" s="158">
        <v>0</v>
      </c>
      <c r="AF36" s="47" t="s">
        <v>90</v>
      </c>
      <c r="AG36" s="47" t="s">
        <v>90</v>
      </c>
      <c r="AH36" s="98" t="s">
        <v>90</v>
      </c>
      <c r="AI36" s="103">
        <v>15491226</v>
      </c>
      <c r="AJ36" s="45">
        <f t="shared" si="7"/>
        <v>1110</v>
      </c>
      <c r="AK36" s="48">
        <f t="shared" si="8"/>
        <v>277.08437343984025</v>
      </c>
      <c r="AL36" s="155">
        <v>0</v>
      </c>
      <c r="AM36" s="155">
        <v>0</v>
      </c>
      <c r="AN36" s="155">
        <v>1</v>
      </c>
      <c r="AO36" s="155">
        <v>1</v>
      </c>
      <c r="AP36" s="155">
        <v>1</v>
      </c>
      <c r="AQ36" s="155">
        <v>0</v>
      </c>
      <c r="AR36" s="155">
        <v>0.3</v>
      </c>
      <c r="AS36" s="158"/>
      <c r="AT36" s="158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73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09" t="s">
        <v>118</v>
      </c>
      <c r="O37" s="310"/>
      <c r="P37" s="311"/>
      <c r="Q37" s="101"/>
      <c r="R37" s="101"/>
      <c r="S37" s="101"/>
      <c r="T37" s="60">
        <f>SUM(T13:T36)</f>
        <v>103884</v>
      </c>
      <c r="U37" s="46">
        <f t="shared" si="5"/>
        <v>2493.2159999999999</v>
      </c>
      <c r="V37" s="46">
        <f t="shared" si="6"/>
        <v>103.884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27891</v>
      </c>
      <c r="AK37" s="61">
        <f>$AJ$37/$V37</f>
        <v>268.48215317084441</v>
      </c>
      <c r="AL37" s="155"/>
      <c r="AM37" s="155"/>
      <c r="AN37" s="155"/>
      <c r="AO37" s="155"/>
      <c r="AP37" s="155"/>
      <c r="AQ37" s="155"/>
      <c r="AR37" s="62"/>
      <c r="AS37" s="63">
        <f>AS36-AS11</f>
        <v>0</v>
      </c>
      <c r="AT37" s="64">
        <f>SUM(AT13:AT36)</f>
        <v>0</v>
      </c>
      <c r="AU37" s="65">
        <f>AVERAGE(AU13:AU36)</f>
        <v>1.0216666666666667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7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8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8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4"/>
      <c r="D47" s="164"/>
      <c r="E47" s="164"/>
      <c r="F47" s="164"/>
      <c r="G47" s="164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71" t="s">
        <v>185</v>
      </c>
      <c r="C48" s="172"/>
      <c r="D48" s="172"/>
      <c r="E48" s="172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2" t="s">
        <v>152</v>
      </c>
      <c r="C49" s="170"/>
      <c r="D49" s="170"/>
      <c r="E49" s="170"/>
      <c r="F49" s="161"/>
      <c r="G49" s="161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15" t="s">
        <v>182</v>
      </c>
      <c r="C50" s="143"/>
      <c r="D50" s="143"/>
      <c r="E50" s="143"/>
      <c r="F50" s="130"/>
      <c r="G50" s="130"/>
      <c r="H50" s="160"/>
      <c r="I50" s="160"/>
      <c r="J50" s="160"/>
      <c r="K50" s="160"/>
      <c r="L50" s="160"/>
      <c r="M50" s="160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32" t="s">
        <v>163</v>
      </c>
      <c r="C51" s="143"/>
      <c r="D51" s="143"/>
      <c r="E51" s="143"/>
      <c r="F51" s="130"/>
      <c r="G51" s="130"/>
      <c r="H51" s="160"/>
      <c r="I51" s="160"/>
      <c r="J51" s="160"/>
      <c r="K51" s="160"/>
      <c r="L51" s="160"/>
      <c r="M51" s="160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2" t="s">
        <v>196</v>
      </c>
      <c r="C52" s="120"/>
      <c r="D52" s="115"/>
      <c r="E52" s="115"/>
      <c r="F52" s="115"/>
      <c r="G52" s="115"/>
      <c r="H52" s="160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2" t="s">
        <v>166</v>
      </c>
      <c r="C53" s="170"/>
      <c r="D53" s="170"/>
      <c r="E53" s="170"/>
      <c r="F53" s="170"/>
      <c r="G53" s="115"/>
      <c r="H53" s="115"/>
      <c r="I53" s="115"/>
      <c r="J53" s="115"/>
      <c r="K53" s="115"/>
      <c r="L53" s="115"/>
      <c r="M53" s="115"/>
      <c r="N53" s="163"/>
      <c r="O53" s="163"/>
      <c r="P53" s="163"/>
      <c r="Q53" s="163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2" t="s">
        <v>170</v>
      </c>
      <c r="C54" s="153"/>
      <c r="D54" s="170"/>
      <c r="E54" s="170"/>
      <c r="F54" s="170"/>
      <c r="G54" s="170"/>
      <c r="H54" s="170"/>
      <c r="I54" s="170"/>
      <c r="J54" s="169"/>
      <c r="K54" s="166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2" t="s">
        <v>171</v>
      </c>
      <c r="C55" s="115"/>
      <c r="D55" s="170"/>
      <c r="E55" s="153"/>
      <c r="F55" s="153"/>
      <c r="G55" s="153"/>
      <c r="H55" s="153"/>
      <c r="I55" s="153"/>
      <c r="J55" s="169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2" t="s">
        <v>172</v>
      </c>
      <c r="C56" s="115"/>
      <c r="D56" s="170"/>
      <c r="E56" s="153"/>
      <c r="F56" s="153"/>
      <c r="G56" s="153"/>
      <c r="H56" s="153"/>
      <c r="I56" s="153"/>
      <c r="J56" s="153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3" t="s">
        <v>197</v>
      </c>
      <c r="C57" s="170"/>
      <c r="D57" s="170"/>
      <c r="E57" s="153"/>
      <c r="F57" s="153"/>
      <c r="G57" s="153"/>
      <c r="H57" s="153"/>
      <c r="I57" s="153"/>
      <c r="J57" s="153"/>
      <c r="K57" s="166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2" t="s">
        <v>174</v>
      </c>
      <c r="C58" s="170"/>
      <c r="D58" s="170"/>
      <c r="E58" s="115"/>
      <c r="F58" s="115"/>
      <c r="G58" s="115"/>
      <c r="H58" s="115"/>
      <c r="I58" s="153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2" t="s">
        <v>195</v>
      </c>
      <c r="C59" s="170"/>
      <c r="D59" s="170"/>
      <c r="E59" s="153"/>
      <c r="F59" s="153"/>
      <c r="G59" s="153"/>
      <c r="H59" s="153"/>
      <c r="I59" s="153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70"/>
      <c r="C60" s="170"/>
      <c r="D60" s="223"/>
      <c r="E60" s="223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32"/>
      <c r="C61" s="153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32"/>
      <c r="C62" s="115"/>
      <c r="D62" s="100"/>
      <c r="E62" s="100"/>
      <c r="F62" s="115"/>
      <c r="G62" s="115"/>
      <c r="H62" s="92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2"/>
      <c r="C63" s="115"/>
      <c r="D63" s="166"/>
      <c r="E63" s="166"/>
      <c r="F63" s="166"/>
      <c r="G63" s="166"/>
      <c r="H63" s="166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53"/>
      <c r="C64" s="115"/>
      <c r="D64" s="100"/>
      <c r="E64" s="100"/>
      <c r="F64" s="115"/>
      <c r="G64" s="115"/>
      <c r="H64" s="92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6"/>
      <c r="E65" s="166"/>
      <c r="F65" s="166"/>
      <c r="G65" s="166"/>
      <c r="H65" s="166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AV65" s="86"/>
      <c r="AW65" s="86"/>
      <c r="AX65" s="86"/>
      <c r="AY65" s="86"/>
      <c r="AZ65" s="86"/>
      <c r="BA65" s="86"/>
      <c r="BB65" s="86"/>
    </row>
    <row r="66" spans="2:54" x14ac:dyDescent="0.35">
      <c r="B66" s="162"/>
      <c r="C66" s="115"/>
      <c r="D66" s="166"/>
      <c r="E66" s="166"/>
      <c r="F66" s="166"/>
      <c r="G66" s="166"/>
      <c r="H66" s="166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6"/>
      <c r="E67" s="166"/>
      <c r="F67" s="166"/>
      <c r="G67" s="166"/>
      <c r="H67" s="166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AF13:AH36 T13:V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3" name="Range1_16_1_1_1_1_1_1_2_2_2_2_2_2_2_2_2_2_2_2_2_2_2_2_2_2_2_2_2_2_2_1_2_2_2_2_2_2_2_2_2_2_3_2_2_2_2_2_2_2_2_2_2_1_1_1_1_2_2_1_1_1_1_1_1_1_1_1_1_3_1_3"/>
    <protectedRange sqref="R5:W5" name="Range1_16_1_1_1_1_1_1_2_2_2_2_2_2_2_2_2_2_2_2_2_2_2_2_2_2_2_2_2_2_2_1_2_2_2_2_2_2_2_2_2_2_3_2_2_2_2_2_2_2_2_2_2_1_1_1_1_2_2_1_1_1_1_1_1_1_1_1_1_3_1_3_2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R4:W4" name="Range1_16_1_1_1_1_1_1_2_2_2_2_2_2_2_2_2_2_2_2_2_2_2_2_2_2_2_2_2_2_2_1_2_2_2_2_2_2_2_2_2_2_3_2_2_2_2_2_2_2_2_2_2_1_1_1_1_2_2_1_1_1_1_1_1_1_1_1_1_1_1_1_1_2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458" priority="5" operator="containsText" text="N/A">
      <formula>NOT(ISERROR(SEARCH("N/A",Z13)))</formula>
    </cfRule>
    <cfRule type="cellIs" dxfId="457" priority="17" operator="equal">
      <formula>0</formula>
    </cfRule>
  </conditionalFormatting>
  <conditionalFormatting sqref="Z13:AG36">
    <cfRule type="cellIs" dxfId="456" priority="16" operator="greaterThanOrEqual">
      <formula>1185</formula>
    </cfRule>
  </conditionalFormatting>
  <conditionalFormatting sqref="Z13:AG36">
    <cfRule type="cellIs" dxfId="455" priority="15" operator="between">
      <formula>0.1</formula>
      <formula>1184</formula>
    </cfRule>
  </conditionalFormatting>
  <conditionalFormatting sqref="Z8:Z9 AT13:AT36 AL37:AQ37 AL13:AR36">
    <cfRule type="cellIs" dxfId="454" priority="14" operator="equal">
      <formula>0</formula>
    </cfRule>
  </conditionalFormatting>
  <conditionalFormatting sqref="Z8:Z9 AT13:AT36 AL37:AQ37 AL13:AR36">
    <cfRule type="cellIs" dxfId="453" priority="13" operator="greaterThan">
      <formula>1179</formula>
    </cfRule>
  </conditionalFormatting>
  <conditionalFormatting sqref="Z8:Z9 AT13:AT36 AL37:AQ37 AL13:AR36">
    <cfRule type="cellIs" dxfId="452" priority="12" operator="greaterThan">
      <formula>99</formula>
    </cfRule>
  </conditionalFormatting>
  <conditionalFormatting sqref="Z8:Z9 AT13:AT36 AL37:AQ37 AL13:AR36">
    <cfRule type="cellIs" dxfId="451" priority="11" operator="greaterThan">
      <formula>0.99</formula>
    </cfRule>
  </conditionalFormatting>
  <conditionalFormatting sqref="AD8:AD9">
    <cfRule type="cellIs" dxfId="450" priority="10" operator="equal">
      <formula>0</formula>
    </cfRule>
  </conditionalFormatting>
  <conditionalFormatting sqref="AD8:AD9">
    <cfRule type="cellIs" dxfId="449" priority="9" operator="greaterThan">
      <formula>1179</formula>
    </cfRule>
  </conditionalFormatting>
  <conditionalFormatting sqref="AD8:AD9">
    <cfRule type="cellIs" dxfId="448" priority="8" operator="greaterThan">
      <formula>99</formula>
    </cfRule>
  </conditionalFormatting>
  <conditionalFormatting sqref="AD8:AD9">
    <cfRule type="cellIs" dxfId="447" priority="7" operator="greaterThan">
      <formula>0.99</formula>
    </cfRule>
  </conditionalFormatting>
  <conditionalFormatting sqref="AK13:AK36">
    <cfRule type="cellIs" dxfId="446" priority="6" operator="greaterThan">
      <formula>$AK$8</formula>
    </cfRule>
  </conditionalFormatting>
  <conditionalFormatting sqref="AS13:AS36">
    <cfRule type="containsText" dxfId="445" priority="1" operator="containsText" text="N/A">
      <formula>NOT(ISERROR(SEARCH("N/A",AS13)))</formula>
    </cfRule>
    <cfRule type="cellIs" dxfId="444" priority="4" operator="equal">
      <formula>0</formula>
    </cfRule>
  </conditionalFormatting>
  <conditionalFormatting sqref="AS13:AS36">
    <cfRule type="cellIs" dxfId="443" priority="3" operator="greaterThanOrEqual">
      <formula>1185</formula>
    </cfRule>
  </conditionalFormatting>
  <conditionalFormatting sqref="AS13:AS36">
    <cfRule type="cellIs" dxfId="442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400-000000000000}">
      <formula1>$BB$11:$BB$42</formula1>
    </dataValidation>
    <dataValidation type="list" allowBlank="1" showInputMessage="1" showErrorMessage="1" sqref="AY33:AZ33" xr:uid="{00000000-0002-0000-0400-000001000000}">
      <formula1>$AY$26:$AY$30</formula1>
    </dataValidation>
    <dataValidation type="list" allowBlank="1" showInputMessage="1" showErrorMessage="1" sqref="AS8:AT9 P11:P12 N11:N12 D8:E9 Q8:V9" xr:uid="{00000000-0002-0000-0400-000002000000}">
      <formula1>#REF!</formula1>
    </dataValidation>
    <dataValidation type="list" allowBlank="1" showInputMessage="1" showErrorMessage="1" sqref="J13:J36" xr:uid="{00000000-0002-0000-0400-000003000000}">
      <formula1>$AY$11:$AY$21</formula1>
    </dataValidation>
  </dataValidations>
  <hyperlinks>
    <hyperlink ref="J10:J11" location="'1'!AH8" display="Plant Status" xr:uid="{00000000-0004-0000-0400-000000000000}"/>
  </hyperlinks>
  <pageMargins left="0.7" right="0.7" top="0.75" bottom="0.75" header="0.3" footer="0.3"/>
  <pageSetup paperSize="9" orientation="portrait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2:BB88"/>
  <sheetViews>
    <sheetView topLeftCell="A2" zoomScaleNormal="100" workbookViewId="0">
      <selection activeCell="D13" sqref="D13:D35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47" t="s">
        <v>157</v>
      </c>
      <c r="S3" s="348"/>
      <c r="T3" s="348"/>
      <c r="U3" s="348"/>
      <c r="V3" s="348"/>
      <c r="W3" s="34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47" t="s">
        <v>140</v>
      </c>
      <c r="S4" s="348"/>
      <c r="T4" s="348"/>
      <c r="U4" s="348"/>
      <c r="V4" s="348"/>
      <c r="W4" s="34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47" t="s">
        <v>151</v>
      </c>
      <c r="S5" s="348"/>
      <c r="T5" s="348"/>
      <c r="U5" s="348"/>
      <c r="V5" s="348"/>
      <c r="W5" s="34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50" t="s">
        <v>6</v>
      </c>
      <c r="C6" s="351"/>
      <c r="D6" s="352" t="s">
        <v>7</v>
      </c>
      <c r="E6" s="353"/>
      <c r="F6" s="353"/>
      <c r="G6" s="353"/>
      <c r="H6" s="353"/>
      <c r="I6" s="353"/>
      <c r="J6" s="354"/>
      <c r="K6" s="87"/>
      <c r="L6" s="87"/>
      <c r="M6" s="208"/>
      <c r="N6" s="355">
        <v>41686</v>
      </c>
      <c r="O6" s="356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37" t="s">
        <v>8</v>
      </c>
      <c r="C7" s="338"/>
      <c r="D7" s="337" t="s">
        <v>9</v>
      </c>
      <c r="E7" s="339"/>
      <c r="F7" s="339"/>
      <c r="G7" s="339"/>
      <c r="H7" s="339"/>
      <c r="I7" s="338"/>
      <c r="J7" s="198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198" t="s">
        <v>14</v>
      </c>
      <c r="R7" s="337" t="s">
        <v>15</v>
      </c>
      <c r="S7" s="339"/>
      <c r="T7" s="339"/>
      <c r="U7" s="339"/>
      <c r="V7" s="338"/>
      <c r="W7" s="337" t="s">
        <v>16</v>
      </c>
      <c r="X7" s="338"/>
      <c r="Y7" s="99" t="s">
        <v>17</v>
      </c>
      <c r="Z7" s="337" t="s">
        <v>18</v>
      </c>
      <c r="AA7" s="338"/>
      <c r="AB7" s="337" t="s">
        <v>19</v>
      </c>
      <c r="AC7" s="338"/>
      <c r="AD7" s="337" t="s">
        <v>20</v>
      </c>
      <c r="AE7" s="338"/>
      <c r="AF7" s="337" t="s">
        <v>21</v>
      </c>
      <c r="AG7" s="338"/>
      <c r="AH7" s="99" t="s">
        <v>22</v>
      </c>
      <c r="AI7" s="99" t="s">
        <v>23</v>
      </c>
      <c r="AJ7" s="99" t="s">
        <v>24</v>
      </c>
      <c r="AK7" s="99" t="s">
        <v>25</v>
      </c>
      <c r="AL7" s="337" t="s">
        <v>26</v>
      </c>
      <c r="AM7" s="339"/>
      <c r="AN7" s="339"/>
      <c r="AO7" s="339"/>
      <c r="AP7" s="339"/>
      <c r="AQ7" s="338"/>
      <c r="AR7" s="337" t="s">
        <v>27</v>
      </c>
      <c r="AS7" s="339"/>
      <c r="AT7" s="33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40">
        <v>43226</v>
      </c>
      <c r="C8" s="341"/>
      <c r="D8" s="342" t="s">
        <v>29</v>
      </c>
      <c r="E8" s="343"/>
      <c r="F8" s="343"/>
      <c r="G8" s="343"/>
      <c r="H8" s="343"/>
      <c r="I8" s="344"/>
      <c r="J8" s="28"/>
      <c r="K8" s="342" t="s">
        <v>29</v>
      </c>
      <c r="L8" s="343"/>
      <c r="M8" s="34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42" t="s">
        <v>33</v>
      </c>
      <c r="X8" s="344"/>
      <c r="Y8" s="30" t="s">
        <v>34</v>
      </c>
      <c r="Z8" s="326">
        <v>0</v>
      </c>
      <c r="AA8" s="327"/>
      <c r="AB8" s="345" t="s">
        <v>35</v>
      </c>
      <c r="AC8" s="346"/>
      <c r="AD8" s="326">
        <v>1185</v>
      </c>
      <c r="AE8" s="327"/>
      <c r="AF8" s="328">
        <v>800</v>
      </c>
      <c r="AG8" s="329"/>
      <c r="AH8" s="28"/>
      <c r="AI8" s="30">
        <f>AI36-AI11</f>
        <v>27890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199"/>
      <c r="C9" s="200"/>
      <c r="D9" s="201"/>
      <c r="E9" s="202"/>
      <c r="F9" s="202"/>
      <c r="G9" s="202"/>
      <c r="H9" s="202"/>
      <c r="I9" s="203"/>
      <c r="J9" s="121"/>
      <c r="K9" s="201"/>
      <c r="L9" s="202"/>
      <c r="M9" s="203"/>
      <c r="N9" s="29"/>
      <c r="O9" s="29"/>
      <c r="P9" s="29"/>
      <c r="Q9" s="121"/>
      <c r="R9" s="121"/>
      <c r="S9" s="121"/>
      <c r="T9" s="122"/>
      <c r="U9" s="123"/>
      <c r="V9" s="124"/>
      <c r="W9" s="201"/>
      <c r="X9" s="203"/>
      <c r="Y9" s="30"/>
      <c r="Z9" s="204"/>
      <c r="AA9" s="125"/>
      <c r="AB9" s="126"/>
      <c r="AC9" s="126"/>
      <c r="AD9" s="125"/>
      <c r="AE9" s="125"/>
      <c r="AF9" s="127"/>
      <c r="AG9" s="205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30" t="s">
        <v>39</v>
      </c>
      <c r="C10" s="331"/>
      <c r="D10" s="330" t="s">
        <v>40</v>
      </c>
      <c r="E10" s="332"/>
      <c r="F10" s="331"/>
      <c r="G10" s="330" t="s">
        <v>41</v>
      </c>
      <c r="H10" s="332"/>
      <c r="I10" s="331"/>
      <c r="J10" s="333" t="s">
        <v>42</v>
      </c>
      <c r="K10" s="330" t="s">
        <v>43</v>
      </c>
      <c r="L10" s="332"/>
      <c r="M10" s="331"/>
      <c r="N10" s="99" t="s">
        <v>44</v>
      </c>
      <c r="O10" s="335" t="s">
        <v>45</v>
      </c>
      <c r="P10" s="33" t="s">
        <v>46</v>
      </c>
      <c r="Q10" s="324" t="s">
        <v>47</v>
      </c>
      <c r="R10" s="324" t="s">
        <v>48</v>
      </c>
      <c r="S10" s="34" t="s">
        <v>49</v>
      </c>
      <c r="T10" s="312" t="s">
        <v>50</v>
      </c>
      <c r="U10" s="313"/>
      <c r="V10" s="314"/>
      <c r="W10" s="209" t="s">
        <v>51</v>
      </c>
      <c r="X10" s="209" t="s">
        <v>52</v>
      </c>
      <c r="Y10" s="318" t="s">
        <v>53</v>
      </c>
      <c r="Z10" s="319" t="s">
        <v>54</v>
      </c>
      <c r="AA10" s="320"/>
      <c r="AB10" s="320"/>
      <c r="AC10" s="320"/>
      <c r="AD10" s="320"/>
      <c r="AE10" s="320"/>
      <c r="AF10" s="320"/>
      <c r="AG10" s="321"/>
      <c r="AH10" s="207" t="s">
        <v>55</v>
      </c>
      <c r="AI10" s="207" t="s">
        <v>56</v>
      </c>
      <c r="AJ10" s="307" t="s">
        <v>57</v>
      </c>
      <c r="AK10" s="322" t="s">
        <v>58</v>
      </c>
      <c r="AL10" s="209" t="s">
        <v>59</v>
      </c>
      <c r="AM10" s="209" t="s">
        <v>60</v>
      </c>
      <c r="AN10" s="209" t="s">
        <v>61</v>
      </c>
      <c r="AO10" s="209" t="s">
        <v>62</v>
      </c>
      <c r="AP10" s="209" t="s">
        <v>63</v>
      </c>
      <c r="AQ10" s="209" t="s">
        <v>123</v>
      </c>
      <c r="AR10" s="209" t="s">
        <v>64</v>
      </c>
      <c r="AS10" s="209" t="s">
        <v>65</v>
      </c>
      <c r="AT10" s="324" t="s">
        <v>66</v>
      </c>
      <c r="AU10" s="209" t="s">
        <v>67</v>
      </c>
      <c r="AV10" s="30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09" t="s">
        <v>72</v>
      </c>
      <c r="C11" s="209" t="s">
        <v>73</v>
      </c>
      <c r="D11" s="209" t="s">
        <v>74</v>
      </c>
      <c r="E11" s="209" t="s">
        <v>75</v>
      </c>
      <c r="F11" s="209" t="s">
        <v>126</v>
      </c>
      <c r="G11" s="209" t="s">
        <v>74</v>
      </c>
      <c r="H11" s="209" t="s">
        <v>75</v>
      </c>
      <c r="I11" s="209" t="s">
        <v>126</v>
      </c>
      <c r="J11" s="334"/>
      <c r="K11" s="209" t="s">
        <v>75</v>
      </c>
      <c r="L11" s="209" t="s">
        <v>75</v>
      </c>
      <c r="M11" s="209" t="s">
        <v>75</v>
      </c>
      <c r="N11" s="28" t="s">
        <v>29</v>
      </c>
      <c r="O11" s="336"/>
      <c r="P11" s="28" t="s">
        <v>29</v>
      </c>
      <c r="Q11" s="325"/>
      <c r="R11" s="325"/>
      <c r="S11" s="1">
        <f>'MAY 5'!S36</f>
        <v>93568988</v>
      </c>
      <c r="T11" s="315"/>
      <c r="U11" s="316"/>
      <c r="V11" s="317"/>
      <c r="W11" s="209" t="s">
        <v>75</v>
      </c>
      <c r="X11" s="209" t="s">
        <v>75</v>
      </c>
      <c r="Y11" s="31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'MAY 5'!AI36</f>
        <v>15491226</v>
      </c>
      <c r="AJ11" s="307"/>
      <c r="AK11" s="323"/>
      <c r="AL11" s="209" t="s">
        <v>84</v>
      </c>
      <c r="AM11" s="209" t="s">
        <v>84</v>
      </c>
      <c r="AN11" s="209" t="s">
        <v>84</v>
      </c>
      <c r="AO11" s="209" t="s">
        <v>84</v>
      </c>
      <c r="AP11" s="209" t="s">
        <v>84</v>
      </c>
      <c r="AQ11" s="209" t="s">
        <v>84</v>
      </c>
      <c r="AR11" s="209" t="s">
        <v>84</v>
      </c>
      <c r="AS11" s="1"/>
      <c r="AT11" s="325"/>
      <c r="AU11" s="206" t="s">
        <v>85</v>
      </c>
      <c r="AV11" s="307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283</v>
      </c>
      <c r="B12" s="305" t="s">
        <v>284</v>
      </c>
      <c r="C12" s="305" t="s">
        <v>285</v>
      </c>
      <c r="D12" s="305" t="s">
        <v>286</v>
      </c>
      <c r="E12" s="305" t="s">
        <v>287</v>
      </c>
      <c r="F12" s="305" t="s">
        <v>288</v>
      </c>
      <c r="G12" s="305" t="s">
        <v>289</v>
      </c>
      <c r="H12" s="305" t="s">
        <v>290</v>
      </c>
      <c r="I12" s="305" t="s">
        <v>291</v>
      </c>
      <c r="J12" s="297" t="s">
        <v>292</v>
      </c>
      <c r="K12" s="305" t="s">
        <v>293</v>
      </c>
      <c r="L12" s="305" t="s">
        <v>294</v>
      </c>
      <c r="M12" s="305" t="s">
        <v>295</v>
      </c>
      <c r="N12" s="28" t="s">
        <v>296</v>
      </c>
      <c r="O12" s="298" t="s">
        <v>297</v>
      </c>
      <c r="P12" s="28" t="s">
        <v>298</v>
      </c>
      <c r="Q12" s="300" t="s">
        <v>299</v>
      </c>
      <c r="R12" s="300" t="s">
        <v>300</v>
      </c>
      <c r="S12" s="1" t="s">
        <v>301</v>
      </c>
      <c r="T12" s="302" t="s">
        <v>302</v>
      </c>
      <c r="U12" s="303" t="s">
        <v>303</v>
      </c>
      <c r="V12" s="304" t="s">
        <v>304</v>
      </c>
      <c r="W12" s="305" t="s">
        <v>305</v>
      </c>
      <c r="X12" s="305" t="s">
        <v>306</v>
      </c>
      <c r="Y12" s="305" t="s">
        <v>307</v>
      </c>
      <c r="Z12" s="37" t="s">
        <v>308</v>
      </c>
      <c r="AA12" s="37" t="s">
        <v>309</v>
      </c>
      <c r="AB12" s="37" t="s">
        <v>310</v>
      </c>
      <c r="AC12" s="37" t="s">
        <v>311</v>
      </c>
      <c r="AD12" s="37" t="s">
        <v>312</v>
      </c>
      <c r="AE12" s="37" t="s">
        <v>313</v>
      </c>
      <c r="AF12" s="37" t="s">
        <v>314</v>
      </c>
      <c r="AG12" s="37" t="s">
        <v>315</v>
      </c>
      <c r="AH12" s="38" t="s">
        <v>316</v>
      </c>
      <c r="AI12" s="1" t="s">
        <v>317</v>
      </c>
      <c r="AJ12" s="301" t="s">
        <v>318</v>
      </c>
      <c r="AK12" s="306" t="s">
        <v>319</v>
      </c>
      <c r="AL12" s="305" t="s">
        <v>320</v>
      </c>
      <c r="AM12" s="305" t="s">
        <v>321</v>
      </c>
      <c r="AN12" s="305" t="s">
        <v>322</v>
      </c>
      <c r="AO12" s="305" t="s">
        <v>323</v>
      </c>
      <c r="AP12" s="305" t="s">
        <v>324</v>
      </c>
      <c r="AQ12" s="305" t="s">
        <v>325</v>
      </c>
      <c r="AR12" s="305" t="s">
        <v>326</v>
      </c>
      <c r="AS12" s="1" t="s">
        <v>327</v>
      </c>
      <c r="AT12" s="300" t="s">
        <v>328</v>
      </c>
      <c r="AU12" s="299" t="s">
        <v>329</v>
      </c>
      <c r="AV12" s="301"/>
      <c r="AY12" s="39"/>
      <c r="AZ12" s="39"/>
      <c r="BB12" s="136"/>
    </row>
    <row r="13" spans="1:54" x14ac:dyDescent="0.35">
      <c r="A13" s="357">
        <v>43226</v>
      </c>
      <c r="B13" s="40">
        <v>2</v>
      </c>
      <c r="C13" s="40">
        <v>4.1666666666666664E-2</v>
      </c>
      <c r="D13" s="156">
        <v>3</v>
      </c>
      <c r="E13" s="154">
        <f>D13/1.42</f>
        <v>2.1126760563380285</v>
      </c>
      <c r="F13" s="154">
        <v>4</v>
      </c>
      <c r="G13" s="118">
        <v>70</v>
      </c>
      <c r="H13" s="154">
        <f t="shared" ref="H13:H36" si="0">G13/1.42</f>
        <v>49.295774647887328</v>
      </c>
      <c r="I13" s="154">
        <v>76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7">
        <v>140</v>
      </c>
      <c r="R13" s="157"/>
      <c r="S13" s="157">
        <v>93573588</v>
      </c>
      <c r="T13" s="45">
        <f>IF(ISBLANK(S13),"-",S13-S11)</f>
        <v>4600</v>
      </c>
      <c r="U13" s="46">
        <f>T13*24/1000</f>
        <v>110.4</v>
      </c>
      <c r="V13" s="46">
        <f>T13/1000</f>
        <v>4.5999999999999996</v>
      </c>
      <c r="W13" s="96">
        <v>5.0999999999999996</v>
      </c>
      <c r="X13" s="96">
        <f t="shared" ref="X13:X36" si="1">W13</f>
        <v>5.0999999999999996</v>
      </c>
      <c r="Y13" s="97" t="s">
        <v>138</v>
      </c>
      <c r="Z13" s="158">
        <v>0</v>
      </c>
      <c r="AA13" s="158">
        <v>0</v>
      </c>
      <c r="AB13" s="158">
        <v>1187</v>
      </c>
      <c r="AC13" s="158">
        <v>1185</v>
      </c>
      <c r="AD13" s="158">
        <v>1187</v>
      </c>
      <c r="AE13" s="158">
        <v>0</v>
      </c>
      <c r="AF13" s="47" t="s">
        <v>90</v>
      </c>
      <c r="AG13" s="47" t="s">
        <v>90</v>
      </c>
      <c r="AH13" s="98" t="s">
        <v>90</v>
      </c>
      <c r="AI13" s="103">
        <v>15492366</v>
      </c>
      <c r="AJ13" s="45">
        <f>IF(ISBLANK(AI13),"-",AI13-AI11)</f>
        <v>1140</v>
      </c>
      <c r="AK13" s="48">
        <f>AJ13/V13</f>
        <v>247.82608695652175</v>
      </c>
      <c r="AL13" s="155">
        <v>0</v>
      </c>
      <c r="AM13" s="155">
        <v>0</v>
      </c>
      <c r="AN13" s="155">
        <v>1</v>
      </c>
      <c r="AO13" s="155">
        <v>1</v>
      </c>
      <c r="AP13" s="155">
        <v>1</v>
      </c>
      <c r="AQ13" s="155">
        <v>0</v>
      </c>
      <c r="AR13" s="155">
        <v>0.8</v>
      </c>
      <c r="AS13" s="158"/>
      <c r="AT13" s="158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357">
        <v>43226</v>
      </c>
      <c r="B14" s="40">
        <v>2.0416666666666701</v>
      </c>
      <c r="C14" s="40">
        <v>8.3333333333333329E-2</v>
      </c>
      <c r="D14" s="156">
        <v>3</v>
      </c>
      <c r="E14" s="154">
        <f t="shared" ref="E14:E36" si="2">D14/1.42</f>
        <v>2.1126760563380285</v>
      </c>
      <c r="F14" s="154">
        <v>6</v>
      </c>
      <c r="G14" s="118">
        <v>71</v>
      </c>
      <c r="H14" s="154">
        <f t="shared" si="0"/>
        <v>50</v>
      </c>
      <c r="I14" s="154">
        <v>78</v>
      </c>
      <c r="J14" s="41" t="s">
        <v>88</v>
      </c>
      <c r="K14" s="41">
        <f t="shared" ref="K14:K36" si="3">L14-(2/1.42)</f>
        <v>45.070422535211272</v>
      </c>
      <c r="L14" s="42">
        <f>(G14-5)/1.42</f>
        <v>46.478873239436624</v>
      </c>
      <c r="M14" s="41">
        <f>L14+(6/1.42)</f>
        <v>50.70422535211268</v>
      </c>
      <c r="N14" s="43">
        <v>14</v>
      </c>
      <c r="O14" s="44" t="s">
        <v>89</v>
      </c>
      <c r="P14" s="44">
        <v>11.2</v>
      </c>
      <c r="Q14" s="157">
        <v>140</v>
      </c>
      <c r="R14" s="157"/>
      <c r="S14" s="157">
        <v>93577658</v>
      </c>
      <c r="T14" s="45">
        <f t="shared" ref="T14:T36" si="4">IF(ISBLANK(S14),"-",S14-S13)</f>
        <v>4070</v>
      </c>
      <c r="U14" s="46">
        <f t="shared" ref="U14:U37" si="5">T14*24/1000</f>
        <v>97.68</v>
      </c>
      <c r="V14" s="46">
        <f t="shared" ref="V14:V37" si="6">T14/1000</f>
        <v>4.07</v>
      </c>
      <c r="W14" s="96">
        <v>6.2</v>
      </c>
      <c r="X14" s="96">
        <f t="shared" si="1"/>
        <v>6.2</v>
      </c>
      <c r="Y14" s="97" t="s">
        <v>138</v>
      </c>
      <c r="Z14" s="158">
        <v>0</v>
      </c>
      <c r="AA14" s="158">
        <v>0</v>
      </c>
      <c r="AB14" s="158">
        <v>1187</v>
      </c>
      <c r="AC14" s="158">
        <v>1185</v>
      </c>
      <c r="AD14" s="158">
        <v>1187</v>
      </c>
      <c r="AE14" s="158">
        <v>0</v>
      </c>
      <c r="AF14" s="47" t="s">
        <v>90</v>
      </c>
      <c r="AG14" s="47" t="s">
        <v>90</v>
      </c>
      <c r="AH14" s="98" t="s">
        <v>90</v>
      </c>
      <c r="AI14" s="103">
        <v>15493478</v>
      </c>
      <c r="AJ14" s="45">
        <f t="shared" ref="AJ14:AJ36" si="7">IF(ISBLANK(AI14),"-",AI14-AI13)</f>
        <v>1112</v>
      </c>
      <c r="AK14" s="48">
        <f t="shared" ref="AK14:AK36" si="8">AJ14/V14</f>
        <v>273.21867321867319</v>
      </c>
      <c r="AL14" s="155">
        <v>0</v>
      </c>
      <c r="AM14" s="155">
        <v>0</v>
      </c>
      <c r="AN14" s="155">
        <v>1</v>
      </c>
      <c r="AO14" s="155">
        <v>1</v>
      </c>
      <c r="AP14" s="155">
        <v>1</v>
      </c>
      <c r="AQ14" s="155">
        <v>0</v>
      </c>
      <c r="AR14" s="155">
        <v>0.8</v>
      </c>
      <c r="AS14" s="158"/>
      <c r="AT14" s="158">
        <f t="shared" ref="AT14:AT35" si="9">AS14-AS13</f>
        <v>0</v>
      </c>
      <c r="AU14" s="119">
        <v>0.94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57">
        <v>43226</v>
      </c>
      <c r="B15" s="40">
        <v>2.0833333333333299</v>
      </c>
      <c r="C15" s="40">
        <v>0.125</v>
      </c>
      <c r="D15" s="156">
        <v>3</v>
      </c>
      <c r="E15" s="154">
        <f t="shared" si="2"/>
        <v>2.1126760563380285</v>
      </c>
      <c r="F15" s="154">
        <v>8</v>
      </c>
      <c r="G15" s="118">
        <v>74</v>
      </c>
      <c r="H15" s="154">
        <f t="shared" si="0"/>
        <v>52.112676056338032</v>
      </c>
      <c r="I15" s="154">
        <v>78</v>
      </c>
      <c r="J15" s="41" t="s">
        <v>88</v>
      </c>
      <c r="K15" s="41">
        <f t="shared" si="3"/>
        <v>47.183098591549296</v>
      </c>
      <c r="L15" s="42">
        <f>(G15-5)/1.42</f>
        <v>48.591549295774648</v>
      </c>
      <c r="M15" s="41">
        <f>L15+(6/1.42)</f>
        <v>52.816901408450704</v>
      </c>
      <c r="N15" s="43">
        <v>14</v>
      </c>
      <c r="O15" s="44" t="s">
        <v>89</v>
      </c>
      <c r="P15" s="44">
        <v>11.2</v>
      </c>
      <c r="Q15" s="157">
        <v>137</v>
      </c>
      <c r="R15" s="157"/>
      <c r="S15" s="157">
        <v>93581832</v>
      </c>
      <c r="T15" s="45">
        <f t="shared" si="4"/>
        <v>4174</v>
      </c>
      <c r="U15" s="46">
        <f t="shared" si="5"/>
        <v>100.176</v>
      </c>
      <c r="V15" s="46">
        <f t="shared" si="6"/>
        <v>4.1740000000000004</v>
      </c>
      <c r="W15" s="96">
        <v>7.3</v>
      </c>
      <c r="X15" s="96">
        <f t="shared" si="1"/>
        <v>7.3</v>
      </c>
      <c r="Y15" s="97" t="s">
        <v>138</v>
      </c>
      <c r="Z15" s="158">
        <v>0</v>
      </c>
      <c r="AA15" s="158">
        <v>0</v>
      </c>
      <c r="AB15" s="158">
        <v>1187</v>
      </c>
      <c r="AC15" s="158">
        <v>1185</v>
      </c>
      <c r="AD15" s="158">
        <v>1187</v>
      </c>
      <c r="AE15" s="158">
        <v>0</v>
      </c>
      <c r="AF15" s="47" t="s">
        <v>90</v>
      </c>
      <c r="AG15" s="47" t="s">
        <v>90</v>
      </c>
      <c r="AH15" s="98" t="s">
        <v>90</v>
      </c>
      <c r="AI15" s="103">
        <v>15494596</v>
      </c>
      <c r="AJ15" s="45">
        <f t="shared" si="7"/>
        <v>1118</v>
      </c>
      <c r="AK15" s="48">
        <f t="shared" si="8"/>
        <v>267.84858648778146</v>
      </c>
      <c r="AL15" s="155">
        <v>0</v>
      </c>
      <c r="AM15" s="155">
        <v>0</v>
      </c>
      <c r="AN15" s="155">
        <v>1</v>
      </c>
      <c r="AO15" s="155">
        <v>1</v>
      </c>
      <c r="AP15" s="155">
        <v>1</v>
      </c>
      <c r="AQ15" s="155">
        <v>0</v>
      </c>
      <c r="AR15" s="155">
        <v>0.8</v>
      </c>
      <c r="AS15" s="158"/>
      <c r="AT15" s="158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357">
        <v>43226</v>
      </c>
      <c r="B16" s="40">
        <v>2.125</v>
      </c>
      <c r="C16" s="40">
        <v>0.16666666666666699</v>
      </c>
      <c r="D16" s="156">
        <v>3</v>
      </c>
      <c r="E16" s="154">
        <f t="shared" si="2"/>
        <v>2.1126760563380285</v>
      </c>
      <c r="F16" s="154">
        <v>8</v>
      </c>
      <c r="G16" s="118">
        <v>74</v>
      </c>
      <c r="H16" s="154">
        <f t="shared" si="0"/>
        <v>52.112676056338032</v>
      </c>
      <c r="I16" s="154">
        <v>78</v>
      </c>
      <c r="J16" s="41" t="s">
        <v>88</v>
      </c>
      <c r="K16" s="41">
        <f t="shared" si="3"/>
        <v>47.183098591549296</v>
      </c>
      <c r="L16" s="42">
        <f>(G16-5)/1.42</f>
        <v>48.591549295774648</v>
      </c>
      <c r="M16" s="41">
        <f>L16+(6/1.42)</f>
        <v>52.816901408450704</v>
      </c>
      <c r="N16" s="43">
        <v>14</v>
      </c>
      <c r="O16" s="44" t="s">
        <v>89</v>
      </c>
      <c r="P16" s="44">
        <v>12.8</v>
      </c>
      <c r="Q16" s="157">
        <v>134</v>
      </c>
      <c r="R16" s="157"/>
      <c r="S16" s="157">
        <v>93585736</v>
      </c>
      <c r="T16" s="45">
        <f t="shared" si="4"/>
        <v>3904</v>
      </c>
      <c r="U16" s="46">
        <f t="shared" si="5"/>
        <v>93.695999999999998</v>
      </c>
      <c r="V16" s="46">
        <f t="shared" si="6"/>
        <v>3.9039999999999999</v>
      </c>
      <c r="W16" s="96">
        <v>8.4</v>
      </c>
      <c r="X16" s="96">
        <f t="shared" si="1"/>
        <v>8.4</v>
      </c>
      <c r="Y16" s="97" t="s">
        <v>138</v>
      </c>
      <c r="Z16" s="158">
        <v>0</v>
      </c>
      <c r="AA16" s="158">
        <v>0</v>
      </c>
      <c r="AB16" s="158">
        <v>1187</v>
      </c>
      <c r="AC16" s="158">
        <v>1185</v>
      </c>
      <c r="AD16" s="158">
        <v>1187</v>
      </c>
      <c r="AE16" s="158">
        <v>0</v>
      </c>
      <c r="AF16" s="47" t="s">
        <v>90</v>
      </c>
      <c r="AG16" s="47" t="s">
        <v>90</v>
      </c>
      <c r="AH16" s="98" t="s">
        <v>90</v>
      </c>
      <c r="AI16" s="103">
        <v>15495670</v>
      </c>
      <c r="AJ16" s="45">
        <f t="shared" si="7"/>
        <v>1074</v>
      </c>
      <c r="AK16" s="48">
        <f t="shared" si="8"/>
        <v>275.10245901639342</v>
      </c>
      <c r="AL16" s="155">
        <v>0</v>
      </c>
      <c r="AM16" s="155">
        <v>0</v>
      </c>
      <c r="AN16" s="155">
        <v>1</v>
      </c>
      <c r="AO16" s="155">
        <v>1</v>
      </c>
      <c r="AP16" s="155">
        <v>1</v>
      </c>
      <c r="AQ16" s="155">
        <v>0</v>
      </c>
      <c r="AR16" s="155">
        <v>0.8</v>
      </c>
      <c r="AS16" s="158"/>
      <c r="AT16" s="158">
        <f t="shared" si="9"/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357">
        <v>43226</v>
      </c>
      <c r="B17" s="40">
        <v>2.1666666666666701</v>
      </c>
      <c r="C17" s="40">
        <v>0.20833333333333301</v>
      </c>
      <c r="D17" s="156">
        <v>3</v>
      </c>
      <c r="E17" s="154">
        <f t="shared" si="2"/>
        <v>2.1126760563380285</v>
      </c>
      <c r="F17" s="154">
        <v>9</v>
      </c>
      <c r="G17" s="118">
        <v>82</v>
      </c>
      <c r="H17" s="154">
        <f t="shared" si="0"/>
        <v>57.74647887323944</v>
      </c>
      <c r="I17" s="154">
        <v>80</v>
      </c>
      <c r="J17" s="41" t="s">
        <v>88</v>
      </c>
      <c r="K17" s="41">
        <f t="shared" si="3"/>
        <v>52.816901408450704</v>
      </c>
      <c r="L17" s="42">
        <f>(G17-5)/1.42</f>
        <v>54.225352112676056</v>
      </c>
      <c r="M17" s="41">
        <f>L17+(6/1.42)</f>
        <v>58.450704225352112</v>
      </c>
      <c r="N17" s="43">
        <v>18</v>
      </c>
      <c r="O17" s="44" t="s">
        <v>89</v>
      </c>
      <c r="P17" s="44">
        <v>13.1</v>
      </c>
      <c r="Q17" s="157">
        <v>124</v>
      </c>
      <c r="R17" s="157"/>
      <c r="S17" s="157">
        <v>93589620</v>
      </c>
      <c r="T17" s="45">
        <f t="shared" si="4"/>
        <v>3884</v>
      </c>
      <c r="U17" s="46">
        <f t="shared" si="5"/>
        <v>93.215999999999994</v>
      </c>
      <c r="V17" s="46">
        <f t="shared" si="6"/>
        <v>3.8839999999999999</v>
      </c>
      <c r="W17" s="96">
        <v>9.5</v>
      </c>
      <c r="X17" s="96">
        <f t="shared" si="1"/>
        <v>9.5</v>
      </c>
      <c r="Y17" s="97" t="s">
        <v>138</v>
      </c>
      <c r="Z17" s="158">
        <v>0</v>
      </c>
      <c r="AA17" s="158">
        <v>0</v>
      </c>
      <c r="AB17" s="158">
        <v>1187</v>
      </c>
      <c r="AC17" s="158">
        <v>1185</v>
      </c>
      <c r="AD17" s="158">
        <v>1187</v>
      </c>
      <c r="AE17" s="158">
        <v>0</v>
      </c>
      <c r="AF17" s="47" t="s">
        <v>90</v>
      </c>
      <c r="AG17" s="47" t="s">
        <v>90</v>
      </c>
      <c r="AH17" s="98" t="s">
        <v>90</v>
      </c>
      <c r="AI17" s="103">
        <v>15496730</v>
      </c>
      <c r="AJ17" s="45">
        <f t="shared" si="7"/>
        <v>1060</v>
      </c>
      <c r="AK17" s="48">
        <f t="shared" si="8"/>
        <v>272.91452111225539</v>
      </c>
      <c r="AL17" s="155">
        <v>0</v>
      </c>
      <c r="AM17" s="155">
        <v>0</v>
      </c>
      <c r="AN17" s="155">
        <v>1</v>
      </c>
      <c r="AO17" s="155">
        <v>1</v>
      </c>
      <c r="AP17" s="155">
        <v>1</v>
      </c>
      <c r="AQ17" s="155">
        <v>0</v>
      </c>
      <c r="AR17" s="155">
        <v>0.8</v>
      </c>
      <c r="AS17" s="158"/>
      <c r="AT17" s="158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57">
        <v>43226</v>
      </c>
      <c r="B18" s="40">
        <v>2.2083333333333299</v>
      </c>
      <c r="C18" s="40">
        <v>0.25</v>
      </c>
      <c r="D18" s="156">
        <v>3</v>
      </c>
      <c r="E18" s="154">
        <f t="shared" si="2"/>
        <v>2.1126760563380285</v>
      </c>
      <c r="F18" s="154">
        <v>9</v>
      </c>
      <c r="G18" s="118">
        <v>82</v>
      </c>
      <c r="H18" s="154">
        <f t="shared" si="0"/>
        <v>57.74647887323944</v>
      </c>
      <c r="I18" s="154">
        <v>80</v>
      </c>
      <c r="J18" s="41" t="s">
        <v>88</v>
      </c>
      <c r="K18" s="41">
        <f t="shared" si="3"/>
        <v>56.338028169014088</v>
      </c>
      <c r="L18" s="42">
        <f t="shared" ref="L18:L27" si="10">G18/1.42</f>
        <v>57.74647887323944</v>
      </c>
      <c r="M18" s="41">
        <f>L18+1.42</f>
        <v>59.166478873239441</v>
      </c>
      <c r="N18" s="43">
        <v>19</v>
      </c>
      <c r="O18" s="44" t="s">
        <v>100</v>
      </c>
      <c r="P18" s="44">
        <v>13.1</v>
      </c>
      <c r="Q18" s="157">
        <v>128</v>
      </c>
      <c r="R18" s="157"/>
      <c r="S18" s="157">
        <v>93593432</v>
      </c>
      <c r="T18" s="45">
        <f t="shared" si="4"/>
        <v>3812</v>
      </c>
      <c r="U18" s="46">
        <f t="shared" si="5"/>
        <v>91.488</v>
      </c>
      <c r="V18" s="46">
        <f t="shared" si="6"/>
        <v>3.8119999999999998</v>
      </c>
      <c r="W18" s="96">
        <v>9.5</v>
      </c>
      <c r="X18" s="96">
        <f t="shared" si="1"/>
        <v>9.5</v>
      </c>
      <c r="Y18" s="97" t="s">
        <v>138</v>
      </c>
      <c r="Z18" s="158">
        <v>0</v>
      </c>
      <c r="AA18" s="158">
        <v>0</v>
      </c>
      <c r="AB18" s="158">
        <v>1187</v>
      </c>
      <c r="AC18" s="158">
        <v>1185</v>
      </c>
      <c r="AD18" s="158">
        <v>1187</v>
      </c>
      <c r="AE18" s="158">
        <v>0</v>
      </c>
      <c r="AF18" s="47" t="s">
        <v>90</v>
      </c>
      <c r="AG18" s="47" t="s">
        <v>90</v>
      </c>
      <c r="AH18" s="98" t="s">
        <v>90</v>
      </c>
      <c r="AI18" s="103">
        <v>15497880</v>
      </c>
      <c r="AJ18" s="45">
        <f t="shared" si="7"/>
        <v>1150</v>
      </c>
      <c r="AK18" s="48">
        <f t="shared" si="8"/>
        <v>301.67890870933894</v>
      </c>
      <c r="AL18" s="155">
        <v>0</v>
      </c>
      <c r="AM18" s="155">
        <v>0</v>
      </c>
      <c r="AN18" s="155">
        <v>1</v>
      </c>
      <c r="AO18" s="155">
        <v>1</v>
      </c>
      <c r="AP18" s="155">
        <v>1</v>
      </c>
      <c r="AQ18" s="155">
        <v>0</v>
      </c>
      <c r="AR18" s="155">
        <v>0</v>
      </c>
      <c r="AS18" s="158"/>
      <c r="AT18" s="158">
        <f t="shared" si="9"/>
        <v>0</v>
      </c>
      <c r="AU18" s="119">
        <v>1.02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57">
        <v>43226</v>
      </c>
      <c r="B19" s="40">
        <v>2.25</v>
      </c>
      <c r="C19" s="40">
        <v>0.29166666666666669</v>
      </c>
      <c r="D19" s="156">
        <v>3</v>
      </c>
      <c r="E19" s="154">
        <f t="shared" si="2"/>
        <v>2.1126760563380285</v>
      </c>
      <c r="F19" s="154">
        <v>9</v>
      </c>
      <c r="G19" s="118">
        <v>81</v>
      </c>
      <c r="H19" s="154">
        <f t="shared" si="0"/>
        <v>57.04225352112676</v>
      </c>
      <c r="I19" s="154">
        <v>80</v>
      </c>
      <c r="J19" s="41" t="s">
        <v>88</v>
      </c>
      <c r="K19" s="41">
        <f t="shared" si="3"/>
        <v>55.633802816901408</v>
      </c>
      <c r="L19" s="42">
        <f t="shared" si="10"/>
        <v>57.04225352112676</v>
      </c>
      <c r="M19" s="41">
        <f>L19+1.42</f>
        <v>58.462253521126762</v>
      </c>
      <c r="N19" s="43">
        <v>19</v>
      </c>
      <c r="O19" s="44" t="s">
        <v>100</v>
      </c>
      <c r="P19" s="44">
        <v>16.7</v>
      </c>
      <c r="Q19" s="157">
        <v>141</v>
      </c>
      <c r="R19" s="157"/>
      <c r="S19" s="157">
        <v>93597318</v>
      </c>
      <c r="T19" s="45">
        <f t="shared" si="4"/>
        <v>3886</v>
      </c>
      <c r="U19" s="46">
        <f t="shared" si="5"/>
        <v>93.263999999999996</v>
      </c>
      <c r="V19" s="46">
        <f t="shared" si="6"/>
        <v>3.8860000000000001</v>
      </c>
      <c r="W19" s="96">
        <v>9.5</v>
      </c>
      <c r="X19" s="96">
        <f t="shared" si="1"/>
        <v>9.5</v>
      </c>
      <c r="Y19" s="97" t="s">
        <v>138</v>
      </c>
      <c r="Z19" s="158">
        <v>0</v>
      </c>
      <c r="AA19" s="158">
        <v>0</v>
      </c>
      <c r="AB19" s="158">
        <v>1187</v>
      </c>
      <c r="AC19" s="158">
        <v>1185</v>
      </c>
      <c r="AD19" s="158">
        <v>1187</v>
      </c>
      <c r="AE19" s="158">
        <v>0</v>
      </c>
      <c r="AF19" s="47" t="s">
        <v>90</v>
      </c>
      <c r="AG19" s="47" t="s">
        <v>90</v>
      </c>
      <c r="AH19" s="98" t="s">
        <v>90</v>
      </c>
      <c r="AI19" s="103">
        <v>15498948</v>
      </c>
      <c r="AJ19" s="45">
        <f t="shared" si="7"/>
        <v>1068</v>
      </c>
      <c r="AK19" s="48">
        <f t="shared" si="8"/>
        <v>274.8327328872877</v>
      </c>
      <c r="AL19" s="155">
        <v>0</v>
      </c>
      <c r="AM19" s="155">
        <v>0</v>
      </c>
      <c r="AN19" s="155">
        <v>1</v>
      </c>
      <c r="AO19" s="155">
        <v>1</v>
      </c>
      <c r="AP19" s="155">
        <v>1</v>
      </c>
      <c r="AQ19" s="155">
        <v>0</v>
      </c>
      <c r="AR19" s="155">
        <v>0</v>
      </c>
      <c r="AS19" s="158"/>
      <c r="AT19" s="158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57">
        <v>43226</v>
      </c>
      <c r="B20" s="40">
        <v>2.2916666666666701</v>
      </c>
      <c r="C20" s="40">
        <v>0.33333333333333298</v>
      </c>
      <c r="D20" s="156">
        <v>3</v>
      </c>
      <c r="E20" s="154">
        <f t="shared" si="2"/>
        <v>2.1126760563380285</v>
      </c>
      <c r="F20" s="154">
        <v>8</v>
      </c>
      <c r="G20" s="118">
        <v>79</v>
      </c>
      <c r="H20" s="154">
        <f t="shared" si="0"/>
        <v>55.633802816901408</v>
      </c>
      <c r="I20" s="154">
        <v>78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7">
        <v>131</v>
      </c>
      <c r="R20" s="157"/>
      <c r="S20" s="157">
        <v>93601792</v>
      </c>
      <c r="T20" s="45">
        <f t="shared" si="4"/>
        <v>4474</v>
      </c>
      <c r="U20" s="46">
        <f>T20*24/1000</f>
        <v>107.376</v>
      </c>
      <c r="V20" s="46">
        <f t="shared" si="6"/>
        <v>4.4740000000000002</v>
      </c>
      <c r="W20" s="96">
        <v>9</v>
      </c>
      <c r="X20" s="96">
        <f t="shared" si="1"/>
        <v>9</v>
      </c>
      <c r="Y20" s="97" t="s">
        <v>169</v>
      </c>
      <c r="Z20" s="158">
        <v>0</v>
      </c>
      <c r="AA20" s="158">
        <v>1026</v>
      </c>
      <c r="AB20" s="158">
        <v>1187</v>
      </c>
      <c r="AC20" s="158">
        <v>1185</v>
      </c>
      <c r="AD20" s="158">
        <v>1187</v>
      </c>
      <c r="AE20" s="158">
        <v>0</v>
      </c>
      <c r="AF20" s="47" t="s">
        <v>90</v>
      </c>
      <c r="AG20" s="47" t="s">
        <v>90</v>
      </c>
      <c r="AH20" s="98" t="s">
        <v>90</v>
      </c>
      <c r="AI20" s="103">
        <v>15500186</v>
      </c>
      <c r="AJ20" s="45">
        <f t="shared" si="7"/>
        <v>1238</v>
      </c>
      <c r="AK20" s="48">
        <f t="shared" si="8"/>
        <v>276.70987930263743</v>
      </c>
      <c r="AL20" s="155">
        <v>0</v>
      </c>
      <c r="AM20" s="155">
        <v>1</v>
      </c>
      <c r="AN20" s="155">
        <v>1</v>
      </c>
      <c r="AO20" s="155">
        <v>1</v>
      </c>
      <c r="AP20" s="155">
        <v>1</v>
      </c>
      <c r="AQ20" s="155">
        <v>0</v>
      </c>
      <c r="AR20" s="155">
        <v>0</v>
      </c>
      <c r="AS20" s="158"/>
      <c r="AT20" s="158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357">
        <v>43226</v>
      </c>
      <c r="B21" s="40">
        <v>2.3333333333333299</v>
      </c>
      <c r="C21" s="40">
        <v>0.375</v>
      </c>
      <c r="D21" s="156">
        <v>3</v>
      </c>
      <c r="E21" s="154">
        <f t="shared" si="2"/>
        <v>2.1126760563380285</v>
      </c>
      <c r="F21" s="154">
        <v>8</v>
      </c>
      <c r="G21" s="118">
        <v>77</v>
      </c>
      <c r="H21" s="154">
        <f t="shared" si="0"/>
        <v>54.225352112676056</v>
      </c>
      <c r="I21" s="154">
        <v>78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7">
        <v>130</v>
      </c>
      <c r="R21" s="157"/>
      <c r="S21" s="157">
        <v>93606320</v>
      </c>
      <c r="T21" s="45">
        <f t="shared" si="4"/>
        <v>4528</v>
      </c>
      <c r="U21" s="46">
        <f t="shared" si="5"/>
        <v>108.672</v>
      </c>
      <c r="V21" s="46">
        <f t="shared" si="6"/>
        <v>4.5279999999999996</v>
      </c>
      <c r="W21" s="96">
        <v>8.4</v>
      </c>
      <c r="X21" s="96">
        <f t="shared" si="1"/>
        <v>8.4</v>
      </c>
      <c r="Y21" s="97" t="s">
        <v>169</v>
      </c>
      <c r="Z21" s="158">
        <v>0</v>
      </c>
      <c r="AA21" s="158">
        <v>1028</v>
      </c>
      <c r="AB21" s="158">
        <v>1186</v>
      </c>
      <c r="AC21" s="158">
        <v>1185</v>
      </c>
      <c r="AD21" s="158">
        <v>1187</v>
      </c>
      <c r="AE21" s="158">
        <v>0</v>
      </c>
      <c r="AF21" s="47" t="s">
        <v>90</v>
      </c>
      <c r="AG21" s="47" t="s">
        <v>90</v>
      </c>
      <c r="AH21" s="98" t="s">
        <v>90</v>
      </c>
      <c r="AI21" s="103">
        <v>15501376</v>
      </c>
      <c r="AJ21" s="45">
        <f t="shared" si="7"/>
        <v>1190</v>
      </c>
      <c r="AK21" s="48">
        <f t="shared" si="8"/>
        <v>262.80918727915196</v>
      </c>
      <c r="AL21" s="155">
        <v>0</v>
      </c>
      <c r="AM21" s="155">
        <v>1</v>
      </c>
      <c r="AN21" s="155">
        <v>1</v>
      </c>
      <c r="AO21" s="155">
        <v>1</v>
      </c>
      <c r="AP21" s="155">
        <v>1</v>
      </c>
      <c r="AQ21" s="155">
        <v>0</v>
      </c>
      <c r="AR21" s="155">
        <v>0</v>
      </c>
      <c r="AS21" s="158"/>
      <c r="AT21" s="158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147</v>
      </c>
    </row>
    <row r="22" spans="1:54" x14ac:dyDescent="0.35">
      <c r="A22" s="357">
        <v>43226</v>
      </c>
      <c r="B22" s="40">
        <v>2.375</v>
      </c>
      <c r="C22" s="40">
        <v>0.41666666666666669</v>
      </c>
      <c r="D22" s="156">
        <v>3</v>
      </c>
      <c r="E22" s="154">
        <f t="shared" si="2"/>
        <v>2.1126760563380285</v>
      </c>
      <c r="F22" s="154">
        <v>7</v>
      </c>
      <c r="G22" s="118">
        <v>77</v>
      </c>
      <c r="H22" s="154">
        <f t="shared" si="0"/>
        <v>54.225352112676056</v>
      </c>
      <c r="I22" s="154">
        <v>76</v>
      </c>
      <c r="J22" s="41" t="s">
        <v>88</v>
      </c>
      <c r="K22" s="41">
        <f t="shared" si="3"/>
        <v>52.816901408450704</v>
      </c>
      <c r="L22" s="42">
        <f t="shared" si="10"/>
        <v>54.225352112676056</v>
      </c>
      <c r="M22" s="41">
        <f t="shared" si="11"/>
        <v>55.645352112676058</v>
      </c>
      <c r="N22" s="43">
        <v>19</v>
      </c>
      <c r="O22" s="44" t="s">
        <v>100</v>
      </c>
      <c r="P22" s="44">
        <v>17.7</v>
      </c>
      <c r="Q22" s="157">
        <v>131</v>
      </c>
      <c r="R22" s="157"/>
      <c r="S22" s="157">
        <v>93610612</v>
      </c>
      <c r="T22" s="45">
        <f t="shared" si="4"/>
        <v>4292</v>
      </c>
      <c r="U22" s="46">
        <f t="shared" si="5"/>
        <v>103.008</v>
      </c>
      <c r="V22" s="46">
        <f t="shared" si="6"/>
        <v>4.2919999999999998</v>
      </c>
      <c r="W22" s="96">
        <v>7.9</v>
      </c>
      <c r="X22" s="96">
        <f t="shared" si="1"/>
        <v>7.9</v>
      </c>
      <c r="Y22" s="97" t="s">
        <v>169</v>
      </c>
      <c r="Z22" s="158">
        <v>0</v>
      </c>
      <c r="AA22" s="158">
        <v>1026</v>
      </c>
      <c r="AB22" s="158">
        <v>1186</v>
      </c>
      <c r="AC22" s="158">
        <v>1185</v>
      </c>
      <c r="AD22" s="158">
        <v>1187</v>
      </c>
      <c r="AE22" s="158">
        <v>0</v>
      </c>
      <c r="AF22" s="47" t="s">
        <v>90</v>
      </c>
      <c r="AG22" s="47" t="s">
        <v>90</v>
      </c>
      <c r="AH22" s="98" t="s">
        <v>90</v>
      </c>
      <c r="AI22" s="103">
        <v>15502566</v>
      </c>
      <c r="AJ22" s="45">
        <f t="shared" si="7"/>
        <v>1190</v>
      </c>
      <c r="AK22" s="48">
        <f t="shared" si="8"/>
        <v>277.26001863932902</v>
      </c>
      <c r="AL22" s="155">
        <v>0</v>
      </c>
      <c r="AM22" s="155">
        <v>1</v>
      </c>
      <c r="AN22" s="155">
        <v>1</v>
      </c>
      <c r="AO22" s="155">
        <v>1</v>
      </c>
      <c r="AP22" s="155">
        <v>1</v>
      </c>
      <c r="AQ22" s="155">
        <v>0</v>
      </c>
      <c r="AR22" s="155">
        <v>0</v>
      </c>
      <c r="AS22" s="158"/>
      <c r="AT22" s="158">
        <f t="shared" si="9"/>
        <v>0</v>
      </c>
      <c r="AU22" s="119">
        <v>1.1599999999999999</v>
      </c>
      <c r="AV22" s="50" t="s">
        <v>125</v>
      </c>
      <c r="BB22" s="136" t="s">
        <v>157</v>
      </c>
    </row>
    <row r="23" spans="1:54" x14ac:dyDescent="0.35">
      <c r="A23" s="357">
        <v>43226</v>
      </c>
      <c r="B23" s="40">
        <v>2.4166666666666701</v>
      </c>
      <c r="C23" s="40">
        <v>0.45833333333333298</v>
      </c>
      <c r="D23" s="156">
        <v>3</v>
      </c>
      <c r="E23" s="154">
        <f t="shared" si="2"/>
        <v>2.1126760563380285</v>
      </c>
      <c r="F23" s="154">
        <v>7</v>
      </c>
      <c r="G23" s="118">
        <v>76</v>
      </c>
      <c r="H23" s="154">
        <f t="shared" si="0"/>
        <v>53.521126760563384</v>
      </c>
      <c r="I23" s="154">
        <v>74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7">
        <v>129</v>
      </c>
      <c r="R23" s="157"/>
      <c r="S23" s="157">
        <v>93614724</v>
      </c>
      <c r="T23" s="45">
        <f t="shared" si="4"/>
        <v>4112</v>
      </c>
      <c r="U23" s="46">
        <f t="shared" si="5"/>
        <v>98.688000000000002</v>
      </c>
      <c r="V23" s="46">
        <f t="shared" si="6"/>
        <v>4.1120000000000001</v>
      </c>
      <c r="W23" s="96">
        <v>7.1</v>
      </c>
      <c r="X23" s="96">
        <f>W23</f>
        <v>7.1</v>
      </c>
      <c r="Y23" s="97" t="s">
        <v>169</v>
      </c>
      <c r="Z23" s="158">
        <v>0</v>
      </c>
      <c r="AA23" s="158">
        <v>1026</v>
      </c>
      <c r="AB23" s="158">
        <v>1187</v>
      </c>
      <c r="AC23" s="158">
        <v>1185</v>
      </c>
      <c r="AD23" s="158">
        <v>1187</v>
      </c>
      <c r="AE23" s="158">
        <v>0</v>
      </c>
      <c r="AF23" s="47" t="s">
        <v>90</v>
      </c>
      <c r="AG23" s="47" t="s">
        <v>90</v>
      </c>
      <c r="AH23" s="98" t="s">
        <v>90</v>
      </c>
      <c r="AI23" s="103">
        <v>15503748</v>
      </c>
      <c r="AJ23" s="45">
        <f t="shared" si="7"/>
        <v>1182</v>
      </c>
      <c r="AK23" s="48">
        <f t="shared" si="8"/>
        <v>287.45136186770429</v>
      </c>
      <c r="AL23" s="155">
        <v>0</v>
      </c>
      <c r="AM23" s="155">
        <v>1</v>
      </c>
      <c r="AN23" s="155">
        <v>1</v>
      </c>
      <c r="AO23" s="155">
        <v>1</v>
      </c>
      <c r="AP23" s="155">
        <v>1</v>
      </c>
      <c r="AQ23" s="155">
        <v>0</v>
      </c>
      <c r="AR23" s="155">
        <v>0</v>
      </c>
      <c r="AS23" s="158"/>
      <c r="AT23" s="158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357">
        <v>43226</v>
      </c>
      <c r="B24" s="40">
        <v>2.4583333333333299</v>
      </c>
      <c r="C24" s="40">
        <v>0.5</v>
      </c>
      <c r="D24" s="156">
        <v>3</v>
      </c>
      <c r="E24" s="154">
        <f t="shared" si="2"/>
        <v>2.1126760563380285</v>
      </c>
      <c r="F24" s="154">
        <v>6</v>
      </c>
      <c r="G24" s="118">
        <v>75</v>
      </c>
      <c r="H24" s="154">
        <f t="shared" si="0"/>
        <v>52.816901408450704</v>
      </c>
      <c r="I24" s="154">
        <v>74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7">
        <v>127</v>
      </c>
      <c r="R24" s="157"/>
      <c r="S24" s="157">
        <v>93618796</v>
      </c>
      <c r="T24" s="45">
        <f t="shared" si="4"/>
        <v>4072</v>
      </c>
      <c r="U24" s="46">
        <f>T24*24/1000</f>
        <v>97.727999999999994</v>
      </c>
      <c r="V24" s="46">
        <f t="shared" si="6"/>
        <v>4.0720000000000001</v>
      </c>
      <c r="W24" s="96">
        <v>6.6</v>
      </c>
      <c r="X24" s="96">
        <f t="shared" si="1"/>
        <v>6.6</v>
      </c>
      <c r="Y24" s="97" t="s">
        <v>169</v>
      </c>
      <c r="Z24" s="158">
        <v>0</v>
      </c>
      <c r="AA24" s="158">
        <v>1027</v>
      </c>
      <c r="AB24" s="158">
        <v>1186</v>
      </c>
      <c r="AC24" s="158">
        <v>1185</v>
      </c>
      <c r="AD24" s="158">
        <v>1187</v>
      </c>
      <c r="AE24" s="158">
        <v>0</v>
      </c>
      <c r="AF24" s="47" t="s">
        <v>90</v>
      </c>
      <c r="AG24" s="47" t="s">
        <v>90</v>
      </c>
      <c r="AH24" s="98" t="s">
        <v>90</v>
      </c>
      <c r="AI24" s="103">
        <v>15505000</v>
      </c>
      <c r="AJ24" s="45">
        <f t="shared" si="7"/>
        <v>1252</v>
      </c>
      <c r="AK24" s="48">
        <f t="shared" si="8"/>
        <v>307.4656188605108</v>
      </c>
      <c r="AL24" s="155">
        <v>0</v>
      </c>
      <c r="AM24" s="155">
        <v>1</v>
      </c>
      <c r="AN24" s="155">
        <v>1</v>
      </c>
      <c r="AO24" s="155">
        <v>1</v>
      </c>
      <c r="AP24" s="155">
        <v>1</v>
      </c>
      <c r="AQ24" s="155">
        <v>0</v>
      </c>
      <c r="AR24" s="155">
        <v>0</v>
      </c>
      <c r="AS24" s="158"/>
      <c r="AT24" s="158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357">
        <v>43226</v>
      </c>
      <c r="B25" s="40">
        <v>2.5</v>
      </c>
      <c r="C25" s="40">
        <v>0.54166666666666696</v>
      </c>
      <c r="D25" s="156">
        <v>3</v>
      </c>
      <c r="E25" s="154">
        <f t="shared" si="2"/>
        <v>2.1126760563380285</v>
      </c>
      <c r="F25" s="154">
        <v>5</v>
      </c>
      <c r="G25" s="118">
        <v>75</v>
      </c>
      <c r="H25" s="154">
        <f t="shared" si="0"/>
        <v>52.816901408450704</v>
      </c>
      <c r="I25" s="154">
        <v>72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7">
        <v>128</v>
      </c>
      <c r="R25" s="157"/>
      <c r="S25" s="157">
        <v>93622642</v>
      </c>
      <c r="T25" s="45">
        <f t="shared" si="4"/>
        <v>3846</v>
      </c>
      <c r="U25" s="46">
        <f>T25*24/1000</f>
        <v>92.304000000000002</v>
      </c>
      <c r="V25" s="46">
        <f t="shared" si="6"/>
        <v>3.8460000000000001</v>
      </c>
      <c r="W25" s="96">
        <v>6</v>
      </c>
      <c r="X25" s="96">
        <f t="shared" si="1"/>
        <v>6</v>
      </c>
      <c r="Y25" s="97" t="s">
        <v>169</v>
      </c>
      <c r="Z25" s="158">
        <v>0</v>
      </c>
      <c r="AA25" s="158">
        <v>1026</v>
      </c>
      <c r="AB25" s="158">
        <v>1187</v>
      </c>
      <c r="AC25" s="158">
        <v>1185</v>
      </c>
      <c r="AD25" s="158">
        <v>1186</v>
      </c>
      <c r="AE25" s="158">
        <v>0</v>
      </c>
      <c r="AF25" s="47" t="s">
        <v>90</v>
      </c>
      <c r="AG25" s="47" t="s">
        <v>90</v>
      </c>
      <c r="AH25" s="98" t="s">
        <v>90</v>
      </c>
      <c r="AI25" s="103">
        <v>15506210</v>
      </c>
      <c r="AJ25" s="45">
        <f t="shared" si="7"/>
        <v>1210</v>
      </c>
      <c r="AK25" s="48">
        <f t="shared" si="8"/>
        <v>314.61258450338011</v>
      </c>
      <c r="AL25" s="155">
        <v>0</v>
      </c>
      <c r="AM25" s="155">
        <v>1</v>
      </c>
      <c r="AN25" s="155">
        <v>1</v>
      </c>
      <c r="AO25" s="155">
        <v>1</v>
      </c>
      <c r="AP25" s="155">
        <v>1</v>
      </c>
      <c r="AQ25" s="155">
        <v>0</v>
      </c>
      <c r="AR25" s="155">
        <v>0</v>
      </c>
      <c r="AS25" s="158"/>
      <c r="AT25" s="158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57">
        <v>43226</v>
      </c>
      <c r="B26" s="40">
        <v>2.5416666666666701</v>
      </c>
      <c r="C26" s="40">
        <v>0.58333333333333404</v>
      </c>
      <c r="D26" s="156">
        <v>3</v>
      </c>
      <c r="E26" s="154">
        <f t="shared" si="2"/>
        <v>2.1126760563380285</v>
      </c>
      <c r="F26" s="154">
        <v>4</v>
      </c>
      <c r="G26" s="118">
        <v>75</v>
      </c>
      <c r="H26" s="154">
        <f>G26/1.42</f>
        <v>52.816901408450704</v>
      </c>
      <c r="I26" s="154">
        <v>72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7">
        <v>128</v>
      </c>
      <c r="R26" s="157"/>
      <c r="S26" s="157">
        <v>93626599</v>
      </c>
      <c r="T26" s="45">
        <f t="shared" si="4"/>
        <v>3957</v>
      </c>
      <c r="U26" s="46">
        <f t="shared" si="5"/>
        <v>94.968000000000004</v>
      </c>
      <c r="V26" s="46">
        <f t="shared" si="6"/>
        <v>3.9569999999999999</v>
      </c>
      <c r="W26" s="96">
        <v>5.5</v>
      </c>
      <c r="X26" s="96">
        <f t="shared" si="1"/>
        <v>5.5</v>
      </c>
      <c r="Y26" s="97" t="s">
        <v>169</v>
      </c>
      <c r="Z26" s="158">
        <v>0</v>
      </c>
      <c r="AA26" s="158">
        <v>1025</v>
      </c>
      <c r="AB26" s="158">
        <v>1187</v>
      </c>
      <c r="AC26" s="158">
        <v>1185</v>
      </c>
      <c r="AD26" s="158">
        <v>1187</v>
      </c>
      <c r="AE26" s="158">
        <v>0</v>
      </c>
      <c r="AF26" s="47" t="s">
        <v>90</v>
      </c>
      <c r="AG26" s="47" t="s">
        <v>90</v>
      </c>
      <c r="AH26" s="98" t="s">
        <v>90</v>
      </c>
      <c r="AI26" s="103">
        <v>15507407</v>
      </c>
      <c r="AJ26" s="45">
        <f t="shared" si="7"/>
        <v>1197</v>
      </c>
      <c r="AK26" s="48">
        <f t="shared" si="8"/>
        <v>302.50189537528433</v>
      </c>
      <c r="AL26" s="155">
        <v>0</v>
      </c>
      <c r="AM26" s="155">
        <v>1</v>
      </c>
      <c r="AN26" s="155">
        <v>1</v>
      </c>
      <c r="AO26" s="155">
        <v>1</v>
      </c>
      <c r="AP26" s="155">
        <v>1</v>
      </c>
      <c r="AQ26" s="155">
        <v>0</v>
      </c>
      <c r="AR26" s="155">
        <v>0</v>
      </c>
      <c r="AS26" s="158"/>
      <c r="AT26" s="158">
        <f t="shared" si="9"/>
        <v>0</v>
      </c>
      <c r="AU26" s="119">
        <v>1.2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57">
        <v>43226</v>
      </c>
      <c r="B27" s="40">
        <v>2.5833333333333299</v>
      </c>
      <c r="C27" s="40">
        <v>0.625</v>
      </c>
      <c r="D27" s="156">
        <v>3</v>
      </c>
      <c r="E27" s="154">
        <f t="shared" si="2"/>
        <v>2.1126760563380285</v>
      </c>
      <c r="F27" s="154">
        <v>3</v>
      </c>
      <c r="G27" s="118">
        <v>76</v>
      </c>
      <c r="H27" s="154">
        <f>G27/1.42</f>
        <v>53.521126760563384</v>
      </c>
      <c r="I27" s="154">
        <v>74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7">
        <v>125</v>
      </c>
      <c r="R27" s="157"/>
      <c r="S27" s="157">
        <v>93630761</v>
      </c>
      <c r="T27" s="45">
        <f t="shared" si="4"/>
        <v>4162</v>
      </c>
      <c r="U27" s="46">
        <f t="shared" si="5"/>
        <v>99.888000000000005</v>
      </c>
      <c r="V27" s="46">
        <f t="shared" si="6"/>
        <v>4.1619999999999999</v>
      </c>
      <c r="W27" s="96">
        <v>5</v>
      </c>
      <c r="X27" s="96">
        <f t="shared" si="1"/>
        <v>5</v>
      </c>
      <c r="Y27" s="97" t="s">
        <v>169</v>
      </c>
      <c r="Z27" s="158">
        <v>0</v>
      </c>
      <c r="AA27" s="158">
        <v>1026</v>
      </c>
      <c r="AB27" s="158">
        <v>1187</v>
      </c>
      <c r="AC27" s="158">
        <v>1185</v>
      </c>
      <c r="AD27" s="158">
        <v>1187</v>
      </c>
      <c r="AE27" s="158">
        <v>0</v>
      </c>
      <c r="AF27" s="47" t="s">
        <v>90</v>
      </c>
      <c r="AG27" s="47" t="s">
        <v>90</v>
      </c>
      <c r="AH27" s="98" t="s">
        <v>90</v>
      </c>
      <c r="AI27" s="103">
        <v>15508583</v>
      </c>
      <c r="AJ27" s="45">
        <f t="shared" si="7"/>
        <v>1176</v>
      </c>
      <c r="AK27" s="48">
        <f t="shared" si="8"/>
        <v>282.55646323882752</v>
      </c>
      <c r="AL27" s="155">
        <v>0</v>
      </c>
      <c r="AM27" s="155">
        <v>1</v>
      </c>
      <c r="AN27" s="155">
        <v>1</v>
      </c>
      <c r="AO27" s="155">
        <v>1</v>
      </c>
      <c r="AP27" s="155">
        <v>1</v>
      </c>
      <c r="AQ27" s="155">
        <v>0</v>
      </c>
      <c r="AR27" s="155">
        <v>0</v>
      </c>
      <c r="AS27" s="158"/>
      <c r="AT27" s="158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57">
        <v>43226</v>
      </c>
      <c r="B28" s="40">
        <v>2.625</v>
      </c>
      <c r="C28" s="40">
        <v>0.66666666666666696</v>
      </c>
      <c r="D28" s="156">
        <v>3</v>
      </c>
      <c r="E28" s="154">
        <f t="shared" si="2"/>
        <v>2.1126760563380285</v>
      </c>
      <c r="F28" s="154">
        <v>2</v>
      </c>
      <c r="G28" s="118">
        <v>75</v>
      </c>
      <c r="H28" s="154">
        <f t="shared" si="0"/>
        <v>52.816901408450704</v>
      </c>
      <c r="I28" s="154">
        <v>74</v>
      </c>
      <c r="J28" s="41" t="s">
        <v>88</v>
      </c>
      <c r="K28" s="41">
        <f t="shared" si="3"/>
        <v>49.295774647887328</v>
      </c>
      <c r="L28" s="42">
        <f>(G28-3)/1.42</f>
        <v>50.70422535211268</v>
      </c>
      <c r="M28" s="41">
        <f t="shared" si="12"/>
        <v>54.929577464788736</v>
      </c>
      <c r="N28" s="43">
        <v>18</v>
      </c>
      <c r="O28" s="44" t="s">
        <v>100</v>
      </c>
      <c r="P28" s="44">
        <v>16.7</v>
      </c>
      <c r="Q28" s="157">
        <v>128</v>
      </c>
      <c r="R28" s="157"/>
      <c r="S28" s="157">
        <v>93635087</v>
      </c>
      <c r="T28" s="45">
        <f t="shared" si="4"/>
        <v>4326</v>
      </c>
      <c r="U28" s="46">
        <f t="shared" si="5"/>
        <v>103.824</v>
      </c>
      <c r="V28" s="46">
        <f t="shared" si="6"/>
        <v>4.3259999999999996</v>
      </c>
      <c r="W28" s="96">
        <v>4.5</v>
      </c>
      <c r="X28" s="96">
        <f t="shared" si="1"/>
        <v>4.5</v>
      </c>
      <c r="Y28" s="97" t="s">
        <v>169</v>
      </c>
      <c r="Z28" s="158">
        <v>0</v>
      </c>
      <c r="AA28" s="158">
        <v>1026</v>
      </c>
      <c r="AB28" s="158">
        <v>1187</v>
      </c>
      <c r="AC28" s="158">
        <v>1185</v>
      </c>
      <c r="AD28" s="158">
        <v>1186</v>
      </c>
      <c r="AE28" s="158">
        <v>0</v>
      </c>
      <c r="AF28" s="47" t="s">
        <v>90</v>
      </c>
      <c r="AG28" s="47" t="s">
        <v>90</v>
      </c>
      <c r="AH28" s="98" t="s">
        <v>90</v>
      </c>
      <c r="AI28" s="103">
        <v>15509760</v>
      </c>
      <c r="AJ28" s="45">
        <f>IF(ISBLANK(AI28),"-",AI28-AI27)</f>
        <v>1177</v>
      </c>
      <c r="AK28" s="48">
        <f t="shared" si="8"/>
        <v>272.07582061950995</v>
      </c>
      <c r="AL28" s="155">
        <v>0</v>
      </c>
      <c r="AM28" s="155">
        <v>1</v>
      </c>
      <c r="AN28" s="155">
        <v>1</v>
      </c>
      <c r="AO28" s="155">
        <v>1</v>
      </c>
      <c r="AP28" s="155">
        <v>1</v>
      </c>
      <c r="AQ28" s="155">
        <v>0</v>
      </c>
      <c r="AR28" s="155">
        <v>0</v>
      </c>
      <c r="AS28" s="158"/>
      <c r="AT28" s="158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357">
        <v>43226</v>
      </c>
      <c r="B29" s="40">
        <v>2.6666666666666701</v>
      </c>
      <c r="C29" s="40">
        <v>0.70833333333333404</v>
      </c>
      <c r="D29" s="156">
        <v>3</v>
      </c>
      <c r="E29" s="154">
        <f t="shared" si="2"/>
        <v>2.1126760563380285</v>
      </c>
      <c r="F29" s="154">
        <v>1</v>
      </c>
      <c r="G29" s="118">
        <v>75</v>
      </c>
      <c r="H29" s="154">
        <f t="shared" si="0"/>
        <v>52.816901408450704</v>
      </c>
      <c r="I29" s="154">
        <v>73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7">
        <v>127</v>
      </c>
      <c r="R29" s="157"/>
      <c r="S29" s="157">
        <v>93639529</v>
      </c>
      <c r="T29" s="45">
        <f t="shared" si="4"/>
        <v>4442</v>
      </c>
      <c r="U29" s="46">
        <f t="shared" si="5"/>
        <v>106.608</v>
      </c>
      <c r="V29" s="46">
        <f t="shared" si="6"/>
        <v>4.4420000000000002</v>
      </c>
      <c r="W29" s="96">
        <v>4</v>
      </c>
      <c r="X29" s="96">
        <f t="shared" si="1"/>
        <v>4</v>
      </c>
      <c r="Y29" s="97" t="s">
        <v>169</v>
      </c>
      <c r="Z29" s="158">
        <v>0</v>
      </c>
      <c r="AA29" s="158">
        <v>1027</v>
      </c>
      <c r="AB29" s="158">
        <v>1187</v>
      </c>
      <c r="AC29" s="158">
        <v>1185</v>
      </c>
      <c r="AD29" s="158">
        <v>1186</v>
      </c>
      <c r="AE29" s="158">
        <v>0</v>
      </c>
      <c r="AF29" s="47" t="s">
        <v>90</v>
      </c>
      <c r="AG29" s="47" t="s">
        <v>90</v>
      </c>
      <c r="AH29" s="98" t="s">
        <v>90</v>
      </c>
      <c r="AI29" s="103">
        <v>15510975</v>
      </c>
      <c r="AJ29" s="45">
        <f t="shared" si="7"/>
        <v>1215</v>
      </c>
      <c r="AK29" s="48">
        <f>AJ28/V29</f>
        <v>264.97073390364699</v>
      </c>
      <c r="AL29" s="155">
        <v>0</v>
      </c>
      <c r="AM29" s="155">
        <v>1</v>
      </c>
      <c r="AN29" s="155">
        <v>1</v>
      </c>
      <c r="AO29" s="155">
        <v>1</v>
      </c>
      <c r="AP29" s="155">
        <v>1</v>
      </c>
      <c r="AQ29" s="155">
        <v>0</v>
      </c>
      <c r="AR29" s="155">
        <v>0</v>
      </c>
      <c r="AS29" s="158"/>
      <c r="AT29" s="158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357">
        <v>43226</v>
      </c>
      <c r="B30" s="40">
        <v>2.7083333333333299</v>
      </c>
      <c r="C30" s="40">
        <v>0.750000000000002</v>
      </c>
      <c r="D30" s="156">
        <v>3</v>
      </c>
      <c r="E30" s="154">
        <f t="shared" si="2"/>
        <v>2.1126760563380285</v>
      </c>
      <c r="F30" s="154">
        <v>1</v>
      </c>
      <c r="G30" s="118">
        <v>74</v>
      </c>
      <c r="H30" s="154">
        <f t="shared" si="0"/>
        <v>52.112676056338032</v>
      </c>
      <c r="I30" s="154">
        <v>73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7">
        <v>128</v>
      </c>
      <c r="R30" s="157"/>
      <c r="S30" s="157">
        <v>93643748</v>
      </c>
      <c r="T30" s="45">
        <f t="shared" si="4"/>
        <v>4219</v>
      </c>
      <c r="U30" s="46">
        <f t="shared" si="5"/>
        <v>101.256</v>
      </c>
      <c r="V30" s="46">
        <f t="shared" si="6"/>
        <v>4.2190000000000003</v>
      </c>
      <c r="W30" s="96">
        <v>3.5</v>
      </c>
      <c r="X30" s="96">
        <f t="shared" si="1"/>
        <v>3.5</v>
      </c>
      <c r="Y30" s="97" t="s">
        <v>169</v>
      </c>
      <c r="Z30" s="158">
        <v>0</v>
      </c>
      <c r="AA30" s="158">
        <v>1026</v>
      </c>
      <c r="AB30" s="158">
        <v>1187</v>
      </c>
      <c r="AC30" s="158">
        <v>1185</v>
      </c>
      <c r="AD30" s="158">
        <v>1187</v>
      </c>
      <c r="AE30" s="158">
        <v>0</v>
      </c>
      <c r="AF30" s="47" t="s">
        <v>90</v>
      </c>
      <c r="AG30" s="47" t="s">
        <v>90</v>
      </c>
      <c r="AH30" s="98" t="s">
        <v>90</v>
      </c>
      <c r="AI30" s="103">
        <v>15512129</v>
      </c>
      <c r="AJ30" s="45">
        <f t="shared" si="7"/>
        <v>1154</v>
      </c>
      <c r="AK30" s="48">
        <f>AJ29/V30</f>
        <v>287.98293434463142</v>
      </c>
      <c r="AL30" s="155">
        <v>0</v>
      </c>
      <c r="AM30" s="155">
        <v>1</v>
      </c>
      <c r="AN30" s="155">
        <v>1</v>
      </c>
      <c r="AO30" s="155">
        <v>1</v>
      </c>
      <c r="AP30" s="155">
        <v>1</v>
      </c>
      <c r="AQ30" s="155">
        <v>0</v>
      </c>
      <c r="AR30" s="155">
        <v>0</v>
      </c>
      <c r="AS30" s="158"/>
      <c r="AT30" s="158">
        <f t="shared" si="9"/>
        <v>0</v>
      </c>
      <c r="AU30" s="159">
        <v>1.1000000000000001</v>
      </c>
      <c r="AV30" s="50" t="s">
        <v>124</v>
      </c>
      <c r="AY30" s="55" t="s">
        <v>114</v>
      </c>
      <c r="AZ30" s="55">
        <v>101.325</v>
      </c>
      <c r="BB30" s="74" t="s">
        <v>143</v>
      </c>
    </row>
    <row r="31" spans="1:54" x14ac:dyDescent="0.35">
      <c r="A31" s="357">
        <v>43226</v>
      </c>
      <c r="B31" s="40">
        <v>2.75</v>
      </c>
      <c r="C31" s="40">
        <v>0.79166666666666896</v>
      </c>
      <c r="D31" s="156">
        <v>3</v>
      </c>
      <c r="E31" s="154">
        <f t="shared" si="2"/>
        <v>2.1126760563380285</v>
      </c>
      <c r="F31" s="154">
        <v>0</v>
      </c>
      <c r="G31" s="118">
        <v>74</v>
      </c>
      <c r="H31" s="154">
        <f t="shared" si="0"/>
        <v>52.112676056338032</v>
      </c>
      <c r="I31" s="154">
        <v>71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7">
        <v>129</v>
      </c>
      <c r="R31" s="157"/>
      <c r="S31" s="157">
        <v>93648318</v>
      </c>
      <c r="T31" s="45">
        <f t="shared" si="4"/>
        <v>4570</v>
      </c>
      <c r="U31" s="46">
        <f t="shared" si="5"/>
        <v>109.68</v>
      </c>
      <c r="V31" s="46">
        <f t="shared" si="6"/>
        <v>4.57</v>
      </c>
      <c r="W31" s="96">
        <v>3</v>
      </c>
      <c r="X31" s="96">
        <f t="shared" si="1"/>
        <v>3</v>
      </c>
      <c r="Y31" s="97" t="s">
        <v>169</v>
      </c>
      <c r="Z31" s="158">
        <v>0</v>
      </c>
      <c r="AA31" s="158">
        <v>1026</v>
      </c>
      <c r="AB31" s="158">
        <v>1186</v>
      </c>
      <c r="AC31" s="158">
        <v>1185</v>
      </c>
      <c r="AD31" s="158">
        <v>1186</v>
      </c>
      <c r="AE31" s="158">
        <v>0</v>
      </c>
      <c r="AF31" s="47" t="s">
        <v>90</v>
      </c>
      <c r="AG31" s="47" t="s">
        <v>90</v>
      </c>
      <c r="AH31" s="98" t="s">
        <v>90</v>
      </c>
      <c r="AI31" s="103">
        <v>15513332</v>
      </c>
      <c r="AJ31" s="45">
        <f t="shared" si="7"/>
        <v>1203</v>
      </c>
      <c r="AK31" s="48">
        <f t="shared" si="8"/>
        <v>263.2385120350109</v>
      </c>
      <c r="AL31" s="155">
        <v>0</v>
      </c>
      <c r="AM31" s="155">
        <v>1</v>
      </c>
      <c r="AN31" s="155">
        <v>1</v>
      </c>
      <c r="AO31" s="155">
        <v>1</v>
      </c>
      <c r="AP31" s="155">
        <v>1</v>
      </c>
      <c r="AQ31" s="155">
        <v>0</v>
      </c>
      <c r="AR31" s="155">
        <v>0</v>
      </c>
      <c r="AS31" s="158"/>
      <c r="AT31" s="158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357">
        <v>43226</v>
      </c>
      <c r="B32" s="40">
        <v>2.7916666666666701</v>
      </c>
      <c r="C32" s="40">
        <v>0.83333333333333703</v>
      </c>
      <c r="D32" s="156">
        <v>3</v>
      </c>
      <c r="E32" s="154">
        <f t="shared" si="2"/>
        <v>2.1126760563380285</v>
      </c>
      <c r="F32" s="154">
        <v>-2</v>
      </c>
      <c r="G32" s="118">
        <v>75</v>
      </c>
      <c r="H32" s="154">
        <f t="shared" si="0"/>
        <v>52.816901408450704</v>
      </c>
      <c r="I32" s="154">
        <v>72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7">
        <v>127</v>
      </c>
      <c r="R32" s="157"/>
      <c r="S32" s="157">
        <v>93652634</v>
      </c>
      <c r="T32" s="45">
        <f t="shared" si="4"/>
        <v>4316</v>
      </c>
      <c r="U32" s="46">
        <f t="shared" si="5"/>
        <v>103.584</v>
      </c>
      <c r="V32" s="46">
        <f t="shared" si="6"/>
        <v>4.3159999999999998</v>
      </c>
      <c r="W32" s="96">
        <v>2.6</v>
      </c>
      <c r="X32" s="96">
        <f t="shared" si="1"/>
        <v>2.6</v>
      </c>
      <c r="Y32" s="97" t="s">
        <v>169</v>
      </c>
      <c r="Z32" s="158">
        <v>0</v>
      </c>
      <c r="AA32" s="158">
        <v>1025</v>
      </c>
      <c r="AB32" s="158">
        <v>1187</v>
      </c>
      <c r="AC32" s="158">
        <v>1185</v>
      </c>
      <c r="AD32" s="158">
        <v>1187</v>
      </c>
      <c r="AE32" s="158">
        <v>0</v>
      </c>
      <c r="AF32" s="47" t="s">
        <v>90</v>
      </c>
      <c r="AG32" s="47" t="s">
        <v>90</v>
      </c>
      <c r="AH32" s="98" t="s">
        <v>90</v>
      </c>
      <c r="AI32" s="103">
        <v>15514514</v>
      </c>
      <c r="AJ32" s="45">
        <f t="shared" si="7"/>
        <v>1182</v>
      </c>
      <c r="AK32" s="48">
        <f t="shared" si="8"/>
        <v>273.86468952734015</v>
      </c>
      <c r="AL32" s="155">
        <v>0</v>
      </c>
      <c r="AM32" s="155">
        <v>1</v>
      </c>
      <c r="AN32" s="155">
        <v>1</v>
      </c>
      <c r="AO32" s="155">
        <v>1</v>
      </c>
      <c r="AP32" s="155">
        <v>1</v>
      </c>
      <c r="AQ32" s="155">
        <v>0</v>
      </c>
      <c r="AR32" s="155">
        <v>0</v>
      </c>
      <c r="AS32" s="158"/>
      <c r="AT32" s="158">
        <v>0</v>
      </c>
      <c r="AU32" s="49"/>
      <c r="AV32" s="50" t="s">
        <v>124</v>
      </c>
      <c r="AY32" s="308" t="s">
        <v>115</v>
      </c>
      <c r="AZ32" s="308"/>
      <c r="BB32" s="74" t="s">
        <v>156</v>
      </c>
    </row>
    <row r="33" spans="1:54" x14ac:dyDescent="0.35">
      <c r="A33" s="357">
        <v>43226</v>
      </c>
      <c r="B33" s="40">
        <v>2.8333333333333299</v>
      </c>
      <c r="C33" s="40">
        <v>0.875</v>
      </c>
      <c r="D33" s="156">
        <v>3</v>
      </c>
      <c r="E33" s="154">
        <f t="shared" si="2"/>
        <v>2.1126760563380285</v>
      </c>
      <c r="F33" s="154">
        <v>-2</v>
      </c>
      <c r="G33" s="118">
        <v>74</v>
      </c>
      <c r="H33" s="154">
        <f t="shared" si="0"/>
        <v>52.112676056338032</v>
      </c>
      <c r="I33" s="154">
        <v>71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7">
        <v>127</v>
      </c>
      <c r="R33" s="157"/>
      <c r="S33" s="157">
        <v>93657131</v>
      </c>
      <c r="T33" s="45">
        <f t="shared" si="4"/>
        <v>4497</v>
      </c>
      <c r="U33" s="46">
        <f t="shared" si="5"/>
        <v>107.928</v>
      </c>
      <c r="V33" s="46">
        <f t="shared" si="6"/>
        <v>4.4969999999999999</v>
      </c>
      <c r="W33" s="96">
        <v>2.2000000000000002</v>
      </c>
      <c r="X33" s="96">
        <f t="shared" si="1"/>
        <v>2.2000000000000002</v>
      </c>
      <c r="Y33" s="97" t="s">
        <v>169</v>
      </c>
      <c r="Z33" s="158">
        <v>0</v>
      </c>
      <c r="AA33" s="158">
        <v>1026</v>
      </c>
      <c r="AB33" s="158">
        <v>1187</v>
      </c>
      <c r="AC33" s="158">
        <v>1185</v>
      </c>
      <c r="AD33" s="158">
        <v>1187</v>
      </c>
      <c r="AE33" s="158">
        <v>0</v>
      </c>
      <c r="AF33" s="47" t="s">
        <v>90</v>
      </c>
      <c r="AG33" s="47" t="s">
        <v>90</v>
      </c>
      <c r="AH33" s="98" t="s">
        <v>90</v>
      </c>
      <c r="AI33" s="103">
        <v>15515706</v>
      </c>
      <c r="AJ33" s="45">
        <f t="shared" si="7"/>
        <v>1192</v>
      </c>
      <c r="AK33" s="48">
        <f t="shared" si="8"/>
        <v>265.06559928841449</v>
      </c>
      <c r="AL33" s="155">
        <v>0</v>
      </c>
      <c r="AM33" s="155">
        <v>1</v>
      </c>
      <c r="AN33" s="155">
        <v>1</v>
      </c>
      <c r="AO33" s="155">
        <v>1</v>
      </c>
      <c r="AP33" s="155">
        <v>1</v>
      </c>
      <c r="AQ33" s="155">
        <v>0</v>
      </c>
      <c r="AR33" s="155">
        <v>0</v>
      </c>
      <c r="AS33" s="158"/>
      <c r="AT33" s="158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57">
        <v>43226</v>
      </c>
      <c r="B34" s="40">
        <v>2.875</v>
      </c>
      <c r="C34" s="40">
        <v>0.91666666666667096</v>
      </c>
      <c r="D34" s="156">
        <v>3</v>
      </c>
      <c r="E34" s="154">
        <f t="shared" si="2"/>
        <v>2.1126760563380285</v>
      </c>
      <c r="F34" s="154">
        <v>-3</v>
      </c>
      <c r="G34" s="118">
        <v>75</v>
      </c>
      <c r="H34" s="154">
        <f t="shared" si="0"/>
        <v>52.816901408450704</v>
      </c>
      <c r="I34" s="154">
        <v>73</v>
      </c>
      <c r="J34" s="41" t="s">
        <v>88</v>
      </c>
      <c r="K34" s="41">
        <f t="shared" si="3"/>
        <v>49.295774647887328</v>
      </c>
      <c r="L34" s="42">
        <f t="shared" si="13"/>
        <v>50.70422535211268</v>
      </c>
      <c r="M34" s="41">
        <f t="shared" si="12"/>
        <v>54.929577464788736</v>
      </c>
      <c r="N34" s="43">
        <v>14</v>
      </c>
      <c r="O34" s="44" t="s">
        <v>116</v>
      </c>
      <c r="P34" s="44">
        <v>12.6</v>
      </c>
      <c r="Q34" s="157">
        <v>129</v>
      </c>
      <c r="R34" s="157"/>
      <c r="S34" s="157">
        <v>93661754</v>
      </c>
      <c r="T34" s="45">
        <f t="shared" si="4"/>
        <v>4623</v>
      </c>
      <c r="U34" s="46">
        <f t="shared" si="5"/>
        <v>110.952</v>
      </c>
      <c r="V34" s="46">
        <f t="shared" si="6"/>
        <v>4.6230000000000002</v>
      </c>
      <c r="W34" s="96">
        <v>1.9</v>
      </c>
      <c r="X34" s="96">
        <f t="shared" si="1"/>
        <v>1.9</v>
      </c>
      <c r="Y34" s="97" t="s">
        <v>169</v>
      </c>
      <c r="Z34" s="158">
        <v>0</v>
      </c>
      <c r="AA34" s="158">
        <v>1015</v>
      </c>
      <c r="AB34" s="158">
        <v>1187</v>
      </c>
      <c r="AC34" s="158">
        <v>1185</v>
      </c>
      <c r="AD34" s="158">
        <v>1187</v>
      </c>
      <c r="AE34" s="158">
        <v>0</v>
      </c>
      <c r="AF34" s="47" t="s">
        <v>90</v>
      </c>
      <c r="AG34" s="47" t="s">
        <v>90</v>
      </c>
      <c r="AH34" s="98" t="s">
        <v>90</v>
      </c>
      <c r="AI34" s="103">
        <v>15516894</v>
      </c>
      <c r="AJ34" s="45">
        <f t="shared" si="7"/>
        <v>1188</v>
      </c>
      <c r="AK34" s="48">
        <f t="shared" si="8"/>
        <v>256.97598961713175</v>
      </c>
      <c r="AL34" s="155">
        <v>0</v>
      </c>
      <c r="AM34" s="155">
        <v>1</v>
      </c>
      <c r="AN34" s="155">
        <v>1</v>
      </c>
      <c r="AO34" s="155">
        <v>1</v>
      </c>
      <c r="AP34" s="155">
        <v>1</v>
      </c>
      <c r="AQ34" s="155">
        <v>0</v>
      </c>
      <c r="AR34" s="155">
        <v>0</v>
      </c>
      <c r="AS34" s="158"/>
      <c r="AT34" s="158">
        <f>AS34-AS33</f>
        <v>0</v>
      </c>
      <c r="AU34" s="119">
        <v>0.98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357">
        <v>43226</v>
      </c>
      <c r="B35" s="40">
        <v>2.9166666666666701</v>
      </c>
      <c r="C35" s="40">
        <v>0.95833333333333803</v>
      </c>
      <c r="D35" s="156">
        <v>3</v>
      </c>
      <c r="E35" s="154">
        <f t="shared" si="2"/>
        <v>2.1126760563380285</v>
      </c>
      <c r="F35" s="154">
        <v>-3</v>
      </c>
      <c r="G35" s="118">
        <v>72</v>
      </c>
      <c r="H35" s="154">
        <f t="shared" si="0"/>
        <v>50.70422535211268</v>
      </c>
      <c r="I35" s="154">
        <v>70</v>
      </c>
      <c r="J35" s="41" t="s">
        <v>88</v>
      </c>
      <c r="K35" s="41">
        <f>L35-(2/1.42)</f>
        <v>45.774647887323944</v>
      </c>
      <c r="L35" s="42">
        <f>(G35-5)/1.42</f>
        <v>47.183098591549296</v>
      </c>
      <c r="M35" s="41">
        <f t="shared" si="12"/>
        <v>51.408450704225352</v>
      </c>
      <c r="N35" s="43">
        <v>14</v>
      </c>
      <c r="O35" s="44" t="s">
        <v>116</v>
      </c>
      <c r="P35" s="44">
        <v>11.9</v>
      </c>
      <c r="Q35" s="157">
        <v>134</v>
      </c>
      <c r="R35" s="157"/>
      <c r="S35" s="157">
        <v>93665739</v>
      </c>
      <c r="T35" s="45">
        <f t="shared" si="4"/>
        <v>3985</v>
      </c>
      <c r="U35" s="46">
        <f t="shared" si="5"/>
        <v>95.64</v>
      </c>
      <c r="V35" s="46">
        <f t="shared" si="6"/>
        <v>3.9849999999999999</v>
      </c>
      <c r="W35" s="96">
        <v>2.2000000000000002</v>
      </c>
      <c r="X35" s="96">
        <f t="shared" si="1"/>
        <v>2.2000000000000002</v>
      </c>
      <c r="Y35" s="97" t="s">
        <v>138</v>
      </c>
      <c r="Z35" s="158">
        <v>0</v>
      </c>
      <c r="AA35" s="158">
        <v>0</v>
      </c>
      <c r="AB35" s="158">
        <v>1187</v>
      </c>
      <c r="AC35" s="158">
        <v>1185</v>
      </c>
      <c r="AD35" s="158">
        <v>1187</v>
      </c>
      <c r="AE35" s="158">
        <v>0</v>
      </c>
      <c r="AF35" s="47" t="s">
        <v>90</v>
      </c>
      <c r="AG35" s="47" t="s">
        <v>90</v>
      </c>
      <c r="AH35" s="98" t="s">
        <v>90</v>
      </c>
      <c r="AI35" s="103">
        <v>15518009</v>
      </c>
      <c r="AJ35" s="45">
        <f t="shared" si="7"/>
        <v>1115</v>
      </c>
      <c r="AK35" s="48">
        <f t="shared" si="8"/>
        <v>279.79924717691341</v>
      </c>
      <c r="AL35" s="155">
        <v>0</v>
      </c>
      <c r="AM35" s="155">
        <v>0</v>
      </c>
      <c r="AN35" s="155">
        <v>1</v>
      </c>
      <c r="AO35" s="155">
        <v>1</v>
      </c>
      <c r="AP35" s="155">
        <v>1</v>
      </c>
      <c r="AQ35" s="155">
        <v>0</v>
      </c>
      <c r="AR35" s="155">
        <v>0.3</v>
      </c>
      <c r="AS35" s="158"/>
      <c r="AT35" s="158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357">
        <v>43226</v>
      </c>
      <c r="B36" s="40">
        <v>2.9583333333333299</v>
      </c>
      <c r="C36" s="40">
        <v>1</v>
      </c>
      <c r="D36" s="156">
        <v>3</v>
      </c>
      <c r="E36" s="154">
        <f t="shared" si="2"/>
        <v>2.1126760563380285</v>
      </c>
      <c r="F36" s="154">
        <v>-2</v>
      </c>
      <c r="G36" s="118">
        <v>72</v>
      </c>
      <c r="H36" s="154">
        <f t="shared" si="0"/>
        <v>50.70422535211268</v>
      </c>
      <c r="I36" s="154">
        <v>71</v>
      </c>
      <c r="J36" s="41" t="s">
        <v>88</v>
      </c>
      <c r="K36" s="41">
        <f t="shared" si="3"/>
        <v>45.774647887323944</v>
      </c>
      <c r="L36" s="42">
        <f>(G36-5)/1.42</f>
        <v>47.183098591549296</v>
      </c>
      <c r="M36" s="41">
        <f t="shared" si="12"/>
        <v>51.408450704225352</v>
      </c>
      <c r="N36" s="43">
        <v>14</v>
      </c>
      <c r="O36" s="44" t="s">
        <v>116</v>
      </c>
      <c r="P36" s="58">
        <v>11.5</v>
      </c>
      <c r="Q36" s="157">
        <v>132</v>
      </c>
      <c r="R36" s="157"/>
      <c r="S36" s="157">
        <v>93669708</v>
      </c>
      <c r="T36" s="45">
        <f t="shared" si="4"/>
        <v>3969</v>
      </c>
      <c r="U36" s="46">
        <f t="shared" si="5"/>
        <v>95.256</v>
      </c>
      <c r="V36" s="46">
        <f t="shared" si="6"/>
        <v>3.9689999999999999</v>
      </c>
      <c r="W36" s="96">
        <v>2.9</v>
      </c>
      <c r="X36" s="96">
        <f t="shared" si="1"/>
        <v>2.9</v>
      </c>
      <c r="Y36" s="97" t="s">
        <v>138</v>
      </c>
      <c r="Z36" s="158">
        <v>0</v>
      </c>
      <c r="AA36" s="158">
        <v>0</v>
      </c>
      <c r="AB36" s="158">
        <v>1187</v>
      </c>
      <c r="AC36" s="158">
        <v>1185</v>
      </c>
      <c r="AD36" s="158">
        <v>1187</v>
      </c>
      <c r="AE36" s="158">
        <v>0</v>
      </c>
      <c r="AF36" s="47" t="s">
        <v>90</v>
      </c>
      <c r="AG36" s="47" t="s">
        <v>90</v>
      </c>
      <c r="AH36" s="98" t="s">
        <v>90</v>
      </c>
      <c r="AI36" s="103">
        <v>15519116</v>
      </c>
      <c r="AJ36" s="45">
        <f t="shared" si="7"/>
        <v>1107</v>
      </c>
      <c r="AK36" s="48">
        <f t="shared" si="8"/>
        <v>278.91156462585036</v>
      </c>
      <c r="AL36" s="155">
        <v>0</v>
      </c>
      <c r="AM36" s="155">
        <v>0</v>
      </c>
      <c r="AN36" s="155">
        <v>1</v>
      </c>
      <c r="AO36" s="155">
        <v>1</v>
      </c>
      <c r="AP36" s="155">
        <v>1</v>
      </c>
      <c r="AQ36" s="155">
        <v>0</v>
      </c>
      <c r="AR36" s="155">
        <v>0.3</v>
      </c>
      <c r="AS36" s="158"/>
      <c r="AT36" s="158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73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09" t="s">
        <v>118</v>
      </c>
      <c r="O37" s="310"/>
      <c r="P37" s="311"/>
      <c r="Q37" s="101"/>
      <c r="R37" s="101"/>
      <c r="S37" s="101"/>
      <c r="T37" s="60">
        <f>SUM(T13:T36)</f>
        <v>100720</v>
      </c>
      <c r="U37" s="46">
        <f t="shared" si="5"/>
        <v>2417.2800000000002</v>
      </c>
      <c r="V37" s="46">
        <f t="shared" si="6"/>
        <v>100.72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27890</v>
      </c>
      <c r="AK37" s="61">
        <f>$AJ$37/$V37</f>
        <v>276.90627482128673</v>
      </c>
      <c r="AL37" s="155"/>
      <c r="AM37" s="155"/>
      <c r="AN37" s="155"/>
      <c r="AO37" s="155"/>
      <c r="AP37" s="155"/>
      <c r="AQ37" s="155"/>
      <c r="AR37" s="62"/>
      <c r="AS37" s="63">
        <f>AS36-AS11</f>
        <v>0</v>
      </c>
      <c r="AT37" s="64">
        <f>SUM(AT13:AT36)</f>
        <v>0</v>
      </c>
      <c r="AU37" s="65">
        <f>AVERAGE(AU13:AU36)</f>
        <v>1.0666666666666667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7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8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8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4"/>
      <c r="D47" s="164"/>
      <c r="E47" s="164"/>
      <c r="F47" s="164"/>
      <c r="G47" s="164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71" t="s">
        <v>198</v>
      </c>
      <c r="C48" s="172"/>
      <c r="D48" s="172"/>
      <c r="E48" s="172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2" t="s">
        <v>152</v>
      </c>
      <c r="C49" s="170"/>
      <c r="D49" s="170"/>
      <c r="E49" s="170"/>
      <c r="F49" s="161"/>
      <c r="G49" s="161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32" t="s">
        <v>163</v>
      </c>
      <c r="C50" s="143"/>
      <c r="D50" s="143"/>
      <c r="E50" s="143"/>
      <c r="F50" s="130"/>
      <c r="G50" s="130"/>
      <c r="H50" s="160"/>
      <c r="I50" s="160"/>
      <c r="J50" s="160"/>
      <c r="K50" s="160"/>
      <c r="L50" s="160"/>
      <c r="M50" s="160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15" t="s">
        <v>199</v>
      </c>
      <c r="C51" s="143"/>
      <c r="D51" s="143"/>
      <c r="E51" s="143"/>
      <c r="F51" s="130"/>
      <c r="G51" s="130"/>
      <c r="H51" s="160"/>
      <c r="I51" s="160"/>
      <c r="J51" s="160"/>
      <c r="K51" s="160"/>
      <c r="L51" s="160"/>
      <c r="M51" s="160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2" t="s">
        <v>200</v>
      </c>
      <c r="C52" s="120"/>
      <c r="D52" s="115"/>
      <c r="E52" s="115"/>
      <c r="F52" s="115"/>
      <c r="G52" s="115"/>
      <c r="H52" s="160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2" t="s">
        <v>166</v>
      </c>
      <c r="C53" s="170"/>
      <c r="D53" s="170"/>
      <c r="E53" s="170"/>
      <c r="F53" s="170"/>
      <c r="G53" s="115"/>
      <c r="H53" s="115"/>
      <c r="I53" s="115"/>
      <c r="J53" s="115"/>
      <c r="K53" s="115"/>
      <c r="L53" s="115"/>
      <c r="M53" s="115"/>
      <c r="N53" s="163"/>
      <c r="O53" s="163"/>
      <c r="P53" s="163"/>
      <c r="Q53" s="163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53" t="s">
        <v>201</v>
      </c>
      <c r="C54" s="153"/>
      <c r="D54" s="170"/>
      <c r="E54" s="170"/>
      <c r="F54" s="170"/>
      <c r="G54" s="170"/>
      <c r="H54" s="170"/>
      <c r="I54" s="170"/>
      <c r="J54" s="169"/>
      <c r="K54" s="166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2" t="s">
        <v>174</v>
      </c>
      <c r="C55" s="115"/>
      <c r="D55" s="170"/>
      <c r="E55" s="153"/>
      <c r="F55" s="153"/>
      <c r="G55" s="153"/>
      <c r="H55" s="153"/>
      <c r="I55" s="153"/>
      <c r="J55" s="169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62" t="s">
        <v>195</v>
      </c>
      <c r="C56" s="115"/>
      <c r="D56" s="170"/>
      <c r="E56" s="153"/>
      <c r="F56" s="153"/>
      <c r="G56" s="153"/>
      <c r="H56" s="153"/>
      <c r="I56" s="153"/>
      <c r="J56" s="153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3"/>
      <c r="C57" s="170"/>
      <c r="D57" s="170"/>
      <c r="E57" s="153"/>
      <c r="F57" s="153"/>
      <c r="G57" s="153"/>
      <c r="H57" s="153"/>
      <c r="I57" s="153"/>
      <c r="J57" s="153"/>
      <c r="K57" s="166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2"/>
      <c r="C58" s="170"/>
      <c r="D58" s="170"/>
      <c r="E58" s="115"/>
      <c r="F58" s="115"/>
      <c r="G58" s="115"/>
      <c r="H58" s="115"/>
      <c r="I58" s="153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2"/>
      <c r="C59" s="170"/>
      <c r="D59" s="170"/>
      <c r="E59" s="153"/>
      <c r="F59" s="153"/>
      <c r="G59" s="153"/>
      <c r="H59" s="153"/>
      <c r="I59" s="153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70"/>
      <c r="C60" s="170"/>
      <c r="D60" s="223"/>
      <c r="E60" s="223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32"/>
      <c r="C61" s="153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32"/>
      <c r="C62" s="115"/>
      <c r="D62" s="100"/>
      <c r="E62" s="100"/>
      <c r="F62" s="115"/>
      <c r="G62" s="115"/>
      <c r="H62" s="92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2"/>
      <c r="C63" s="115"/>
      <c r="D63" s="166"/>
      <c r="E63" s="166"/>
      <c r="F63" s="166"/>
      <c r="G63" s="166"/>
      <c r="H63" s="166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53"/>
      <c r="C64" s="115"/>
      <c r="D64" s="100"/>
      <c r="E64" s="100"/>
      <c r="F64" s="115"/>
      <c r="G64" s="115"/>
      <c r="H64" s="92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6"/>
      <c r="E65" s="166"/>
      <c r="F65" s="166"/>
      <c r="G65" s="166"/>
      <c r="H65" s="166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AV65" s="86"/>
      <c r="AW65" s="86"/>
      <c r="AX65" s="86"/>
      <c r="AY65" s="86"/>
      <c r="AZ65" s="86"/>
      <c r="BA65" s="86"/>
      <c r="BB65" s="86"/>
    </row>
    <row r="66" spans="2:54" x14ac:dyDescent="0.35">
      <c r="B66" s="162"/>
      <c r="C66" s="115"/>
      <c r="D66" s="166"/>
      <c r="E66" s="166"/>
      <c r="F66" s="166"/>
      <c r="G66" s="166"/>
      <c r="H66" s="166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6"/>
      <c r="E67" s="166"/>
      <c r="F67" s="166"/>
      <c r="G67" s="166"/>
      <c r="H67" s="166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AF13:AH36 T13:V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3" name="Range1_16_1_1_1_1_1_1_2_2_2_2_2_2_2_2_2_2_2_2_2_2_2_2_2_2_2_2_2_2_2_1_2_2_2_2_2_2_2_2_2_2_3_2_2_2_2_2_2_2_2_2_2_1_1_1_1_2_2_1_1_1_1_1_1_1_1_1_1_3_1_3"/>
    <protectedRange sqref="R5:W5" name="Range1_16_1_1_1_1_1_1_2_2_2_2_2_2_2_2_2_2_2_2_2_2_2_2_2_2_2_2_2_2_2_1_2_2_2_2_2_2_2_2_2_2_3_2_2_2_2_2_2_2_2_2_2_1_1_1_1_2_2_1_1_1_1_1_1_1_1_1_1_3_1_3_2"/>
    <protectedRange sqref="R4:W4" name="Range1_16_1_1_1_1_1_1_2_2_2_2_2_2_2_2_2_2_2_2_2_2_2_2_2_2_2_2_2_2_2_1_2_2_2_2_2_2_2_2_2_2_3_2_2_2_2_2_2_2_2_2_2_1_1_1_1_2_2_1_1_1_1_1_1_1_1_1_1_1_1_1_1_2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2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441" priority="5" operator="containsText" text="N/A">
      <formula>NOT(ISERROR(SEARCH("N/A",Z13)))</formula>
    </cfRule>
    <cfRule type="cellIs" dxfId="440" priority="17" operator="equal">
      <formula>0</formula>
    </cfRule>
  </conditionalFormatting>
  <conditionalFormatting sqref="Z13:AG36">
    <cfRule type="cellIs" dxfId="439" priority="16" operator="greaterThanOrEqual">
      <formula>1185</formula>
    </cfRule>
  </conditionalFormatting>
  <conditionalFormatting sqref="Z13:AG36">
    <cfRule type="cellIs" dxfId="438" priority="15" operator="between">
      <formula>0.1</formula>
      <formula>1184</formula>
    </cfRule>
  </conditionalFormatting>
  <conditionalFormatting sqref="Z8:Z9 AT13:AT36 AL37:AQ37 AL13:AR36">
    <cfRule type="cellIs" dxfId="437" priority="14" operator="equal">
      <formula>0</formula>
    </cfRule>
  </conditionalFormatting>
  <conditionalFormatting sqref="Z8:Z9 AT13:AT36 AL37:AQ37 AL13:AR36">
    <cfRule type="cellIs" dxfId="436" priority="13" operator="greaterThan">
      <formula>1179</formula>
    </cfRule>
  </conditionalFormatting>
  <conditionalFormatting sqref="Z8:Z9 AT13:AT36 AL37:AQ37 AL13:AR36">
    <cfRule type="cellIs" dxfId="435" priority="12" operator="greaterThan">
      <formula>99</formula>
    </cfRule>
  </conditionalFormatting>
  <conditionalFormatting sqref="Z8:Z9 AT13:AT36 AL37:AQ37 AL13:AR36">
    <cfRule type="cellIs" dxfId="434" priority="11" operator="greaterThan">
      <formula>0.99</formula>
    </cfRule>
  </conditionalFormatting>
  <conditionalFormatting sqref="AD8:AD9">
    <cfRule type="cellIs" dxfId="433" priority="10" operator="equal">
      <formula>0</formula>
    </cfRule>
  </conditionalFormatting>
  <conditionalFormatting sqref="AD8:AD9">
    <cfRule type="cellIs" dxfId="432" priority="9" operator="greaterThan">
      <formula>1179</formula>
    </cfRule>
  </conditionalFormatting>
  <conditionalFormatting sqref="AD8:AD9">
    <cfRule type="cellIs" dxfId="431" priority="8" operator="greaterThan">
      <formula>99</formula>
    </cfRule>
  </conditionalFormatting>
  <conditionalFormatting sqref="AD8:AD9">
    <cfRule type="cellIs" dxfId="430" priority="7" operator="greaterThan">
      <formula>0.99</formula>
    </cfRule>
  </conditionalFormatting>
  <conditionalFormatting sqref="AK13:AK36">
    <cfRule type="cellIs" dxfId="429" priority="6" operator="greaterThan">
      <formula>$AK$8</formula>
    </cfRule>
  </conditionalFormatting>
  <conditionalFormatting sqref="AS13:AS36">
    <cfRule type="containsText" dxfId="428" priority="1" operator="containsText" text="N/A">
      <formula>NOT(ISERROR(SEARCH("N/A",AS13)))</formula>
    </cfRule>
    <cfRule type="cellIs" dxfId="427" priority="4" operator="equal">
      <formula>0</formula>
    </cfRule>
  </conditionalFormatting>
  <conditionalFormatting sqref="AS13:AS36">
    <cfRule type="cellIs" dxfId="426" priority="3" operator="greaterThanOrEqual">
      <formula>1185</formula>
    </cfRule>
  </conditionalFormatting>
  <conditionalFormatting sqref="AS13:AS36">
    <cfRule type="cellIs" dxfId="425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500-000000000000}">
      <formula1>$AY$11:$AY$21</formula1>
    </dataValidation>
    <dataValidation type="list" allowBlank="1" showInputMessage="1" showErrorMessage="1" sqref="AS8:AT9 P11:P12 N11:N12 D8:E9 Q8:V9" xr:uid="{00000000-0002-0000-0500-000001000000}">
      <formula1>#REF!</formula1>
    </dataValidation>
    <dataValidation type="list" allowBlank="1" showInputMessage="1" showErrorMessage="1" sqref="AY33:AZ33" xr:uid="{00000000-0002-0000-0500-000002000000}">
      <formula1>$AY$26:$AY$30</formula1>
    </dataValidation>
    <dataValidation type="list" allowBlank="1" showInputMessage="1" showErrorMessage="1" sqref="R3:R5" xr:uid="{00000000-0002-0000-0500-000003000000}">
      <formula1>$BB$11:$BB$42</formula1>
    </dataValidation>
  </dataValidations>
  <hyperlinks>
    <hyperlink ref="J10:J11" location="'1'!AH8" display="Plant Status" xr:uid="{00000000-0004-0000-0500-000000000000}"/>
  </hyperlinks>
  <pageMargins left="0.7" right="0.7" top="0.75" bottom="0.75" header="0.3" footer="0.3"/>
  <pageSetup paperSize="9" orientation="portrait" horizont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7030A0"/>
  </sheetPr>
  <dimension ref="A2:BB88"/>
  <sheetViews>
    <sheetView topLeftCell="A40" zoomScaleNormal="100" workbookViewId="0">
      <selection activeCell="B51" sqref="B51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47" t="s">
        <v>142</v>
      </c>
      <c r="S3" s="348"/>
      <c r="T3" s="348"/>
      <c r="U3" s="348"/>
      <c r="V3" s="348"/>
      <c r="W3" s="34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47" t="s">
        <v>149</v>
      </c>
      <c r="S4" s="348"/>
      <c r="T4" s="348"/>
      <c r="U4" s="348"/>
      <c r="V4" s="348"/>
      <c r="W4" s="34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47" t="s">
        <v>205</v>
      </c>
      <c r="S5" s="348"/>
      <c r="T5" s="348"/>
      <c r="U5" s="348"/>
      <c r="V5" s="348"/>
      <c r="W5" s="34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50" t="s">
        <v>6</v>
      </c>
      <c r="C6" s="351"/>
      <c r="D6" s="352" t="s">
        <v>7</v>
      </c>
      <c r="E6" s="353"/>
      <c r="F6" s="353"/>
      <c r="G6" s="353"/>
      <c r="H6" s="353"/>
      <c r="I6" s="353"/>
      <c r="J6" s="354"/>
      <c r="K6" s="87"/>
      <c r="L6" s="87"/>
      <c r="M6" s="211"/>
      <c r="N6" s="355">
        <v>41686</v>
      </c>
      <c r="O6" s="356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37" t="s">
        <v>8</v>
      </c>
      <c r="C7" s="338"/>
      <c r="D7" s="337" t="s">
        <v>9</v>
      </c>
      <c r="E7" s="339"/>
      <c r="F7" s="339"/>
      <c r="G7" s="339"/>
      <c r="H7" s="339"/>
      <c r="I7" s="338"/>
      <c r="J7" s="21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16" t="s">
        <v>14</v>
      </c>
      <c r="R7" s="337" t="s">
        <v>15</v>
      </c>
      <c r="S7" s="339"/>
      <c r="T7" s="339"/>
      <c r="U7" s="339"/>
      <c r="V7" s="338"/>
      <c r="W7" s="337" t="s">
        <v>16</v>
      </c>
      <c r="X7" s="338"/>
      <c r="Y7" s="99" t="s">
        <v>17</v>
      </c>
      <c r="Z7" s="337" t="s">
        <v>18</v>
      </c>
      <c r="AA7" s="338"/>
      <c r="AB7" s="337" t="s">
        <v>19</v>
      </c>
      <c r="AC7" s="338"/>
      <c r="AD7" s="337" t="s">
        <v>20</v>
      </c>
      <c r="AE7" s="338"/>
      <c r="AF7" s="337" t="s">
        <v>21</v>
      </c>
      <c r="AG7" s="338"/>
      <c r="AH7" s="99" t="s">
        <v>22</v>
      </c>
      <c r="AI7" s="99" t="s">
        <v>23</v>
      </c>
      <c r="AJ7" s="99" t="s">
        <v>24</v>
      </c>
      <c r="AK7" s="99" t="s">
        <v>25</v>
      </c>
      <c r="AL7" s="337" t="s">
        <v>26</v>
      </c>
      <c r="AM7" s="339"/>
      <c r="AN7" s="339"/>
      <c r="AO7" s="339"/>
      <c r="AP7" s="339"/>
      <c r="AQ7" s="338"/>
      <c r="AR7" s="337" t="s">
        <v>27</v>
      </c>
      <c r="AS7" s="339"/>
      <c r="AT7" s="33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40">
        <v>43227</v>
      </c>
      <c r="C8" s="341"/>
      <c r="D8" s="342" t="s">
        <v>29</v>
      </c>
      <c r="E8" s="343"/>
      <c r="F8" s="343"/>
      <c r="G8" s="343"/>
      <c r="H8" s="343"/>
      <c r="I8" s="344"/>
      <c r="J8" s="28"/>
      <c r="K8" s="342" t="s">
        <v>29</v>
      </c>
      <c r="L8" s="343"/>
      <c r="M8" s="34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42" t="s">
        <v>33</v>
      </c>
      <c r="X8" s="344"/>
      <c r="Y8" s="30" t="s">
        <v>34</v>
      </c>
      <c r="Z8" s="326">
        <v>0</v>
      </c>
      <c r="AA8" s="327"/>
      <c r="AB8" s="345" t="s">
        <v>35</v>
      </c>
      <c r="AC8" s="346"/>
      <c r="AD8" s="326">
        <v>1185</v>
      </c>
      <c r="AE8" s="327"/>
      <c r="AF8" s="328">
        <v>800</v>
      </c>
      <c r="AG8" s="329"/>
      <c r="AH8" s="28"/>
      <c r="AI8" s="30">
        <f>AI36-AI11</f>
        <v>27505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17"/>
      <c r="C9" s="218"/>
      <c r="D9" s="219"/>
      <c r="E9" s="220"/>
      <c r="F9" s="220"/>
      <c r="G9" s="220"/>
      <c r="H9" s="220"/>
      <c r="I9" s="221"/>
      <c r="J9" s="121"/>
      <c r="K9" s="219"/>
      <c r="L9" s="220"/>
      <c r="M9" s="221"/>
      <c r="N9" s="29"/>
      <c r="O9" s="29"/>
      <c r="P9" s="29"/>
      <c r="Q9" s="121"/>
      <c r="R9" s="121"/>
      <c r="S9" s="121"/>
      <c r="T9" s="122"/>
      <c r="U9" s="123"/>
      <c r="V9" s="124"/>
      <c r="W9" s="219"/>
      <c r="X9" s="221"/>
      <c r="Y9" s="30"/>
      <c r="Z9" s="214"/>
      <c r="AA9" s="125"/>
      <c r="AB9" s="126"/>
      <c r="AC9" s="126"/>
      <c r="AD9" s="125"/>
      <c r="AE9" s="125"/>
      <c r="AF9" s="127"/>
      <c r="AG9" s="215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30" t="s">
        <v>39</v>
      </c>
      <c r="C10" s="331"/>
      <c r="D10" s="330" t="s">
        <v>40</v>
      </c>
      <c r="E10" s="332"/>
      <c r="F10" s="331"/>
      <c r="G10" s="330" t="s">
        <v>41</v>
      </c>
      <c r="H10" s="332"/>
      <c r="I10" s="331"/>
      <c r="J10" s="333" t="s">
        <v>42</v>
      </c>
      <c r="K10" s="330" t="s">
        <v>43</v>
      </c>
      <c r="L10" s="332"/>
      <c r="M10" s="331"/>
      <c r="N10" s="99" t="s">
        <v>44</v>
      </c>
      <c r="O10" s="335" t="s">
        <v>45</v>
      </c>
      <c r="P10" s="33" t="s">
        <v>46</v>
      </c>
      <c r="Q10" s="324" t="s">
        <v>47</v>
      </c>
      <c r="R10" s="324" t="s">
        <v>48</v>
      </c>
      <c r="S10" s="34" t="s">
        <v>49</v>
      </c>
      <c r="T10" s="312" t="s">
        <v>50</v>
      </c>
      <c r="U10" s="313"/>
      <c r="V10" s="314"/>
      <c r="W10" s="212" t="s">
        <v>51</v>
      </c>
      <c r="X10" s="212" t="s">
        <v>52</v>
      </c>
      <c r="Y10" s="318" t="s">
        <v>53</v>
      </c>
      <c r="Z10" s="319" t="s">
        <v>54</v>
      </c>
      <c r="AA10" s="320"/>
      <c r="AB10" s="320"/>
      <c r="AC10" s="320"/>
      <c r="AD10" s="320"/>
      <c r="AE10" s="320"/>
      <c r="AF10" s="320"/>
      <c r="AG10" s="321"/>
      <c r="AH10" s="210" t="s">
        <v>55</v>
      </c>
      <c r="AI10" s="210" t="s">
        <v>56</v>
      </c>
      <c r="AJ10" s="307" t="s">
        <v>57</v>
      </c>
      <c r="AK10" s="322" t="s">
        <v>58</v>
      </c>
      <c r="AL10" s="212" t="s">
        <v>59</v>
      </c>
      <c r="AM10" s="212" t="s">
        <v>60</v>
      </c>
      <c r="AN10" s="212" t="s">
        <v>61</v>
      </c>
      <c r="AO10" s="212" t="s">
        <v>62</v>
      </c>
      <c r="AP10" s="212" t="s">
        <v>63</v>
      </c>
      <c r="AQ10" s="212" t="s">
        <v>123</v>
      </c>
      <c r="AR10" s="212" t="s">
        <v>64</v>
      </c>
      <c r="AS10" s="212" t="s">
        <v>65</v>
      </c>
      <c r="AT10" s="324" t="s">
        <v>66</v>
      </c>
      <c r="AU10" s="212" t="s">
        <v>67</v>
      </c>
      <c r="AV10" s="30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12" t="s">
        <v>72</v>
      </c>
      <c r="C11" s="212" t="s">
        <v>73</v>
      </c>
      <c r="D11" s="212" t="s">
        <v>74</v>
      </c>
      <c r="E11" s="212" t="s">
        <v>75</v>
      </c>
      <c r="F11" s="212" t="s">
        <v>126</v>
      </c>
      <c r="G11" s="212" t="s">
        <v>74</v>
      </c>
      <c r="H11" s="212" t="s">
        <v>75</v>
      </c>
      <c r="I11" s="212" t="s">
        <v>126</v>
      </c>
      <c r="J11" s="334"/>
      <c r="K11" s="212" t="s">
        <v>75</v>
      </c>
      <c r="L11" s="212" t="s">
        <v>75</v>
      </c>
      <c r="M11" s="212" t="s">
        <v>75</v>
      </c>
      <c r="N11" s="28" t="s">
        <v>29</v>
      </c>
      <c r="O11" s="336"/>
      <c r="P11" s="28" t="s">
        <v>29</v>
      </c>
      <c r="Q11" s="325"/>
      <c r="R11" s="325"/>
      <c r="S11" s="1">
        <f>'MAY 6'!S36</f>
        <v>93669708</v>
      </c>
      <c r="T11" s="315"/>
      <c r="U11" s="316"/>
      <c r="V11" s="317"/>
      <c r="W11" s="212" t="s">
        <v>75</v>
      </c>
      <c r="X11" s="212" t="s">
        <v>75</v>
      </c>
      <c r="Y11" s="31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'MAY 6'!AI36</f>
        <v>15519116</v>
      </c>
      <c r="AJ11" s="307"/>
      <c r="AK11" s="323"/>
      <c r="AL11" s="212" t="s">
        <v>84</v>
      </c>
      <c r="AM11" s="212" t="s">
        <v>84</v>
      </c>
      <c r="AN11" s="212" t="s">
        <v>84</v>
      </c>
      <c r="AO11" s="212" t="s">
        <v>84</v>
      </c>
      <c r="AP11" s="212" t="s">
        <v>84</v>
      </c>
      <c r="AQ11" s="212" t="s">
        <v>84</v>
      </c>
      <c r="AR11" s="212" t="s">
        <v>84</v>
      </c>
      <c r="AS11" s="1"/>
      <c r="AT11" s="325"/>
      <c r="AU11" s="213" t="s">
        <v>85</v>
      </c>
      <c r="AV11" s="307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283</v>
      </c>
      <c r="B12" s="305" t="s">
        <v>284</v>
      </c>
      <c r="C12" s="305" t="s">
        <v>285</v>
      </c>
      <c r="D12" s="305" t="s">
        <v>286</v>
      </c>
      <c r="E12" s="305" t="s">
        <v>287</v>
      </c>
      <c r="F12" s="305" t="s">
        <v>288</v>
      </c>
      <c r="G12" s="305" t="s">
        <v>289</v>
      </c>
      <c r="H12" s="305" t="s">
        <v>290</v>
      </c>
      <c r="I12" s="305" t="s">
        <v>291</v>
      </c>
      <c r="J12" s="297" t="s">
        <v>292</v>
      </c>
      <c r="K12" s="305" t="s">
        <v>293</v>
      </c>
      <c r="L12" s="305" t="s">
        <v>294</v>
      </c>
      <c r="M12" s="305" t="s">
        <v>295</v>
      </c>
      <c r="N12" s="28" t="s">
        <v>296</v>
      </c>
      <c r="O12" s="298" t="s">
        <v>297</v>
      </c>
      <c r="P12" s="28" t="s">
        <v>298</v>
      </c>
      <c r="Q12" s="300" t="s">
        <v>299</v>
      </c>
      <c r="R12" s="300" t="s">
        <v>300</v>
      </c>
      <c r="S12" s="1" t="s">
        <v>301</v>
      </c>
      <c r="T12" s="302" t="s">
        <v>302</v>
      </c>
      <c r="U12" s="303" t="s">
        <v>303</v>
      </c>
      <c r="V12" s="304" t="s">
        <v>304</v>
      </c>
      <c r="W12" s="305" t="s">
        <v>305</v>
      </c>
      <c r="X12" s="305" t="s">
        <v>306</v>
      </c>
      <c r="Y12" s="305" t="s">
        <v>307</v>
      </c>
      <c r="Z12" s="37" t="s">
        <v>308</v>
      </c>
      <c r="AA12" s="37" t="s">
        <v>309</v>
      </c>
      <c r="AB12" s="37" t="s">
        <v>310</v>
      </c>
      <c r="AC12" s="37" t="s">
        <v>311</v>
      </c>
      <c r="AD12" s="37" t="s">
        <v>312</v>
      </c>
      <c r="AE12" s="37" t="s">
        <v>313</v>
      </c>
      <c r="AF12" s="37" t="s">
        <v>314</v>
      </c>
      <c r="AG12" s="37" t="s">
        <v>315</v>
      </c>
      <c r="AH12" s="38" t="s">
        <v>316</v>
      </c>
      <c r="AI12" s="1" t="s">
        <v>317</v>
      </c>
      <c r="AJ12" s="301" t="s">
        <v>318</v>
      </c>
      <c r="AK12" s="306" t="s">
        <v>319</v>
      </c>
      <c r="AL12" s="305" t="s">
        <v>320</v>
      </c>
      <c r="AM12" s="305" t="s">
        <v>321</v>
      </c>
      <c r="AN12" s="305" t="s">
        <v>322</v>
      </c>
      <c r="AO12" s="305" t="s">
        <v>323</v>
      </c>
      <c r="AP12" s="305" t="s">
        <v>324</v>
      </c>
      <c r="AQ12" s="305" t="s">
        <v>325</v>
      </c>
      <c r="AR12" s="305" t="s">
        <v>326</v>
      </c>
      <c r="AS12" s="1" t="s">
        <v>327</v>
      </c>
      <c r="AT12" s="300" t="s">
        <v>328</v>
      </c>
      <c r="AU12" s="299" t="s">
        <v>329</v>
      </c>
      <c r="AV12" s="301"/>
      <c r="AY12" s="39"/>
      <c r="AZ12" s="39"/>
      <c r="BB12" s="136"/>
    </row>
    <row r="13" spans="1:54" x14ac:dyDescent="0.35">
      <c r="A13" s="357">
        <v>43227</v>
      </c>
      <c r="B13" s="40">
        <v>2</v>
      </c>
      <c r="C13" s="40">
        <v>4.1666666666666664E-2</v>
      </c>
      <c r="D13" s="156">
        <v>3</v>
      </c>
      <c r="E13" s="154">
        <f>D13/1.42</f>
        <v>2.1126760563380285</v>
      </c>
      <c r="F13" s="154">
        <v>1</v>
      </c>
      <c r="G13" s="118">
        <v>71</v>
      </c>
      <c r="H13" s="154">
        <f t="shared" ref="H13:H36" si="0">G13/1.42</f>
        <v>50</v>
      </c>
      <c r="I13" s="154">
        <v>70</v>
      </c>
      <c r="J13" s="41" t="s">
        <v>88</v>
      </c>
      <c r="K13" s="41">
        <f>L13-(2/1.42)</f>
        <v>45.070422535211272</v>
      </c>
      <c r="L13" s="42">
        <f>(G13-5)/1.42</f>
        <v>46.478873239436624</v>
      </c>
      <c r="M13" s="41">
        <f>L13+(6/1.42)</f>
        <v>50.70422535211268</v>
      </c>
      <c r="N13" s="43">
        <v>14</v>
      </c>
      <c r="O13" s="44" t="s">
        <v>89</v>
      </c>
      <c r="P13" s="44">
        <v>11.4</v>
      </c>
      <c r="Q13" s="157">
        <v>139</v>
      </c>
      <c r="R13" s="157"/>
      <c r="S13" s="157">
        <v>93673809</v>
      </c>
      <c r="T13" s="45">
        <f>IF(ISBLANK(S13),"-",S13-S11)</f>
        <v>4101</v>
      </c>
      <c r="U13" s="46">
        <f>T13*24/1000</f>
        <v>98.424000000000007</v>
      </c>
      <c r="V13" s="46">
        <f>T13/1000</f>
        <v>4.101</v>
      </c>
      <c r="W13" s="96">
        <v>3.8</v>
      </c>
      <c r="X13" s="96">
        <f t="shared" ref="X13:X36" si="1">W13</f>
        <v>3.8</v>
      </c>
      <c r="Y13" s="97" t="s">
        <v>138</v>
      </c>
      <c r="Z13" s="158">
        <v>0</v>
      </c>
      <c r="AA13" s="158">
        <v>0</v>
      </c>
      <c r="AB13" s="158">
        <v>1187</v>
      </c>
      <c r="AC13" s="158">
        <v>1185</v>
      </c>
      <c r="AD13" s="158">
        <v>1187</v>
      </c>
      <c r="AE13" s="158">
        <v>0</v>
      </c>
      <c r="AF13" s="47" t="s">
        <v>90</v>
      </c>
      <c r="AG13" s="47" t="s">
        <v>90</v>
      </c>
      <c r="AH13" s="98" t="s">
        <v>90</v>
      </c>
      <c r="AI13" s="103">
        <v>15520310</v>
      </c>
      <c r="AJ13" s="45">
        <f>IF(ISBLANK(AI13),"-",AI13-AI11)</f>
        <v>1194</v>
      </c>
      <c r="AK13" s="48">
        <f>AJ13/V13</f>
        <v>291.14850036576445</v>
      </c>
      <c r="AL13" s="155">
        <v>0</v>
      </c>
      <c r="AM13" s="155">
        <v>0</v>
      </c>
      <c r="AN13" s="155">
        <v>1</v>
      </c>
      <c r="AO13" s="155">
        <v>1</v>
      </c>
      <c r="AP13" s="155">
        <v>1</v>
      </c>
      <c r="AQ13" s="155">
        <v>0</v>
      </c>
      <c r="AR13" s="155">
        <v>0.8</v>
      </c>
      <c r="AS13" s="158"/>
      <c r="AT13" s="158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357">
        <v>43227</v>
      </c>
      <c r="B14" s="40">
        <v>2.0416666666666701</v>
      </c>
      <c r="C14" s="40">
        <v>8.3333333333333329E-2</v>
      </c>
      <c r="D14" s="156">
        <v>3</v>
      </c>
      <c r="E14" s="154">
        <f t="shared" ref="E14:E36" si="2">D14/1.42</f>
        <v>2.1126760563380285</v>
      </c>
      <c r="F14" s="154">
        <v>3</v>
      </c>
      <c r="G14" s="118">
        <v>73</v>
      </c>
      <c r="H14" s="154">
        <f t="shared" si="0"/>
        <v>51.408450704225352</v>
      </c>
      <c r="I14" s="154">
        <v>72</v>
      </c>
      <c r="J14" s="41" t="s">
        <v>88</v>
      </c>
      <c r="K14" s="41">
        <f t="shared" ref="K14:K36" si="3">L14-(2/1.42)</f>
        <v>46.478873239436624</v>
      </c>
      <c r="L14" s="42">
        <f>(G14-5)/1.42</f>
        <v>47.887323943661976</v>
      </c>
      <c r="M14" s="41">
        <f>L14+(6/1.42)</f>
        <v>52.112676056338032</v>
      </c>
      <c r="N14" s="43">
        <v>14</v>
      </c>
      <c r="O14" s="44" t="s">
        <v>89</v>
      </c>
      <c r="P14" s="44">
        <v>11.2</v>
      </c>
      <c r="Q14" s="157">
        <v>141</v>
      </c>
      <c r="R14" s="157"/>
      <c r="S14" s="157">
        <v>93677861</v>
      </c>
      <c r="T14" s="45">
        <f t="shared" ref="T14:T36" si="4">IF(ISBLANK(S14),"-",S14-S13)</f>
        <v>4052</v>
      </c>
      <c r="U14" s="46">
        <f t="shared" ref="U14:U37" si="5">T14*24/1000</f>
        <v>97.248000000000005</v>
      </c>
      <c r="V14" s="46">
        <f t="shared" ref="V14:V37" si="6">T14/1000</f>
        <v>4.0519999999999996</v>
      </c>
      <c r="W14" s="96">
        <v>5.0999999999999996</v>
      </c>
      <c r="X14" s="96">
        <f t="shared" si="1"/>
        <v>5.0999999999999996</v>
      </c>
      <c r="Y14" s="97" t="s">
        <v>138</v>
      </c>
      <c r="Z14" s="158">
        <v>0</v>
      </c>
      <c r="AA14" s="158">
        <v>0</v>
      </c>
      <c r="AB14" s="158">
        <v>1187</v>
      </c>
      <c r="AC14" s="158">
        <v>1185</v>
      </c>
      <c r="AD14" s="158">
        <v>1187</v>
      </c>
      <c r="AE14" s="158">
        <v>0</v>
      </c>
      <c r="AF14" s="47" t="s">
        <v>90</v>
      </c>
      <c r="AG14" s="47" t="s">
        <v>90</v>
      </c>
      <c r="AH14" s="98" t="s">
        <v>90</v>
      </c>
      <c r="AI14" s="103">
        <v>15521454</v>
      </c>
      <c r="AJ14" s="45">
        <f t="shared" ref="AJ14:AJ36" si="7">IF(ISBLANK(AI14),"-",AI14-AI13)</f>
        <v>1144</v>
      </c>
      <c r="AK14" s="48">
        <f t="shared" ref="AK14:AK36" si="8">AJ14/V14</f>
        <v>282.32971372161899</v>
      </c>
      <c r="AL14" s="155">
        <v>0</v>
      </c>
      <c r="AM14" s="155">
        <v>0</v>
      </c>
      <c r="AN14" s="155">
        <v>1</v>
      </c>
      <c r="AO14" s="155">
        <v>1</v>
      </c>
      <c r="AP14" s="155">
        <v>1</v>
      </c>
      <c r="AQ14" s="155">
        <v>0</v>
      </c>
      <c r="AR14" s="155">
        <v>0.8</v>
      </c>
      <c r="AS14" s="158"/>
      <c r="AT14" s="158">
        <f t="shared" ref="AT14:AT35" si="9">AS14-AS13</f>
        <v>0</v>
      </c>
      <c r="AU14" s="119">
        <v>1.03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57">
        <v>43227</v>
      </c>
      <c r="B15" s="40">
        <v>2.0833333333333299</v>
      </c>
      <c r="C15" s="40">
        <v>0.125</v>
      </c>
      <c r="D15" s="156">
        <v>3</v>
      </c>
      <c r="E15" s="154">
        <f t="shared" si="2"/>
        <v>2.1126760563380285</v>
      </c>
      <c r="F15" s="154">
        <v>5</v>
      </c>
      <c r="G15" s="118">
        <v>73</v>
      </c>
      <c r="H15" s="154">
        <f t="shared" si="0"/>
        <v>51.408450704225352</v>
      </c>
      <c r="I15" s="154">
        <v>72</v>
      </c>
      <c r="J15" s="41" t="s">
        <v>88</v>
      </c>
      <c r="K15" s="41">
        <f t="shared" si="3"/>
        <v>46.478873239436624</v>
      </c>
      <c r="L15" s="42">
        <f>(G15-5)/1.42</f>
        <v>47.887323943661976</v>
      </c>
      <c r="M15" s="41">
        <f>L15+(6/1.42)</f>
        <v>52.112676056338032</v>
      </c>
      <c r="N15" s="43">
        <v>14</v>
      </c>
      <c r="O15" s="44" t="s">
        <v>89</v>
      </c>
      <c r="P15" s="44">
        <v>11.2</v>
      </c>
      <c r="Q15" s="157">
        <v>137</v>
      </c>
      <c r="R15" s="157"/>
      <c r="S15" s="157">
        <v>93681872</v>
      </c>
      <c r="T15" s="45">
        <f t="shared" si="4"/>
        <v>4011</v>
      </c>
      <c r="U15" s="46">
        <f t="shared" si="5"/>
        <v>96.263999999999996</v>
      </c>
      <c r="V15" s="46">
        <f t="shared" si="6"/>
        <v>4.0110000000000001</v>
      </c>
      <c r="W15" s="96">
        <v>6.9</v>
      </c>
      <c r="X15" s="96">
        <f t="shared" si="1"/>
        <v>6.9</v>
      </c>
      <c r="Y15" s="97" t="s">
        <v>138</v>
      </c>
      <c r="Z15" s="158">
        <v>0</v>
      </c>
      <c r="AA15" s="158">
        <v>0</v>
      </c>
      <c r="AB15" s="158">
        <v>1187</v>
      </c>
      <c r="AC15" s="158">
        <v>1185</v>
      </c>
      <c r="AD15" s="158">
        <v>1187</v>
      </c>
      <c r="AE15" s="158">
        <v>0</v>
      </c>
      <c r="AF15" s="47" t="s">
        <v>90</v>
      </c>
      <c r="AG15" s="47" t="s">
        <v>90</v>
      </c>
      <c r="AH15" s="98" t="s">
        <v>90</v>
      </c>
      <c r="AI15" s="103">
        <v>15522569</v>
      </c>
      <c r="AJ15" s="45">
        <f t="shared" si="7"/>
        <v>1115</v>
      </c>
      <c r="AK15" s="48">
        <f t="shared" si="8"/>
        <v>277.98553976564449</v>
      </c>
      <c r="AL15" s="155">
        <v>0</v>
      </c>
      <c r="AM15" s="155">
        <v>0</v>
      </c>
      <c r="AN15" s="155">
        <v>1</v>
      </c>
      <c r="AO15" s="155">
        <v>1</v>
      </c>
      <c r="AP15" s="155">
        <v>1</v>
      </c>
      <c r="AQ15" s="155">
        <v>0</v>
      </c>
      <c r="AR15" s="155">
        <v>0.8</v>
      </c>
      <c r="AS15" s="158"/>
      <c r="AT15" s="158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357">
        <v>43227</v>
      </c>
      <c r="B16" s="40">
        <v>2.125</v>
      </c>
      <c r="C16" s="40">
        <v>0.16666666666666699</v>
      </c>
      <c r="D16" s="156">
        <v>3</v>
      </c>
      <c r="E16" s="154">
        <f t="shared" si="2"/>
        <v>2.1126760563380285</v>
      </c>
      <c r="F16" s="154">
        <v>6</v>
      </c>
      <c r="G16" s="118">
        <v>71</v>
      </c>
      <c r="H16" s="154">
        <f t="shared" si="0"/>
        <v>50</v>
      </c>
      <c r="I16" s="154">
        <v>70</v>
      </c>
      <c r="J16" s="41" t="s">
        <v>88</v>
      </c>
      <c r="K16" s="41">
        <f t="shared" si="3"/>
        <v>45.070422535211272</v>
      </c>
      <c r="L16" s="42">
        <f>(G16-5)/1.42</f>
        <v>46.478873239436624</v>
      </c>
      <c r="M16" s="41">
        <f>L16+(6/1.42)</f>
        <v>50.70422535211268</v>
      </c>
      <c r="N16" s="43">
        <v>14</v>
      </c>
      <c r="O16" s="44" t="s">
        <v>89</v>
      </c>
      <c r="P16" s="44">
        <v>12.8</v>
      </c>
      <c r="Q16" s="157">
        <v>140</v>
      </c>
      <c r="R16" s="157"/>
      <c r="S16" s="157">
        <v>93685810</v>
      </c>
      <c r="T16" s="45">
        <f t="shared" si="4"/>
        <v>3938</v>
      </c>
      <c r="U16" s="46">
        <f t="shared" si="5"/>
        <v>94.512</v>
      </c>
      <c r="V16" s="46">
        <f t="shared" si="6"/>
        <v>3.9380000000000002</v>
      </c>
      <c r="W16" s="96">
        <v>8.1</v>
      </c>
      <c r="X16" s="96">
        <f t="shared" si="1"/>
        <v>8.1</v>
      </c>
      <c r="Y16" s="97" t="s">
        <v>138</v>
      </c>
      <c r="Z16" s="158">
        <v>0</v>
      </c>
      <c r="AA16" s="158">
        <v>0</v>
      </c>
      <c r="AB16" s="158">
        <v>1187</v>
      </c>
      <c r="AC16" s="158">
        <v>1185</v>
      </c>
      <c r="AD16" s="158">
        <v>1187</v>
      </c>
      <c r="AE16" s="158">
        <v>0</v>
      </c>
      <c r="AF16" s="47" t="s">
        <v>90</v>
      </c>
      <c r="AG16" s="47" t="s">
        <v>90</v>
      </c>
      <c r="AH16" s="98" t="s">
        <v>90</v>
      </c>
      <c r="AI16" s="103">
        <v>15523588</v>
      </c>
      <c r="AJ16" s="45">
        <f t="shared" si="7"/>
        <v>1019</v>
      </c>
      <c r="AK16" s="48">
        <f t="shared" si="8"/>
        <v>258.76079228034536</v>
      </c>
      <c r="AL16" s="155">
        <v>0</v>
      </c>
      <c r="AM16" s="155">
        <v>0</v>
      </c>
      <c r="AN16" s="155">
        <v>1</v>
      </c>
      <c r="AO16" s="155">
        <v>1</v>
      </c>
      <c r="AP16" s="155">
        <v>1</v>
      </c>
      <c r="AQ16" s="155">
        <v>0</v>
      </c>
      <c r="AR16" s="155">
        <v>0.8</v>
      </c>
      <c r="AS16" s="158"/>
      <c r="AT16" s="158">
        <f t="shared" si="9"/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357">
        <v>43227</v>
      </c>
      <c r="B17" s="40">
        <v>2.1666666666666701</v>
      </c>
      <c r="C17" s="40">
        <v>0.20833333333333301</v>
      </c>
      <c r="D17" s="156" t="s">
        <v>179</v>
      </c>
      <c r="E17" s="154" t="e">
        <f t="shared" si="2"/>
        <v>#VALUE!</v>
      </c>
      <c r="F17" s="154">
        <v>7</v>
      </c>
      <c r="G17" s="118">
        <v>81</v>
      </c>
      <c r="H17" s="154">
        <f t="shared" si="0"/>
        <v>57.04225352112676</v>
      </c>
      <c r="I17" s="154">
        <v>80</v>
      </c>
      <c r="J17" s="41" t="s">
        <v>88</v>
      </c>
      <c r="K17" s="41">
        <f t="shared" si="3"/>
        <v>52.112676056338032</v>
      </c>
      <c r="L17" s="42">
        <f>(G17-5)/1.42</f>
        <v>53.521126760563384</v>
      </c>
      <c r="M17" s="41">
        <f>L17+(6/1.42)</f>
        <v>57.74647887323944</v>
      </c>
      <c r="N17" s="43">
        <v>18</v>
      </c>
      <c r="O17" s="44" t="s">
        <v>89</v>
      </c>
      <c r="P17" s="44">
        <v>13.1</v>
      </c>
      <c r="Q17" s="157" t="s">
        <v>179</v>
      </c>
      <c r="R17" s="157"/>
      <c r="S17" s="157">
        <v>93689792</v>
      </c>
      <c r="T17" s="45">
        <f t="shared" si="4"/>
        <v>3982</v>
      </c>
      <c r="U17" s="46">
        <f t="shared" si="5"/>
        <v>95.567999999999998</v>
      </c>
      <c r="V17" s="46">
        <f t="shared" si="6"/>
        <v>3.9820000000000002</v>
      </c>
      <c r="W17" s="96">
        <v>9.5</v>
      </c>
      <c r="X17" s="96">
        <f t="shared" si="1"/>
        <v>9.5</v>
      </c>
      <c r="Y17" s="97" t="s">
        <v>138</v>
      </c>
      <c r="Z17" s="158">
        <v>0</v>
      </c>
      <c r="AA17" s="158">
        <v>0</v>
      </c>
      <c r="AB17" s="158">
        <v>1187</v>
      </c>
      <c r="AC17" s="158">
        <v>1185</v>
      </c>
      <c r="AD17" s="158">
        <v>1187</v>
      </c>
      <c r="AE17" s="158">
        <v>0</v>
      </c>
      <c r="AF17" s="47" t="s">
        <v>90</v>
      </c>
      <c r="AG17" s="47" t="s">
        <v>90</v>
      </c>
      <c r="AH17" s="98" t="s">
        <v>90</v>
      </c>
      <c r="AI17" s="103">
        <v>15524703</v>
      </c>
      <c r="AJ17" s="45">
        <f t="shared" si="7"/>
        <v>1115</v>
      </c>
      <c r="AK17" s="48">
        <f t="shared" si="8"/>
        <v>280.01004520341536</v>
      </c>
      <c r="AL17" s="155">
        <v>0</v>
      </c>
      <c r="AM17" s="155">
        <v>0</v>
      </c>
      <c r="AN17" s="155">
        <v>1</v>
      </c>
      <c r="AO17" s="155">
        <v>1</v>
      </c>
      <c r="AP17" s="155">
        <v>1</v>
      </c>
      <c r="AQ17" s="155">
        <v>0</v>
      </c>
      <c r="AR17" s="155">
        <v>0.8</v>
      </c>
      <c r="AS17" s="158"/>
      <c r="AT17" s="158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57">
        <v>43227</v>
      </c>
      <c r="B18" s="40">
        <v>2.2083333333333299</v>
      </c>
      <c r="C18" s="40">
        <v>0.25</v>
      </c>
      <c r="D18" s="156">
        <v>3</v>
      </c>
      <c r="E18" s="154">
        <f t="shared" si="2"/>
        <v>2.1126760563380285</v>
      </c>
      <c r="F18" s="154">
        <v>8</v>
      </c>
      <c r="G18" s="118">
        <v>80</v>
      </c>
      <c r="H18" s="154">
        <f t="shared" si="0"/>
        <v>56.338028169014088</v>
      </c>
      <c r="I18" s="154">
        <v>79</v>
      </c>
      <c r="J18" s="41" t="s">
        <v>88</v>
      </c>
      <c r="K18" s="41">
        <f t="shared" si="3"/>
        <v>54.929577464788736</v>
      </c>
      <c r="L18" s="42">
        <f t="shared" ref="L18:L27" si="10">G18/1.42</f>
        <v>56.338028169014088</v>
      </c>
      <c r="M18" s="41">
        <f>L18+1.42</f>
        <v>57.758028169014089</v>
      </c>
      <c r="N18" s="43">
        <v>19</v>
      </c>
      <c r="O18" s="44" t="s">
        <v>100</v>
      </c>
      <c r="P18" s="44">
        <v>13.1</v>
      </c>
      <c r="Q18" s="157">
        <v>136</v>
      </c>
      <c r="R18" s="157"/>
      <c r="S18" s="157">
        <v>93694028</v>
      </c>
      <c r="T18" s="45">
        <f t="shared" si="4"/>
        <v>4236</v>
      </c>
      <c r="U18" s="46">
        <f t="shared" si="5"/>
        <v>101.664</v>
      </c>
      <c r="V18" s="46">
        <f t="shared" si="6"/>
        <v>4.2359999999999998</v>
      </c>
      <c r="W18" s="96">
        <v>9.5</v>
      </c>
      <c r="X18" s="96">
        <f t="shared" si="1"/>
        <v>9.5</v>
      </c>
      <c r="Y18" s="97" t="s">
        <v>138</v>
      </c>
      <c r="Z18" s="158">
        <v>0</v>
      </c>
      <c r="AA18" s="158">
        <v>0</v>
      </c>
      <c r="AB18" s="158">
        <v>1187</v>
      </c>
      <c r="AC18" s="158">
        <v>1185</v>
      </c>
      <c r="AD18" s="158">
        <v>0</v>
      </c>
      <c r="AE18" s="158">
        <v>1185</v>
      </c>
      <c r="AF18" s="47" t="s">
        <v>90</v>
      </c>
      <c r="AG18" s="47" t="s">
        <v>90</v>
      </c>
      <c r="AH18" s="98" t="s">
        <v>90</v>
      </c>
      <c r="AI18" s="103">
        <v>15525813</v>
      </c>
      <c r="AJ18" s="45">
        <f t="shared" si="7"/>
        <v>1110</v>
      </c>
      <c r="AK18" s="48">
        <f t="shared" si="8"/>
        <v>262.03966005665723</v>
      </c>
      <c r="AL18" s="155">
        <v>0</v>
      </c>
      <c r="AM18" s="155">
        <v>0</v>
      </c>
      <c r="AN18" s="155">
        <v>1</v>
      </c>
      <c r="AO18" s="155">
        <v>1</v>
      </c>
      <c r="AP18" s="155">
        <v>0</v>
      </c>
      <c r="AQ18" s="155">
        <v>1</v>
      </c>
      <c r="AR18" s="155">
        <v>0</v>
      </c>
      <c r="AS18" s="158"/>
      <c r="AT18" s="158">
        <f t="shared" si="9"/>
        <v>0</v>
      </c>
      <c r="AU18" s="119">
        <v>1.1200000000000001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57">
        <v>43227</v>
      </c>
      <c r="B19" s="40">
        <v>2.25</v>
      </c>
      <c r="C19" s="40">
        <v>0.29166666666666669</v>
      </c>
      <c r="D19" s="156">
        <v>3</v>
      </c>
      <c r="E19" s="154">
        <f t="shared" si="2"/>
        <v>2.1126760563380285</v>
      </c>
      <c r="F19" s="154">
        <v>8</v>
      </c>
      <c r="G19" s="118">
        <v>78</v>
      </c>
      <c r="H19" s="154">
        <f t="shared" si="0"/>
        <v>54.929577464788736</v>
      </c>
      <c r="I19" s="154">
        <v>76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7">
        <v>132</v>
      </c>
      <c r="R19" s="157"/>
      <c r="S19" s="157">
        <v>93698751</v>
      </c>
      <c r="T19" s="45">
        <f t="shared" si="4"/>
        <v>4723</v>
      </c>
      <c r="U19" s="46">
        <f t="shared" si="5"/>
        <v>113.352</v>
      </c>
      <c r="V19" s="46">
        <f t="shared" si="6"/>
        <v>4.7229999999999999</v>
      </c>
      <c r="W19" s="96">
        <v>9</v>
      </c>
      <c r="X19" s="96">
        <f t="shared" si="1"/>
        <v>9</v>
      </c>
      <c r="Y19" s="97" t="s">
        <v>169</v>
      </c>
      <c r="Z19" s="158">
        <v>1018</v>
      </c>
      <c r="AA19" s="158">
        <v>0</v>
      </c>
      <c r="AB19" s="158">
        <v>1187</v>
      </c>
      <c r="AC19" s="158">
        <v>1185</v>
      </c>
      <c r="AD19" s="158">
        <v>0</v>
      </c>
      <c r="AE19" s="158">
        <v>1185</v>
      </c>
      <c r="AF19" s="47" t="s">
        <v>90</v>
      </c>
      <c r="AG19" s="47" t="s">
        <v>90</v>
      </c>
      <c r="AH19" s="98" t="s">
        <v>90</v>
      </c>
      <c r="AI19" s="103">
        <v>15526990</v>
      </c>
      <c r="AJ19" s="45">
        <f t="shared" si="7"/>
        <v>1177</v>
      </c>
      <c r="AK19" s="48">
        <f t="shared" si="8"/>
        <v>249.20601312724963</v>
      </c>
      <c r="AL19" s="155">
        <v>1</v>
      </c>
      <c r="AM19" s="155">
        <v>0</v>
      </c>
      <c r="AN19" s="155">
        <v>1</v>
      </c>
      <c r="AO19" s="155">
        <v>1</v>
      </c>
      <c r="AP19" s="155">
        <v>0</v>
      </c>
      <c r="AQ19" s="155">
        <v>1</v>
      </c>
      <c r="AR19" s="155">
        <v>0</v>
      </c>
      <c r="AS19" s="158"/>
      <c r="AT19" s="158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57">
        <v>43227</v>
      </c>
      <c r="B20" s="40">
        <v>2.2916666666666701</v>
      </c>
      <c r="C20" s="40">
        <v>0.33333333333333298</v>
      </c>
      <c r="D20" s="156">
        <v>3</v>
      </c>
      <c r="E20" s="154">
        <f t="shared" si="2"/>
        <v>2.1126760563380285</v>
      </c>
      <c r="F20" s="154">
        <v>7</v>
      </c>
      <c r="G20" s="118">
        <v>77</v>
      </c>
      <c r="H20" s="154">
        <f t="shared" si="0"/>
        <v>54.225352112676056</v>
      </c>
      <c r="I20" s="154">
        <v>74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7">
        <v>128</v>
      </c>
      <c r="R20" s="157"/>
      <c r="S20" s="157">
        <v>93703580</v>
      </c>
      <c r="T20" s="45">
        <f t="shared" si="4"/>
        <v>4829</v>
      </c>
      <c r="U20" s="46">
        <f>T20*24/1000</f>
        <v>115.896</v>
      </c>
      <c r="V20" s="46">
        <f t="shared" si="6"/>
        <v>4.8289999999999997</v>
      </c>
      <c r="W20" s="96">
        <v>8.4</v>
      </c>
      <c r="X20" s="96">
        <f t="shared" si="1"/>
        <v>8.4</v>
      </c>
      <c r="Y20" s="97" t="s">
        <v>169</v>
      </c>
      <c r="Z20" s="158">
        <v>1028</v>
      </c>
      <c r="AA20" s="158">
        <v>0</v>
      </c>
      <c r="AB20" s="158">
        <v>1187</v>
      </c>
      <c r="AC20" s="158">
        <v>1185</v>
      </c>
      <c r="AD20" s="158">
        <v>0</v>
      </c>
      <c r="AE20" s="158">
        <v>1185</v>
      </c>
      <c r="AF20" s="47" t="s">
        <v>90</v>
      </c>
      <c r="AG20" s="47" t="s">
        <v>90</v>
      </c>
      <c r="AH20" s="98" t="s">
        <v>90</v>
      </c>
      <c r="AI20" s="103">
        <v>15528178</v>
      </c>
      <c r="AJ20" s="45">
        <f t="shared" si="7"/>
        <v>1188</v>
      </c>
      <c r="AK20" s="48">
        <f t="shared" si="8"/>
        <v>246.01366742596812</v>
      </c>
      <c r="AL20" s="155">
        <v>1</v>
      </c>
      <c r="AM20" s="155">
        <v>0</v>
      </c>
      <c r="AN20" s="155">
        <v>1</v>
      </c>
      <c r="AO20" s="155">
        <v>1</v>
      </c>
      <c r="AP20" s="155">
        <v>0</v>
      </c>
      <c r="AQ20" s="155">
        <v>1</v>
      </c>
      <c r="AR20" s="155">
        <v>0</v>
      </c>
      <c r="AS20" s="158"/>
      <c r="AT20" s="158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357">
        <v>43227</v>
      </c>
      <c r="B21" s="40">
        <v>2.3333333333333299</v>
      </c>
      <c r="C21" s="40">
        <v>0.375</v>
      </c>
      <c r="D21" s="156">
        <v>3</v>
      </c>
      <c r="E21" s="154">
        <f t="shared" si="2"/>
        <v>2.1126760563380285</v>
      </c>
      <c r="F21" s="154">
        <v>5</v>
      </c>
      <c r="G21" s="118">
        <v>76</v>
      </c>
      <c r="H21" s="154">
        <f t="shared" si="0"/>
        <v>53.521126760563384</v>
      </c>
      <c r="I21" s="154">
        <v>75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7">
        <v>128</v>
      </c>
      <c r="R21" s="157"/>
      <c r="S21" s="157">
        <v>93707805</v>
      </c>
      <c r="T21" s="45">
        <f t="shared" si="4"/>
        <v>4225</v>
      </c>
      <c r="U21" s="46">
        <f t="shared" si="5"/>
        <v>101.4</v>
      </c>
      <c r="V21" s="46">
        <f t="shared" si="6"/>
        <v>4.2249999999999996</v>
      </c>
      <c r="W21" s="96">
        <v>7.8</v>
      </c>
      <c r="X21" s="96">
        <f t="shared" si="1"/>
        <v>7.8</v>
      </c>
      <c r="Y21" s="97" t="s">
        <v>169</v>
      </c>
      <c r="Z21" s="158">
        <v>1028</v>
      </c>
      <c r="AA21" s="158">
        <v>0</v>
      </c>
      <c r="AB21" s="158">
        <v>1187</v>
      </c>
      <c r="AC21" s="158">
        <v>1185</v>
      </c>
      <c r="AD21" s="158">
        <v>0</v>
      </c>
      <c r="AE21" s="158">
        <v>1185</v>
      </c>
      <c r="AF21" s="47" t="s">
        <v>90</v>
      </c>
      <c r="AG21" s="47" t="s">
        <v>90</v>
      </c>
      <c r="AH21" s="98" t="s">
        <v>90</v>
      </c>
      <c r="AI21" s="103">
        <v>15529355</v>
      </c>
      <c r="AJ21" s="45">
        <f t="shared" si="7"/>
        <v>1177</v>
      </c>
      <c r="AK21" s="48">
        <f t="shared" si="8"/>
        <v>278.57988165680473</v>
      </c>
      <c r="AL21" s="155">
        <v>1</v>
      </c>
      <c r="AM21" s="155">
        <v>0</v>
      </c>
      <c r="AN21" s="155">
        <v>1</v>
      </c>
      <c r="AO21" s="155">
        <v>1</v>
      </c>
      <c r="AP21" s="155">
        <v>0</v>
      </c>
      <c r="AQ21" s="155">
        <v>1</v>
      </c>
      <c r="AR21" s="155">
        <v>0</v>
      </c>
      <c r="AS21" s="158"/>
      <c r="AT21" s="158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205</v>
      </c>
    </row>
    <row r="22" spans="1:54" x14ac:dyDescent="0.35">
      <c r="A22" s="357">
        <v>43227</v>
      </c>
      <c r="B22" s="40">
        <v>2.375</v>
      </c>
      <c r="C22" s="40">
        <v>0.41666666666666669</v>
      </c>
      <c r="D22" s="156">
        <v>3</v>
      </c>
      <c r="E22" s="154">
        <f t="shared" si="2"/>
        <v>2.1126760563380285</v>
      </c>
      <c r="F22" s="154">
        <v>4</v>
      </c>
      <c r="G22" s="118">
        <v>75</v>
      </c>
      <c r="H22" s="154">
        <f t="shared" si="0"/>
        <v>52.816901408450704</v>
      </c>
      <c r="I22" s="154">
        <v>73</v>
      </c>
      <c r="J22" s="41" t="s">
        <v>88</v>
      </c>
      <c r="K22" s="41">
        <f t="shared" si="3"/>
        <v>51.408450704225352</v>
      </c>
      <c r="L22" s="42">
        <f t="shared" si="10"/>
        <v>52.816901408450704</v>
      </c>
      <c r="M22" s="41">
        <f t="shared" si="11"/>
        <v>54.236901408450706</v>
      </c>
      <c r="N22" s="43">
        <v>19</v>
      </c>
      <c r="O22" s="44" t="s">
        <v>100</v>
      </c>
      <c r="P22" s="44">
        <v>17.7</v>
      </c>
      <c r="Q22" s="157">
        <v>129</v>
      </c>
      <c r="R22" s="157"/>
      <c r="S22" s="157">
        <v>93711600</v>
      </c>
      <c r="T22" s="45">
        <f t="shared" si="4"/>
        <v>3795</v>
      </c>
      <c r="U22" s="46">
        <f t="shared" si="5"/>
        <v>91.08</v>
      </c>
      <c r="V22" s="46">
        <f t="shared" si="6"/>
        <v>3.7949999999999999</v>
      </c>
      <c r="W22" s="96">
        <v>7.2</v>
      </c>
      <c r="X22" s="96">
        <f t="shared" si="1"/>
        <v>7.2</v>
      </c>
      <c r="Y22" s="97" t="s">
        <v>169</v>
      </c>
      <c r="Z22" s="158">
        <v>1027</v>
      </c>
      <c r="AA22" s="158">
        <v>0</v>
      </c>
      <c r="AB22" s="158">
        <v>1187</v>
      </c>
      <c r="AC22" s="158">
        <v>1185</v>
      </c>
      <c r="AD22" s="158">
        <v>0</v>
      </c>
      <c r="AE22" s="158">
        <v>1185</v>
      </c>
      <c r="AF22" s="47" t="s">
        <v>90</v>
      </c>
      <c r="AG22" s="47" t="s">
        <v>90</v>
      </c>
      <c r="AH22" s="98" t="s">
        <v>90</v>
      </c>
      <c r="AI22" s="103">
        <v>15530563</v>
      </c>
      <c r="AJ22" s="45">
        <f t="shared" si="7"/>
        <v>1208</v>
      </c>
      <c r="AK22" s="48">
        <f t="shared" si="8"/>
        <v>318.31357048748356</v>
      </c>
      <c r="AL22" s="155">
        <v>1</v>
      </c>
      <c r="AM22" s="155">
        <v>0</v>
      </c>
      <c r="AN22" s="155">
        <v>1</v>
      </c>
      <c r="AO22" s="155">
        <v>1</v>
      </c>
      <c r="AP22" s="155">
        <v>0</v>
      </c>
      <c r="AQ22" s="155">
        <v>1</v>
      </c>
      <c r="AR22" s="155">
        <v>0</v>
      </c>
      <c r="AS22" s="158"/>
      <c r="AT22" s="158">
        <f t="shared" si="9"/>
        <v>0</v>
      </c>
      <c r="AU22" s="119">
        <v>1.02</v>
      </c>
      <c r="AV22" s="50" t="s">
        <v>125</v>
      </c>
      <c r="BB22" s="136" t="s">
        <v>157</v>
      </c>
    </row>
    <row r="23" spans="1:54" x14ac:dyDescent="0.35">
      <c r="A23" s="357">
        <v>43227</v>
      </c>
      <c r="B23" s="40">
        <v>2.4166666666666701</v>
      </c>
      <c r="C23" s="40">
        <v>0.45833333333333298</v>
      </c>
      <c r="D23" s="156">
        <v>3</v>
      </c>
      <c r="E23" s="154">
        <f t="shared" si="2"/>
        <v>2.1126760563380285</v>
      </c>
      <c r="F23" s="154">
        <v>2</v>
      </c>
      <c r="G23" s="118">
        <v>75</v>
      </c>
      <c r="H23" s="154">
        <f t="shared" si="0"/>
        <v>52.816901408450704</v>
      </c>
      <c r="I23" s="154">
        <v>73</v>
      </c>
      <c r="J23" s="41" t="s">
        <v>88</v>
      </c>
      <c r="K23" s="41">
        <f t="shared" si="3"/>
        <v>51.408450704225352</v>
      </c>
      <c r="L23" s="42">
        <f t="shared" si="10"/>
        <v>52.816901408450704</v>
      </c>
      <c r="M23" s="41">
        <f t="shared" si="11"/>
        <v>54.236901408450706</v>
      </c>
      <c r="N23" s="43">
        <v>19</v>
      </c>
      <c r="O23" s="44" t="s">
        <v>100</v>
      </c>
      <c r="P23" s="44">
        <v>17.7</v>
      </c>
      <c r="Q23" s="157">
        <v>129</v>
      </c>
      <c r="R23" s="157"/>
      <c r="S23" s="157">
        <v>93715090</v>
      </c>
      <c r="T23" s="45">
        <f t="shared" si="4"/>
        <v>3490</v>
      </c>
      <c r="U23" s="46">
        <f t="shared" si="5"/>
        <v>83.76</v>
      </c>
      <c r="V23" s="46">
        <f t="shared" si="6"/>
        <v>3.49</v>
      </c>
      <c r="W23" s="96">
        <v>6.5</v>
      </c>
      <c r="X23" s="96">
        <f>W23</f>
        <v>6.5</v>
      </c>
      <c r="Y23" s="97" t="s">
        <v>169</v>
      </c>
      <c r="Z23" s="158">
        <v>1038</v>
      </c>
      <c r="AA23" s="158">
        <v>0</v>
      </c>
      <c r="AB23" s="158">
        <v>1187</v>
      </c>
      <c r="AC23" s="158">
        <v>1185</v>
      </c>
      <c r="AD23" s="158">
        <v>0</v>
      </c>
      <c r="AE23" s="158">
        <v>1185</v>
      </c>
      <c r="AF23" s="47" t="s">
        <v>90</v>
      </c>
      <c r="AG23" s="47" t="s">
        <v>90</v>
      </c>
      <c r="AH23" s="98" t="s">
        <v>90</v>
      </c>
      <c r="AI23" s="103">
        <v>15531749</v>
      </c>
      <c r="AJ23" s="45">
        <f t="shared" si="7"/>
        <v>1186</v>
      </c>
      <c r="AK23" s="48">
        <f t="shared" si="8"/>
        <v>339.82808022922632</v>
      </c>
      <c r="AL23" s="155">
        <v>1</v>
      </c>
      <c r="AM23" s="155">
        <v>0</v>
      </c>
      <c r="AN23" s="155">
        <v>1</v>
      </c>
      <c r="AO23" s="155">
        <v>1</v>
      </c>
      <c r="AP23" s="155">
        <v>0</v>
      </c>
      <c r="AQ23" s="155">
        <v>1</v>
      </c>
      <c r="AR23" s="155">
        <v>0</v>
      </c>
      <c r="AS23" s="158"/>
      <c r="AT23" s="158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357">
        <v>43227</v>
      </c>
      <c r="B24" s="40">
        <v>2.4583333333333299</v>
      </c>
      <c r="C24" s="40">
        <v>0.5</v>
      </c>
      <c r="D24" s="156">
        <v>3</v>
      </c>
      <c r="E24" s="154">
        <f t="shared" si="2"/>
        <v>2.1126760563380285</v>
      </c>
      <c r="F24" s="154">
        <v>0</v>
      </c>
      <c r="G24" s="118">
        <v>75</v>
      </c>
      <c r="H24" s="154">
        <f t="shared" si="0"/>
        <v>52.816901408450704</v>
      </c>
      <c r="I24" s="154">
        <v>73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7">
        <v>126</v>
      </c>
      <c r="R24" s="157"/>
      <c r="S24" s="157">
        <v>93719022</v>
      </c>
      <c r="T24" s="45">
        <f t="shared" si="4"/>
        <v>3932</v>
      </c>
      <c r="U24" s="46">
        <f>T24*24/1000</f>
        <v>94.367999999999995</v>
      </c>
      <c r="V24" s="46">
        <f t="shared" si="6"/>
        <v>3.9319999999999999</v>
      </c>
      <c r="W24" s="96">
        <v>5.9</v>
      </c>
      <c r="X24" s="96">
        <f t="shared" si="1"/>
        <v>5.9</v>
      </c>
      <c r="Y24" s="97" t="s">
        <v>169</v>
      </c>
      <c r="Z24" s="158">
        <v>1038</v>
      </c>
      <c r="AA24" s="158">
        <v>0</v>
      </c>
      <c r="AB24" s="158">
        <v>1187</v>
      </c>
      <c r="AC24" s="158">
        <v>1185</v>
      </c>
      <c r="AD24" s="158">
        <v>0</v>
      </c>
      <c r="AE24" s="158">
        <v>1185</v>
      </c>
      <c r="AF24" s="47" t="s">
        <v>90</v>
      </c>
      <c r="AG24" s="47" t="s">
        <v>90</v>
      </c>
      <c r="AH24" s="98" t="s">
        <v>90</v>
      </c>
      <c r="AI24" s="103">
        <v>15532954</v>
      </c>
      <c r="AJ24" s="45">
        <f t="shared" si="7"/>
        <v>1205</v>
      </c>
      <c r="AK24" s="48">
        <f t="shared" si="8"/>
        <v>306.45981688708036</v>
      </c>
      <c r="AL24" s="155">
        <v>1</v>
      </c>
      <c r="AM24" s="155">
        <v>0</v>
      </c>
      <c r="AN24" s="155">
        <v>1</v>
      </c>
      <c r="AO24" s="155">
        <v>1</v>
      </c>
      <c r="AP24" s="155">
        <v>0</v>
      </c>
      <c r="AQ24" s="155">
        <v>1</v>
      </c>
      <c r="AR24" s="155">
        <v>0</v>
      </c>
      <c r="AS24" s="158"/>
      <c r="AT24" s="158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357">
        <v>43227</v>
      </c>
      <c r="B25" s="40">
        <v>2.5</v>
      </c>
      <c r="C25" s="40">
        <v>0.54166666666666696</v>
      </c>
      <c r="D25" s="156">
        <v>3</v>
      </c>
      <c r="E25" s="154">
        <f t="shared" si="2"/>
        <v>2.1126760563380285</v>
      </c>
      <c r="F25" s="154">
        <v>0</v>
      </c>
      <c r="G25" s="118">
        <v>74</v>
      </c>
      <c r="H25" s="154">
        <f t="shared" si="0"/>
        <v>52.112676056338032</v>
      </c>
      <c r="I25" s="154">
        <v>72</v>
      </c>
      <c r="J25" s="41" t="s">
        <v>88</v>
      </c>
      <c r="K25" s="41">
        <f t="shared" si="3"/>
        <v>50.70422535211268</v>
      </c>
      <c r="L25" s="42">
        <f t="shared" si="10"/>
        <v>52.112676056338032</v>
      </c>
      <c r="M25" s="41">
        <f>L25+(6/1.42)</f>
        <v>56.338028169014088</v>
      </c>
      <c r="N25" s="43">
        <v>19</v>
      </c>
      <c r="O25" s="44" t="s">
        <v>100</v>
      </c>
      <c r="P25" s="44">
        <v>17.5</v>
      </c>
      <c r="Q25" s="157">
        <v>125</v>
      </c>
      <c r="R25" s="157"/>
      <c r="S25" s="157">
        <v>93722907</v>
      </c>
      <c r="T25" s="45">
        <f t="shared" si="4"/>
        <v>3885</v>
      </c>
      <c r="U25" s="46">
        <f>T25*24/1000</f>
        <v>93.24</v>
      </c>
      <c r="V25" s="46">
        <f t="shared" si="6"/>
        <v>3.8849999999999998</v>
      </c>
      <c r="W25" s="96">
        <v>5.3</v>
      </c>
      <c r="X25" s="96">
        <f t="shared" si="1"/>
        <v>5.3</v>
      </c>
      <c r="Y25" s="97" t="s">
        <v>169</v>
      </c>
      <c r="Z25" s="158">
        <v>1038</v>
      </c>
      <c r="AA25" s="158">
        <v>0</v>
      </c>
      <c r="AB25" s="158">
        <v>1187</v>
      </c>
      <c r="AC25" s="158">
        <v>1185</v>
      </c>
      <c r="AD25" s="158">
        <v>0</v>
      </c>
      <c r="AE25" s="158">
        <v>1185</v>
      </c>
      <c r="AF25" s="47" t="s">
        <v>90</v>
      </c>
      <c r="AG25" s="47" t="s">
        <v>90</v>
      </c>
      <c r="AH25" s="98" t="s">
        <v>90</v>
      </c>
      <c r="AI25" s="103">
        <v>15534116</v>
      </c>
      <c r="AJ25" s="45">
        <f t="shared" si="7"/>
        <v>1162</v>
      </c>
      <c r="AK25" s="48">
        <f t="shared" si="8"/>
        <v>299.09909909909913</v>
      </c>
      <c r="AL25" s="155">
        <v>1</v>
      </c>
      <c r="AM25" s="155">
        <v>0</v>
      </c>
      <c r="AN25" s="155">
        <v>1</v>
      </c>
      <c r="AO25" s="155">
        <v>1</v>
      </c>
      <c r="AP25" s="155">
        <v>0</v>
      </c>
      <c r="AQ25" s="155">
        <v>1</v>
      </c>
      <c r="AR25" s="155">
        <v>0</v>
      </c>
      <c r="AS25" s="158"/>
      <c r="AT25" s="158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57">
        <v>43227</v>
      </c>
      <c r="B26" s="40">
        <v>2.5416666666666701</v>
      </c>
      <c r="C26" s="40">
        <v>0.58333333333333404</v>
      </c>
      <c r="D26" s="156">
        <v>3</v>
      </c>
      <c r="E26" s="154">
        <f t="shared" si="2"/>
        <v>2.1126760563380285</v>
      </c>
      <c r="F26" s="154">
        <v>0</v>
      </c>
      <c r="G26" s="118">
        <v>72</v>
      </c>
      <c r="H26" s="154">
        <f>G26/1.42</f>
        <v>50.70422535211268</v>
      </c>
      <c r="I26" s="154">
        <v>70</v>
      </c>
      <c r="J26" s="41" t="s">
        <v>88</v>
      </c>
      <c r="K26" s="41">
        <f t="shared" si="3"/>
        <v>49.295774647887328</v>
      </c>
      <c r="L26" s="42">
        <f t="shared" si="10"/>
        <v>50.70422535211268</v>
      </c>
      <c r="M26" s="41">
        <f t="shared" ref="M26:M36" si="12">L26+(6/1.42)</f>
        <v>54.929577464788736</v>
      </c>
      <c r="N26" s="43">
        <v>18</v>
      </c>
      <c r="O26" s="44" t="s">
        <v>100</v>
      </c>
      <c r="P26" s="44">
        <v>17.3</v>
      </c>
      <c r="Q26" s="157">
        <v>120</v>
      </c>
      <c r="R26" s="157"/>
      <c r="S26" s="157">
        <v>93726315</v>
      </c>
      <c r="T26" s="45">
        <f t="shared" si="4"/>
        <v>3408</v>
      </c>
      <c r="U26" s="46">
        <f t="shared" si="5"/>
        <v>81.792000000000002</v>
      </c>
      <c r="V26" s="46">
        <f t="shared" si="6"/>
        <v>3.4079999999999999</v>
      </c>
      <c r="W26" s="96">
        <v>4.7</v>
      </c>
      <c r="X26" s="96">
        <f t="shared" si="1"/>
        <v>4.7</v>
      </c>
      <c r="Y26" s="97" t="s">
        <v>169</v>
      </c>
      <c r="Z26" s="158">
        <v>1026</v>
      </c>
      <c r="AA26" s="158">
        <v>0</v>
      </c>
      <c r="AB26" s="158">
        <v>1187</v>
      </c>
      <c r="AC26" s="158">
        <v>1185</v>
      </c>
      <c r="AD26" s="158">
        <v>0</v>
      </c>
      <c r="AE26" s="158">
        <v>1185</v>
      </c>
      <c r="AF26" s="47" t="s">
        <v>90</v>
      </c>
      <c r="AG26" s="47" t="s">
        <v>90</v>
      </c>
      <c r="AH26" s="98" t="s">
        <v>90</v>
      </c>
      <c r="AI26" s="103">
        <v>15535269</v>
      </c>
      <c r="AJ26" s="45">
        <f t="shared" si="7"/>
        <v>1153</v>
      </c>
      <c r="AK26" s="48">
        <f t="shared" si="8"/>
        <v>338.32159624413146</v>
      </c>
      <c r="AL26" s="155">
        <v>1</v>
      </c>
      <c r="AM26" s="155">
        <v>0</v>
      </c>
      <c r="AN26" s="155">
        <v>1</v>
      </c>
      <c r="AO26" s="155">
        <v>1</v>
      </c>
      <c r="AP26" s="155">
        <v>0</v>
      </c>
      <c r="AQ26" s="155">
        <v>1</v>
      </c>
      <c r="AR26" s="155">
        <v>0</v>
      </c>
      <c r="AS26" s="158"/>
      <c r="AT26" s="158">
        <f t="shared" si="9"/>
        <v>0</v>
      </c>
      <c r="AU26" s="119">
        <v>1.1299999999999999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57">
        <v>43227</v>
      </c>
      <c r="B27" s="40">
        <v>2.5833333333333299</v>
      </c>
      <c r="C27" s="40">
        <v>0.625</v>
      </c>
      <c r="D27" s="156">
        <v>3</v>
      </c>
      <c r="E27" s="154">
        <f t="shared" si="2"/>
        <v>2.1126760563380285</v>
      </c>
      <c r="F27" s="154">
        <v>0</v>
      </c>
      <c r="G27" s="118">
        <v>72</v>
      </c>
      <c r="H27" s="154">
        <f>G27/1.42</f>
        <v>50.70422535211268</v>
      </c>
      <c r="I27" s="154">
        <v>70</v>
      </c>
      <c r="J27" s="41" t="s">
        <v>88</v>
      </c>
      <c r="K27" s="41">
        <f t="shared" si="3"/>
        <v>49.295774647887328</v>
      </c>
      <c r="L27" s="42">
        <f t="shared" si="10"/>
        <v>50.70422535211268</v>
      </c>
      <c r="M27" s="41">
        <f t="shared" si="12"/>
        <v>54.929577464788736</v>
      </c>
      <c r="N27" s="43">
        <v>18</v>
      </c>
      <c r="O27" s="44" t="s">
        <v>100</v>
      </c>
      <c r="P27" s="44">
        <v>16.899999999999999</v>
      </c>
      <c r="Q27" s="157">
        <v>118</v>
      </c>
      <c r="R27" s="157"/>
      <c r="S27" s="157">
        <v>93729623</v>
      </c>
      <c r="T27" s="45">
        <f t="shared" si="4"/>
        <v>3308</v>
      </c>
      <c r="U27" s="46">
        <f t="shared" si="5"/>
        <v>79.391999999999996</v>
      </c>
      <c r="V27" s="46">
        <f t="shared" si="6"/>
        <v>3.3079999999999998</v>
      </c>
      <c r="W27" s="96">
        <v>4</v>
      </c>
      <c r="X27" s="96">
        <f t="shared" si="1"/>
        <v>4</v>
      </c>
      <c r="Y27" s="97" t="s">
        <v>169</v>
      </c>
      <c r="Z27" s="158">
        <v>1026</v>
      </c>
      <c r="AA27" s="158">
        <v>0</v>
      </c>
      <c r="AB27" s="158">
        <v>1186</v>
      </c>
      <c r="AC27" s="158">
        <v>1185</v>
      </c>
      <c r="AD27" s="158">
        <v>0</v>
      </c>
      <c r="AE27" s="158">
        <v>1185</v>
      </c>
      <c r="AF27" s="47" t="s">
        <v>90</v>
      </c>
      <c r="AG27" s="47" t="s">
        <v>90</v>
      </c>
      <c r="AH27" s="98" t="s">
        <v>90</v>
      </c>
      <c r="AI27" s="103">
        <v>15536427</v>
      </c>
      <c r="AJ27" s="45">
        <f t="shared" si="7"/>
        <v>1158</v>
      </c>
      <c r="AK27" s="48">
        <f t="shared" si="8"/>
        <v>350.0604594921403</v>
      </c>
      <c r="AL27" s="155">
        <v>1</v>
      </c>
      <c r="AM27" s="155">
        <v>0</v>
      </c>
      <c r="AN27" s="155">
        <v>1</v>
      </c>
      <c r="AO27" s="155">
        <v>1</v>
      </c>
      <c r="AP27" s="155">
        <v>0</v>
      </c>
      <c r="AQ27" s="155">
        <v>1</v>
      </c>
      <c r="AR27" s="155">
        <v>0</v>
      </c>
      <c r="AS27" s="158"/>
      <c r="AT27" s="158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57">
        <v>43227</v>
      </c>
      <c r="B28" s="40">
        <v>2.625</v>
      </c>
      <c r="C28" s="40">
        <v>0.66666666666666696</v>
      </c>
      <c r="D28" s="156">
        <v>3</v>
      </c>
      <c r="E28" s="154">
        <f t="shared" si="2"/>
        <v>2.1126760563380285</v>
      </c>
      <c r="F28" s="154">
        <v>-2</v>
      </c>
      <c r="G28" s="118">
        <v>70</v>
      </c>
      <c r="H28" s="154">
        <f t="shared" si="0"/>
        <v>49.295774647887328</v>
      </c>
      <c r="I28" s="154">
        <v>70</v>
      </c>
      <c r="J28" s="41" t="s">
        <v>88</v>
      </c>
      <c r="K28" s="41">
        <f t="shared" si="3"/>
        <v>45.774647887323944</v>
      </c>
      <c r="L28" s="42">
        <f>(G28-3)/1.42</f>
        <v>47.183098591549296</v>
      </c>
      <c r="M28" s="41">
        <f t="shared" si="12"/>
        <v>51.408450704225352</v>
      </c>
      <c r="N28" s="43">
        <v>18</v>
      </c>
      <c r="O28" s="44" t="s">
        <v>100</v>
      </c>
      <c r="P28" s="44">
        <v>16.7</v>
      </c>
      <c r="Q28" s="157">
        <v>116</v>
      </c>
      <c r="R28" s="157"/>
      <c r="S28" s="157">
        <v>93732677</v>
      </c>
      <c r="T28" s="45">
        <f t="shared" si="4"/>
        <v>3054</v>
      </c>
      <c r="U28" s="46">
        <f t="shared" si="5"/>
        <v>73.296000000000006</v>
      </c>
      <c r="V28" s="46">
        <f t="shared" si="6"/>
        <v>3.0539999999999998</v>
      </c>
      <c r="W28" s="96">
        <v>3.4</v>
      </c>
      <c r="X28" s="96">
        <f t="shared" si="1"/>
        <v>3.4</v>
      </c>
      <c r="Y28" s="97" t="s">
        <v>169</v>
      </c>
      <c r="Z28" s="158">
        <v>1027</v>
      </c>
      <c r="AA28" s="158">
        <v>0</v>
      </c>
      <c r="AB28" s="158">
        <v>1186</v>
      </c>
      <c r="AC28" s="158">
        <v>1185</v>
      </c>
      <c r="AD28" s="158">
        <v>0</v>
      </c>
      <c r="AE28" s="158">
        <v>1185</v>
      </c>
      <c r="AF28" s="47" t="s">
        <v>90</v>
      </c>
      <c r="AG28" s="47" t="s">
        <v>90</v>
      </c>
      <c r="AH28" s="98" t="s">
        <v>90</v>
      </c>
      <c r="AI28" s="103">
        <v>15537585</v>
      </c>
      <c r="AJ28" s="45">
        <f>IF(ISBLANK(AI28),"-",AI28-AI27)</f>
        <v>1158</v>
      </c>
      <c r="AK28" s="48">
        <f t="shared" si="8"/>
        <v>379.17485265225935</v>
      </c>
      <c r="AL28" s="155">
        <v>1</v>
      </c>
      <c r="AM28" s="155">
        <v>0</v>
      </c>
      <c r="AN28" s="155">
        <v>1</v>
      </c>
      <c r="AO28" s="155">
        <v>1</v>
      </c>
      <c r="AP28" s="155">
        <v>0</v>
      </c>
      <c r="AQ28" s="155">
        <v>1</v>
      </c>
      <c r="AR28" s="155">
        <v>0</v>
      </c>
      <c r="AS28" s="158"/>
      <c r="AT28" s="158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357">
        <v>43227</v>
      </c>
      <c r="B29" s="40">
        <v>2.6666666666666701</v>
      </c>
      <c r="C29" s="40">
        <v>0.70833333333333404</v>
      </c>
      <c r="D29" s="156">
        <v>3</v>
      </c>
      <c r="E29" s="154">
        <f t="shared" si="2"/>
        <v>2.1126760563380285</v>
      </c>
      <c r="F29" s="154">
        <v>-2</v>
      </c>
      <c r="G29" s="118">
        <v>72</v>
      </c>
      <c r="H29" s="154">
        <f t="shared" si="0"/>
        <v>50.70422535211268</v>
      </c>
      <c r="I29" s="154">
        <v>71</v>
      </c>
      <c r="J29" s="41" t="s">
        <v>88</v>
      </c>
      <c r="K29" s="41">
        <f t="shared" si="3"/>
        <v>47.183098591549296</v>
      </c>
      <c r="L29" s="42">
        <f t="shared" ref="L29:L34" si="13">(G29-3)/1.42</f>
        <v>48.591549295774648</v>
      </c>
      <c r="M29" s="41">
        <f t="shared" si="12"/>
        <v>52.816901408450704</v>
      </c>
      <c r="N29" s="43">
        <v>18</v>
      </c>
      <c r="O29" s="44" t="s">
        <v>100</v>
      </c>
      <c r="P29" s="44">
        <v>16.7</v>
      </c>
      <c r="Q29" s="157">
        <v>121</v>
      </c>
      <c r="R29" s="157"/>
      <c r="S29" s="157">
        <v>93735995</v>
      </c>
      <c r="T29" s="45">
        <f t="shared" si="4"/>
        <v>3318</v>
      </c>
      <c r="U29" s="46">
        <f t="shared" si="5"/>
        <v>79.632000000000005</v>
      </c>
      <c r="V29" s="46">
        <f t="shared" si="6"/>
        <v>3.3180000000000001</v>
      </c>
      <c r="W29" s="96">
        <v>2.8</v>
      </c>
      <c r="X29" s="96">
        <f t="shared" si="1"/>
        <v>2.8</v>
      </c>
      <c r="Y29" s="97" t="s">
        <v>169</v>
      </c>
      <c r="Z29" s="158">
        <v>1047</v>
      </c>
      <c r="AA29" s="158">
        <v>0</v>
      </c>
      <c r="AB29" s="158">
        <v>1187</v>
      </c>
      <c r="AC29" s="158">
        <v>1185</v>
      </c>
      <c r="AD29" s="158">
        <v>0</v>
      </c>
      <c r="AE29" s="158">
        <v>1185</v>
      </c>
      <c r="AF29" s="47" t="s">
        <v>90</v>
      </c>
      <c r="AG29" s="47" t="s">
        <v>90</v>
      </c>
      <c r="AH29" s="98" t="s">
        <v>90</v>
      </c>
      <c r="AI29" s="103">
        <v>15538757</v>
      </c>
      <c r="AJ29" s="45">
        <f t="shared" si="7"/>
        <v>1172</v>
      </c>
      <c r="AK29" s="48">
        <f>AJ28/V29</f>
        <v>349.00542495479203</v>
      </c>
      <c r="AL29" s="155">
        <v>1</v>
      </c>
      <c r="AM29" s="155">
        <v>0</v>
      </c>
      <c r="AN29" s="155">
        <v>1</v>
      </c>
      <c r="AO29" s="155">
        <v>1</v>
      </c>
      <c r="AP29" s="155">
        <v>0</v>
      </c>
      <c r="AQ29" s="155">
        <v>1</v>
      </c>
      <c r="AR29" s="155">
        <v>0</v>
      </c>
      <c r="AS29" s="158"/>
      <c r="AT29" s="158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357">
        <v>43227</v>
      </c>
      <c r="B30" s="40">
        <v>2.7083333333333299</v>
      </c>
      <c r="C30" s="40">
        <v>0.750000000000002</v>
      </c>
      <c r="D30" s="156">
        <v>3</v>
      </c>
      <c r="E30" s="154">
        <f t="shared" si="2"/>
        <v>2.1126760563380285</v>
      </c>
      <c r="F30" s="154">
        <v>-3</v>
      </c>
      <c r="G30" s="118">
        <v>72</v>
      </c>
      <c r="H30" s="154">
        <f t="shared" si="0"/>
        <v>50.70422535211268</v>
      </c>
      <c r="I30" s="154">
        <v>71</v>
      </c>
      <c r="J30" s="41" t="s">
        <v>88</v>
      </c>
      <c r="K30" s="41">
        <f t="shared" si="3"/>
        <v>47.183098591549296</v>
      </c>
      <c r="L30" s="42">
        <f t="shared" si="13"/>
        <v>48.591549295774648</v>
      </c>
      <c r="M30" s="41">
        <f t="shared" si="12"/>
        <v>52.816901408450704</v>
      </c>
      <c r="N30" s="43">
        <v>18</v>
      </c>
      <c r="O30" s="44" t="s">
        <v>100</v>
      </c>
      <c r="P30" s="44">
        <v>16.7</v>
      </c>
      <c r="Q30" s="157">
        <v>126</v>
      </c>
      <c r="R30" s="157"/>
      <c r="S30" s="157">
        <v>93739720</v>
      </c>
      <c r="T30" s="45">
        <f t="shared" si="4"/>
        <v>3725</v>
      </c>
      <c r="U30" s="46">
        <f t="shared" si="5"/>
        <v>89.4</v>
      </c>
      <c r="V30" s="46">
        <f t="shared" si="6"/>
        <v>3.7250000000000001</v>
      </c>
      <c r="W30" s="96">
        <v>2.2000000000000002</v>
      </c>
      <c r="X30" s="96">
        <f t="shared" si="1"/>
        <v>2.2000000000000002</v>
      </c>
      <c r="Y30" s="97" t="s">
        <v>169</v>
      </c>
      <c r="Z30" s="158">
        <v>1027</v>
      </c>
      <c r="AA30" s="158">
        <v>0</v>
      </c>
      <c r="AB30" s="158">
        <v>1186</v>
      </c>
      <c r="AC30" s="158">
        <v>1185</v>
      </c>
      <c r="AD30" s="158">
        <v>0</v>
      </c>
      <c r="AE30" s="158">
        <v>1185</v>
      </c>
      <c r="AF30" s="47" t="s">
        <v>90</v>
      </c>
      <c r="AG30" s="47" t="s">
        <v>90</v>
      </c>
      <c r="AH30" s="98" t="s">
        <v>90</v>
      </c>
      <c r="AI30" s="103">
        <v>15539913</v>
      </c>
      <c r="AJ30" s="45">
        <f t="shared" si="7"/>
        <v>1156</v>
      </c>
      <c r="AK30" s="48">
        <f>AJ29/V30</f>
        <v>314.63087248322148</v>
      </c>
      <c r="AL30" s="155">
        <v>1</v>
      </c>
      <c r="AM30" s="155">
        <v>0</v>
      </c>
      <c r="AN30" s="155">
        <v>1</v>
      </c>
      <c r="AO30" s="155">
        <v>1</v>
      </c>
      <c r="AP30" s="155">
        <v>0</v>
      </c>
      <c r="AQ30" s="155">
        <v>1</v>
      </c>
      <c r="AR30" s="155">
        <v>0</v>
      </c>
      <c r="AS30" s="158"/>
      <c r="AT30" s="158">
        <f t="shared" si="9"/>
        <v>0</v>
      </c>
      <c r="AU30" s="159">
        <v>1.05</v>
      </c>
      <c r="AV30" s="50" t="s">
        <v>124</v>
      </c>
      <c r="AY30" s="55" t="s">
        <v>114</v>
      </c>
      <c r="AZ30" s="55">
        <v>101.325</v>
      </c>
      <c r="BB30" s="74" t="s">
        <v>143</v>
      </c>
    </row>
    <row r="31" spans="1:54" x14ac:dyDescent="0.35">
      <c r="A31" s="357">
        <v>43227</v>
      </c>
      <c r="B31" s="40">
        <v>2.75</v>
      </c>
      <c r="C31" s="40">
        <v>0.79166666666666896</v>
      </c>
      <c r="D31" s="156">
        <v>3</v>
      </c>
      <c r="E31" s="154">
        <f t="shared" si="2"/>
        <v>2.1126760563380285</v>
      </c>
      <c r="F31" s="154">
        <v>-3</v>
      </c>
      <c r="G31" s="118">
        <v>73</v>
      </c>
      <c r="H31" s="154">
        <f t="shared" si="0"/>
        <v>51.408450704225352</v>
      </c>
      <c r="I31" s="154">
        <v>70</v>
      </c>
      <c r="J31" s="41" t="s">
        <v>88</v>
      </c>
      <c r="K31" s="41">
        <f t="shared" si="3"/>
        <v>47.887323943661976</v>
      </c>
      <c r="L31" s="42">
        <f t="shared" si="13"/>
        <v>49.295774647887328</v>
      </c>
      <c r="M31" s="41">
        <f t="shared" si="12"/>
        <v>53.521126760563384</v>
      </c>
      <c r="N31" s="43">
        <v>18</v>
      </c>
      <c r="O31" s="44" t="s">
        <v>100</v>
      </c>
      <c r="P31" s="44">
        <v>16.600000000000001</v>
      </c>
      <c r="Q31" s="157">
        <v>127</v>
      </c>
      <c r="R31" s="157"/>
      <c r="S31" s="157">
        <v>93743774</v>
      </c>
      <c r="T31" s="45">
        <f t="shared" si="4"/>
        <v>4054</v>
      </c>
      <c r="U31" s="46">
        <f t="shared" si="5"/>
        <v>97.296000000000006</v>
      </c>
      <c r="V31" s="46">
        <f t="shared" si="6"/>
        <v>4.0540000000000003</v>
      </c>
      <c r="W31" s="96">
        <v>1.8</v>
      </c>
      <c r="X31" s="96">
        <f t="shared" si="1"/>
        <v>1.8</v>
      </c>
      <c r="Y31" s="97" t="s">
        <v>169</v>
      </c>
      <c r="Z31" s="158">
        <v>1025</v>
      </c>
      <c r="AA31" s="158">
        <v>0</v>
      </c>
      <c r="AB31" s="158">
        <v>1187</v>
      </c>
      <c r="AC31" s="158">
        <v>1185</v>
      </c>
      <c r="AD31" s="158">
        <v>0</v>
      </c>
      <c r="AE31" s="158">
        <v>1185</v>
      </c>
      <c r="AF31" s="47" t="s">
        <v>90</v>
      </c>
      <c r="AG31" s="47" t="s">
        <v>90</v>
      </c>
      <c r="AH31" s="98" t="s">
        <v>90</v>
      </c>
      <c r="AI31" s="103">
        <v>15541093</v>
      </c>
      <c r="AJ31" s="45">
        <f t="shared" si="7"/>
        <v>1180</v>
      </c>
      <c r="AK31" s="48">
        <f t="shared" si="8"/>
        <v>291.07054760730142</v>
      </c>
      <c r="AL31" s="155">
        <v>1</v>
      </c>
      <c r="AM31" s="155">
        <v>0</v>
      </c>
      <c r="AN31" s="155">
        <v>1</v>
      </c>
      <c r="AO31" s="155">
        <v>1</v>
      </c>
      <c r="AP31" s="155">
        <v>0</v>
      </c>
      <c r="AQ31" s="155">
        <v>1</v>
      </c>
      <c r="AR31" s="155">
        <v>0</v>
      </c>
      <c r="AS31" s="158"/>
      <c r="AT31" s="158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357">
        <v>43227</v>
      </c>
      <c r="B32" s="40">
        <v>2.7916666666666701</v>
      </c>
      <c r="C32" s="40">
        <v>0.83333333333333703</v>
      </c>
      <c r="D32" s="156">
        <v>3</v>
      </c>
      <c r="E32" s="154">
        <f t="shared" si="2"/>
        <v>2.1126760563380285</v>
      </c>
      <c r="F32" s="154">
        <v>-4</v>
      </c>
      <c r="G32" s="118">
        <v>72</v>
      </c>
      <c r="H32" s="154">
        <f t="shared" si="0"/>
        <v>50.70422535211268</v>
      </c>
      <c r="I32" s="154">
        <v>70</v>
      </c>
      <c r="J32" s="41" t="s">
        <v>88</v>
      </c>
      <c r="K32" s="41">
        <f t="shared" si="3"/>
        <v>47.183098591549296</v>
      </c>
      <c r="L32" s="42">
        <f t="shared" si="13"/>
        <v>48.591549295774648</v>
      </c>
      <c r="M32" s="41">
        <f t="shared" si="12"/>
        <v>52.816901408450704</v>
      </c>
      <c r="N32" s="43">
        <v>18</v>
      </c>
      <c r="O32" s="44" t="s">
        <v>100</v>
      </c>
      <c r="P32" s="44">
        <v>16.600000000000001</v>
      </c>
      <c r="Q32" s="157">
        <v>128</v>
      </c>
      <c r="R32" s="157"/>
      <c r="S32" s="157">
        <v>93747681</v>
      </c>
      <c r="T32" s="45">
        <f t="shared" si="4"/>
        <v>3907</v>
      </c>
      <c r="U32" s="46">
        <f t="shared" si="5"/>
        <v>93.768000000000001</v>
      </c>
      <c r="V32" s="46">
        <f t="shared" si="6"/>
        <v>3.907</v>
      </c>
      <c r="W32" s="96">
        <v>1.5</v>
      </c>
      <c r="X32" s="96">
        <f t="shared" si="1"/>
        <v>1.5</v>
      </c>
      <c r="Y32" s="97" t="s">
        <v>169</v>
      </c>
      <c r="Z32" s="158">
        <v>1005</v>
      </c>
      <c r="AA32" s="158">
        <v>0</v>
      </c>
      <c r="AB32" s="158">
        <v>1187</v>
      </c>
      <c r="AC32" s="158">
        <v>1185</v>
      </c>
      <c r="AD32" s="158">
        <v>0</v>
      </c>
      <c r="AE32" s="158">
        <v>1185</v>
      </c>
      <c r="AF32" s="47" t="s">
        <v>90</v>
      </c>
      <c r="AG32" s="47" t="s">
        <v>90</v>
      </c>
      <c r="AH32" s="98" t="s">
        <v>90</v>
      </c>
      <c r="AI32" s="103">
        <v>15542230</v>
      </c>
      <c r="AJ32" s="45">
        <f t="shared" si="7"/>
        <v>1137</v>
      </c>
      <c r="AK32" s="48">
        <f t="shared" si="8"/>
        <v>291.01612490401845</v>
      </c>
      <c r="AL32" s="155">
        <v>1</v>
      </c>
      <c r="AM32" s="155">
        <v>0</v>
      </c>
      <c r="AN32" s="155">
        <v>1</v>
      </c>
      <c r="AO32" s="155">
        <v>1</v>
      </c>
      <c r="AP32" s="155">
        <v>0</v>
      </c>
      <c r="AQ32" s="155">
        <v>1</v>
      </c>
      <c r="AR32" s="155">
        <v>0</v>
      </c>
      <c r="AS32" s="158"/>
      <c r="AT32" s="158">
        <v>0</v>
      </c>
      <c r="AU32" s="49"/>
      <c r="AV32" s="50" t="s">
        <v>124</v>
      </c>
      <c r="AY32" s="308" t="s">
        <v>115</v>
      </c>
      <c r="AZ32" s="308"/>
      <c r="BB32" s="74" t="s">
        <v>156</v>
      </c>
    </row>
    <row r="33" spans="1:54" x14ac:dyDescent="0.35">
      <c r="A33" s="357">
        <v>43227</v>
      </c>
      <c r="B33" s="40">
        <v>2.8333333333333299</v>
      </c>
      <c r="C33" s="40">
        <v>0.875</v>
      </c>
      <c r="D33" s="156">
        <v>3</v>
      </c>
      <c r="E33" s="154">
        <f t="shared" si="2"/>
        <v>2.1126760563380285</v>
      </c>
      <c r="F33" s="154">
        <v>-4</v>
      </c>
      <c r="G33" s="118">
        <v>71</v>
      </c>
      <c r="H33" s="154">
        <f t="shared" si="0"/>
        <v>50</v>
      </c>
      <c r="I33" s="154">
        <v>70</v>
      </c>
      <c r="J33" s="41" t="s">
        <v>88</v>
      </c>
      <c r="K33" s="41">
        <f t="shared" si="3"/>
        <v>46.478873239436624</v>
      </c>
      <c r="L33" s="42">
        <f t="shared" si="13"/>
        <v>47.887323943661976</v>
      </c>
      <c r="M33" s="41">
        <f t="shared" si="12"/>
        <v>52.112676056338032</v>
      </c>
      <c r="N33" s="43">
        <v>18</v>
      </c>
      <c r="O33" s="44" t="s">
        <v>100</v>
      </c>
      <c r="P33" s="44">
        <v>16.100000000000001</v>
      </c>
      <c r="Q33" s="157">
        <v>130</v>
      </c>
      <c r="R33" s="157"/>
      <c r="S33" s="157">
        <v>93751563</v>
      </c>
      <c r="T33" s="45">
        <f t="shared" si="4"/>
        <v>3882</v>
      </c>
      <c r="U33" s="46">
        <f t="shared" si="5"/>
        <v>93.168000000000006</v>
      </c>
      <c r="V33" s="46">
        <f t="shared" si="6"/>
        <v>3.8820000000000001</v>
      </c>
      <c r="W33" s="96">
        <v>1.4</v>
      </c>
      <c r="X33" s="96">
        <f t="shared" si="1"/>
        <v>1.4</v>
      </c>
      <c r="Y33" s="97" t="s">
        <v>138</v>
      </c>
      <c r="Z33" s="158">
        <v>0</v>
      </c>
      <c r="AA33" s="158">
        <v>0</v>
      </c>
      <c r="AB33" s="158">
        <v>1187</v>
      </c>
      <c r="AC33" s="158">
        <v>1185</v>
      </c>
      <c r="AD33" s="158">
        <v>0</v>
      </c>
      <c r="AE33" s="158">
        <v>1185</v>
      </c>
      <c r="AF33" s="47" t="s">
        <v>90</v>
      </c>
      <c r="AG33" s="47" t="s">
        <v>90</v>
      </c>
      <c r="AH33" s="98" t="s">
        <v>90</v>
      </c>
      <c r="AI33" s="103">
        <v>15543331</v>
      </c>
      <c r="AJ33" s="45">
        <f t="shared" si="7"/>
        <v>1101</v>
      </c>
      <c r="AK33" s="48">
        <f t="shared" si="8"/>
        <v>283.61669242658422</v>
      </c>
      <c r="AL33" s="155">
        <v>0</v>
      </c>
      <c r="AM33" s="155">
        <v>0</v>
      </c>
      <c r="AN33" s="155">
        <v>1</v>
      </c>
      <c r="AO33" s="155">
        <v>1</v>
      </c>
      <c r="AP33" s="155">
        <v>0</v>
      </c>
      <c r="AQ33" s="155">
        <v>1</v>
      </c>
      <c r="AR33" s="155">
        <v>0</v>
      </c>
      <c r="AS33" s="158"/>
      <c r="AT33" s="158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57">
        <v>43227</v>
      </c>
      <c r="B34" s="40">
        <v>2.875</v>
      </c>
      <c r="C34" s="40">
        <v>0.91666666666667096</v>
      </c>
      <c r="D34" s="156" t="s">
        <v>179</v>
      </c>
      <c r="E34" s="154" t="e">
        <f t="shared" si="2"/>
        <v>#VALUE!</v>
      </c>
      <c r="F34" s="154">
        <v>-3</v>
      </c>
      <c r="G34" s="118">
        <v>73</v>
      </c>
      <c r="H34" s="154">
        <f t="shared" si="0"/>
        <v>51.408450704225352</v>
      </c>
      <c r="I34" s="154">
        <v>71</v>
      </c>
      <c r="J34" s="41" t="s">
        <v>88</v>
      </c>
      <c r="K34" s="41">
        <f t="shared" si="3"/>
        <v>47.887323943661976</v>
      </c>
      <c r="L34" s="42">
        <f t="shared" si="13"/>
        <v>49.295774647887328</v>
      </c>
      <c r="M34" s="41">
        <f t="shared" si="12"/>
        <v>53.521126760563384</v>
      </c>
      <c r="N34" s="43">
        <v>14</v>
      </c>
      <c r="O34" s="44" t="s">
        <v>116</v>
      </c>
      <c r="P34" s="44">
        <v>12.6</v>
      </c>
      <c r="Q34" s="157" t="s">
        <v>179</v>
      </c>
      <c r="R34" s="157"/>
      <c r="S34" s="157">
        <v>93755392</v>
      </c>
      <c r="T34" s="45">
        <f t="shared" si="4"/>
        <v>3829</v>
      </c>
      <c r="U34" s="46">
        <f t="shared" si="5"/>
        <v>91.896000000000001</v>
      </c>
      <c r="V34" s="46">
        <f t="shared" si="6"/>
        <v>3.8290000000000002</v>
      </c>
      <c r="W34" s="96">
        <v>1.4</v>
      </c>
      <c r="X34" s="96">
        <f t="shared" si="1"/>
        <v>1.4</v>
      </c>
      <c r="Y34" s="97" t="s">
        <v>138</v>
      </c>
      <c r="Z34" s="158">
        <v>0</v>
      </c>
      <c r="AA34" s="158">
        <v>0</v>
      </c>
      <c r="AB34" s="158">
        <v>1187</v>
      </c>
      <c r="AC34" s="158">
        <v>1185</v>
      </c>
      <c r="AD34" s="158">
        <v>0</v>
      </c>
      <c r="AE34" s="158">
        <v>1185</v>
      </c>
      <c r="AF34" s="47" t="s">
        <v>90</v>
      </c>
      <c r="AG34" s="47" t="s">
        <v>90</v>
      </c>
      <c r="AH34" s="98" t="s">
        <v>90</v>
      </c>
      <c r="AI34" s="103">
        <v>15544424</v>
      </c>
      <c r="AJ34" s="45">
        <f t="shared" si="7"/>
        <v>1093</v>
      </c>
      <c r="AK34" s="48">
        <f t="shared" si="8"/>
        <v>285.45312091930009</v>
      </c>
      <c r="AL34" s="155">
        <v>0</v>
      </c>
      <c r="AM34" s="155">
        <v>0</v>
      </c>
      <c r="AN34" s="155">
        <v>1</v>
      </c>
      <c r="AO34" s="155">
        <v>1</v>
      </c>
      <c r="AP34" s="155">
        <v>0</v>
      </c>
      <c r="AQ34" s="155">
        <v>1</v>
      </c>
      <c r="AR34" s="155">
        <v>0</v>
      </c>
      <c r="AS34" s="158"/>
      <c r="AT34" s="158">
        <f>AS34-AS33</f>
        <v>0</v>
      </c>
      <c r="AU34" s="119">
        <v>0.98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357">
        <v>43227</v>
      </c>
      <c r="B35" s="40">
        <v>2.9166666666666701</v>
      </c>
      <c r="C35" s="40">
        <v>0.95833333333333803</v>
      </c>
      <c r="D35" s="156">
        <v>3</v>
      </c>
      <c r="E35" s="154">
        <f t="shared" si="2"/>
        <v>2.1126760563380285</v>
      </c>
      <c r="F35" s="154">
        <v>-1</v>
      </c>
      <c r="G35" s="118">
        <v>73</v>
      </c>
      <c r="H35" s="154">
        <f t="shared" si="0"/>
        <v>51.408450704225352</v>
      </c>
      <c r="I35" s="154">
        <v>71</v>
      </c>
      <c r="J35" s="41" t="s">
        <v>88</v>
      </c>
      <c r="K35" s="41">
        <f>L35-(2/1.42)</f>
        <v>46.478873239436624</v>
      </c>
      <c r="L35" s="42">
        <f>(G35-5)/1.42</f>
        <v>47.887323943661976</v>
      </c>
      <c r="M35" s="41">
        <f t="shared" si="12"/>
        <v>52.112676056338032</v>
      </c>
      <c r="N35" s="43">
        <v>14</v>
      </c>
      <c r="O35" s="44" t="s">
        <v>116</v>
      </c>
      <c r="P35" s="44">
        <v>11.9</v>
      </c>
      <c r="Q35" s="157">
        <v>133</v>
      </c>
      <c r="R35" s="157"/>
      <c r="S35" s="157">
        <v>93758861</v>
      </c>
      <c r="T35" s="45">
        <f t="shared" si="4"/>
        <v>3469</v>
      </c>
      <c r="U35" s="46">
        <f t="shared" si="5"/>
        <v>83.256</v>
      </c>
      <c r="V35" s="46">
        <f t="shared" si="6"/>
        <v>3.4689999999999999</v>
      </c>
      <c r="W35" s="96">
        <v>1.6</v>
      </c>
      <c r="X35" s="96">
        <f t="shared" si="1"/>
        <v>1.6</v>
      </c>
      <c r="Y35" s="97" t="s">
        <v>138</v>
      </c>
      <c r="Z35" s="158">
        <v>0</v>
      </c>
      <c r="AA35" s="158">
        <v>0</v>
      </c>
      <c r="AB35" s="158">
        <v>1187</v>
      </c>
      <c r="AC35" s="158">
        <v>1185</v>
      </c>
      <c r="AD35" s="158">
        <v>0</v>
      </c>
      <c r="AE35" s="158">
        <v>1185</v>
      </c>
      <c r="AF35" s="47" t="s">
        <v>90</v>
      </c>
      <c r="AG35" s="47" t="s">
        <v>90</v>
      </c>
      <c r="AH35" s="98" t="s">
        <v>90</v>
      </c>
      <c r="AI35" s="103">
        <v>15545519</v>
      </c>
      <c r="AJ35" s="45">
        <f t="shared" si="7"/>
        <v>1095</v>
      </c>
      <c r="AK35" s="48">
        <f t="shared" si="8"/>
        <v>315.65292591524934</v>
      </c>
      <c r="AL35" s="155">
        <v>0</v>
      </c>
      <c r="AM35" s="155">
        <v>0</v>
      </c>
      <c r="AN35" s="155">
        <v>1</v>
      </c>
      <c r="AO35" s="155">
        <v>1</v>
      </c>
      <c r="AP35" s="155">
        <v>0</v>
      </c>
      <c r="AQ35" s="155">
        <v>1</v>
      </c>
      <c r="AR35" s="155">
        <v>0</v>
      </c>
      <c r="AS35" s="158"/>
      <c r="AT35" s="158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357">
        <v>43227</v>
      </c>
      <c r="B36" s="40">
        <v>2.9583333333333299</v>
      </c>
      <c r="C36" s="40">
        <v>1</v>
      </c>
      <c r="D36" s="156">
        <v>3</v>
      </c>
      <c r="E36" s="154">
        <f t="shared" si="2"/>
        <v>2.1126760563380285</v>
      </c>
      <c r="F36" s="154">
        <v>0</v>
      </c>
      <c r="G36" s="118">
        <v>71</v>
      </c>
      <c r="H36" s="154">
        <f t="shared" si="0"/>
        <v>50</v>
      </c>
      <c r="I36" s="154">
        <v>70</v>
      </c>
      <c r="J36" s="41" t="s">
        <v>88</v>
      </c>
      <c r="K36" s="41">
        <f t="shared" si="3"/>
        <v>45.070422535211272</v>
      </c>
      <c r="L36" s="42">
        <f>(G36-5)/1.42</f>
        <v>46.478873239436624</v>
      </c>
      <c r="M36" s="41">
        <f t="shared" si="12"/>
        <v>50.70422535211268</v>
      </c>
      <c r="N36" s="43">
        <v>14</v>
      </c>
      <c r="O36" s="44" t="s">
        <v>116</v>
      </c>
      <c r="P36" s="58">
        <v>11.5</v>
      </c>
      <c r="Q36" s="157">
        <v>130</v>
      </c>
      <c r="R36" s="157"/>
      <c r="S36" s="157">
        <v>93762539</v>
      </c>
      <c r="T36" s="45">
        <f t="shared" si="4"/>
        <v>3678</v>
      </c>
      <c r="U36" s="46">
        <f t="shared" si="5"/>
        <v>88.272000000000006</v>
      </c>
      <c r="V36" s="46">
        <f t="shared" si="6"/>
        <v>3.6779999999999999</v>
      </c>
      <c r="W36" s="96">
        <v>2.2999999999999998</v>
      </c>
      <c r="X36" s="96">
        <f t="shared" si="1"/>
        <v>2.2999999999999998</v>
      </c>
      <c r="Y36" s="97" t="s">
        <v>138</v>
      </c>
      <c r="Z36" s="158">
        <v>0</v>
      </c>
      <c r="AA36" s="158">
        <v>0</v>
      </c>
      <c r="AB36" s="158">
        <v>1187</v>
      </c>
      <c r="AC36" s="158">
        <v>1185</v>
      </c>
      <c r="AD36" s="158">
        <v>0</v>
      </c>
      <c r="AE36" s="158">
        <v>1185</v>
      </c>
      <c r="AF36" s="47" t="s">
        <v>90</v>
      </c>
      <c r="AG36" s="47" t="s">
        <v>90</v>
      </c>
      <c r="AH36" s="98" t="s">
        <v>90</v>
      </c>
      <c r="AI36" s="103">
        <v>15546621</v>
      </c>
      <c r="AJ36" s="45">
        <f t="shared" si="7"/>
        <v>1102</v>
      </c>
      <c r="AK36" s="48">
        <f t="shared" si="8"/>
        <v>299.6193583469277</v>
      </c>
      <c r="AL36" s="155">
        <v>0</v>
      </c>
      <c r="AM36" s="155">
        <v>0</v>
      </c>
      <c r="AN36" s="155">
        <v>1</v>
      </c>
      <c r="AO36" s="155">
        <v>1</v>
      </c>
      <c r="AP36" s="155">
        <v>0</v>
      </c>
      <c r="AQ36" s="155">
        <v>1</v>
      </c>
      <c r="AR36" s="155">
        <v>0</v>
      </c>
      <c r="AS36" s="158"/>
      <c r="AT36" s="158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73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09" t="s">
        <v>118</v>
      </c>
      <c r="O37" s="310"/>
      <c r="P37" s="311"/>
      <c r="Q37" s="101"/>
      <c r="R37" s="101"/>
      <c r="S37" s="101"/>
      <c r="T37" s="60">
        <f>SUM(T13:T36)</f>
        <v>92831</v>
      </c>
      <c r="U37" s="46">
        <f t="shared" si="5"/>
        <v>2227.944</v>
      </c>
      <c r="V37" s="46">
        <f t="shared" si="6"/>
        <v>92.831000000000003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27505</v>
      </c>
      <c r="AK37" s="61">
        <f>$AJ$37/$V37</f>
        <v>296.29110965087091</v>
      </c>
      <c r="AL37" s="155"/>
      <c r="AM37" s="155"/>
      <c r="AN37" s="155"/>
      <c r="AO37" s="155"/>
      <c r="AP37" s="155"/>
      <c r="AQ37" s="155"/>
      <c r="AR37" s="62"/>
      <c r="AS37" s="63">
        <f>AS36-AS11</f>
        <v>0</v>
      </c>
      <c r="AT37" s="64">
        <f>SUM(AT13:AT36)</f>
        <v>0</v>
      </c>
      <c r="AU37" s="65">
        <f>AVERAGE(AU13:AU36)</f>
        <v>1.0549999999999999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7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8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8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4"/>
      <c r="D47" s="164"/>
      <c r="E47" s="164"/>
      <c r="F47" s="164"/>
      <c r="G47" s="164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71" t="s">
        <v>185</v>
      </c>
      <c r="C48" s="172"/>
      <c r="D48" s="172"/>
      <c r="E48" s="172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2" t="s">
        <v>152</v>
      </c>
      <c r="C49" s="170"/>
      <c r="D49" s="170"/>
      <c r="E49" s="170"/>
      <c r="F49" s="161"/>
      <c r="G49" s="161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15" t="s">
        <v>202</v>
      </c>
      <c r="C50" s="143"/>
      <c r="D50" s="143"/>
      <c r="E50" s="143"/>
      <c r="F50" s="130"/>
      <c r="G50" s="130"/>
      <c r="H50" s="160"/>
      <c r="I50" s="160"/>
      <c r="J50" s="160"/>
      <c r="K50" s="160"/>
      <c r="L50" s="160"/>
      <c r="M50" s="160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15" t="s">
        <v>203</v>
      </c>
      <c r="C51" s="143"/>
      <c r="D51" s="143"/>
      <c r="E51" s="143"/>
      <c r="F51" s="130"/>
      <c r="G51" s="130"/>
      <c r="H51" s="160"/>
      <c r="I51" s="160"/>
      <c r="J51" s="160"/>
      <c r="K51" s="160"/>
      <c r="L51" s="160"/>
      <c r="M51" s="160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15" t="s">
        <v>182</v>
      </c>
      <c r="C52" s="120"/>
      <c r="D52" s="115"/>
      <c r="E52" s="115"/>
      <c r="F52" s="115"/>
      <c r="G52" s="115"/>
      <c r="H52" s="160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2" t="s">
        <v>163</v>
      </c>
      <c r="C53" s="170"/>
      <c r="D53" s="170"/>
      <c r="E53" s="170"/>
      <c r="F53" s="170"/>
      <c r="G53" s="115"/>
      <c r="H53" s="115"/>
      <c r="I53" s="115"/>
      <c r="J53" s="115"/>
      <c r="K53" s="115"/>
      <c r="L53" s="115"/>
      <c r="M53" s="115"/>
      <c r="N53" s="163"/>
      <c r="O53" s="163"/>
      <c r="P53" s="163"/>
      <c r="Q53" s="163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2" t="s">
        <v>200</v>
      </c>
      <c r="C54" s="153"/>
      <c r="D54" s="170"/>
      <c r="E54" s="170"/>
      <c r="F54" s="170"/>
      <c r="G54" s="170"/>
      <c r="H54" s="170"/>
      <c r="I54" s="170"/>
      <c r="J54" s="169"/>
      <c r="K54" s="166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2" t="s">
        <v>166</v>
      </c>
      <c r="C55" s="115"/>
      <c r="D55" s="170"/>
      <c r="E55" s="153"/>
      <c r="F55" s="153"/>
      <c r="G55" s="153"/>
      <c r="H55" s="153"/>
      <c r="I55" s="153"/>
      <c r="J55" s="169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2" t="s">
        <v>170</v>
      </c>
      <c r="C56" s="115"/>
      <c r="D56" s="170"/>
      <c r="E56" s="153"/>
      <c r="F56" s="153"/>
      <c r="G56" s="153"/>
      <c r="H56" s="153"/>
      <c r="I56" s="153"/>
      <c r="J56" s="153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2" t="s">
        <v>171</v>
      </c>
      <c r="C57" s="170"/>
      <c r="D57" s="170"/>
      <c r="E57" s="153"/>
      <c r="F57" s="153"/>
      <c r="G57" s="153"/>
      <c r="H57" s="153"/>
      <c r="I57" s="153"/>
      <c r="J57" s="153"/>
      <c r="K57" s="166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2" t="s">
        <v>172</v>
      </c>
      <c r="C58" s="170"/>
      <c r="D58" s="170"/>
      <c r="E58" s="115"/>
      <c r="F58" s="115"/>
      <c r="G58" s="115"/>
      <c r="H58" s="115"/>
      <c r="I58" s="153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53" t="s">
        <v>204</v>
      </c>
      <c r="C59" s="170"/>
      <c r="D59" s="170"/>
      <c r="E59" s="153"/>
      <c r="F59" s="153"/>
      <c r="G59" s="153"/>
      <c r="H59" s="153"/>
      <c r="I59" s="153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2" t="s">
        <v>174</v>
      </c>
      <c r="C60" s="170"/>
      <c r="D60" s="223"/>
      <c r="E60" s="223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62" t="s">
        <v>195</v>
      </c>
      <c r="C61" s="153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32"/>
      <c r="C62" s="115"/>
      <c r="D62" s="100"/>
      <c r="E62" s="100"/>
      <c r="F62" s="115"/>
      <c r="G62" s="115"/>
      <c r="H62" s="92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2"/>
      <c r="C63" s="115"/>
      <c r="D63" s="166"/>
      <c r="E63" s="166"/>
      <c r="F63" s="166"/>
      <c r="G63" s="166"/>
      <c r="H63" s="166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53"/>
      <c r="C64" s="115"/>
      <c r="D64" s="100"/>
      <c r="E64" s="100"/>
      <c r="F64" s="115"/>
      <c r="G64" s="115"/>
      <c r="H64" s="92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6"/>
      <c r="E65" s="166"/>
      <c r="F65" s="166"/>
      <c r="G65" s="166"/>
      <c r="H65" s="166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AV65" s="86"/>
      <c r="AW65" s="86"/>
      <c r="AX65" s="86"/>
      <c r="AY65" s="86"/>
      <c r="AZ65" s="86"/>
      <c r="BA65" s="86"/>
      <c r="BB65" s="86"/>
    </row>
    <row r="66" spans="2:54" x14ac:dyDescent="0.35">
      <c r="B66" s="162"/>
      <c r="C66" s="115"/>
      <c r="D66" s="166"/>
      <c r="E66" s="166"/>
      <c r="F66" s="166"/>
      <c r="G66" s="166"/>
      <c r="H66" s="166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6"/>
      <c r="E67" s="166"/>
      <c r="F67" s="166"/>
      <c r="G67" s="166"/>
      <c r="H67" s="166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AF13:AH36 T13:V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Q17:R36 R13:R16" name="Range1_16_3_1_1_2_1"/>
    <protectedRange sqref="Q13:Q16 S13:S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3" name="Range1_16_1_1_1_1_1_1_2_2_2_2_2_2_2_2_2_2_2_2_2_2_2_2_2_2_2_2_2_2_2_1_2_2_2_2_2_2_2_2_2_2_3_2_2_2_2_2_2_2_2_2_2_1_1_1_1_2_2_1_1_1_1_1_1_1_1_1_1_3_1_3"/>
    <protectedRange sqref="R5:W5" name="Range1_16_1_1_1_1_1_1_2_2_2_2_2_2_2_2_2_2_2_2_2_2_2_2_2_2_2_2_2_2_2_1_2_2_2_2_2_2_2_2_2_2_3_2_2_2_2_2_2_2_2_2_2_1_1_1_1_2_2_1_1_1_1_1_1_1_1_1_1_3_1_3_2"/>
    <protectedRange sqref="R4:W4" name="Range1_16_1_1_1_1_1_1_2_2_2_2_2_2_2_2_2_2_2_2_2_2_2_2_2_2_2_2_2_2_2_1_2_2_2_2_2_2_2_2_2_2_3_2_2_2_2_2_2_2_2_2_2_1_1_1_1_2_2_1_1_1_1_1_1_1_1_1_1_1_1_1_1_2"/>
    <protectedRange sqref="B50:B51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B53" name="Range2_12_5_1_1_1_2_1_1_1_1_1_1_1_1_1_1_1_2_1_1_1_1_1_1_1_1_1_1_1_1_1_1_1_1_1_1_1_1_1_1_2_1_1_1_1_1_1_1_1_1_1_1_2_1_1_1_1_2_1_1_1_1_1_1_1_1_1_1_1_2_1_1_1_1_1_1_1_1_1_1_1_1_1_1_3_1_1_1_1_2_1_1_1_1_1_1_1_2_1_1_1_1_1_1_1_1_1_1_1_1_1_1_1_1_1_1_1_1_1_1_1_1_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424" priority="5" operator="containsText" text="N/A">
      <formula>NOT(ISERROR(SEARCH("N/A",Z13)))</formula>
    </cfRule>
    <cfRule type="cellIs" dxfId="423" priority="17" operator="equal">
      <formula>0</formula>
    </cfRule>
  </conditionalFormatting>
  <conditionalFormatting sqref="Z13:AG36">
    <cfRule type="cellIs" dxfId="422" priority="16" operator="greaterThanOrEqual">
      <formula>1185</formula>
    </cfRule>
  </conditionalFormatting>
  <conditionalFormatting sqref="Z13:AG36">
    <cfRule type="cellIs" dxfId="421" priority="15" operator="between">
      <formula>0.1</formula>
      <formula>1184</formula>
    </cfRule>
  </conditionalFormatting>
  <conditionalFormatting sqref="Z8:Z9 AT13:AT36 AL37:AQ37 AL13:AR36">
    <cfRule type="cellIs" dxfId="420" priority="14" operator="equal">
      <formula>0</formula>
    </cfRule>
  </conditionalFormatting>
  <conditionalFormatting sqref="Z8:Z9 AT13:AT36 AL37:AQ37 AL13:AR36">
    <cfRule type="cellIs" dxfId="419" priority="13" operator="greaterThan">
      <formula>1179</formula>
    </cfRule>
  </conditionalFormatting>
  <conditionalFormatting sqref="Z8:Z9 AT13:AT36 AL37:AQ37 AL13:AR36">
    <cfRule type="cellIs" dxfId="418" priority="12" operator="greaterThan">
      <formula>99</formula>
    </cfRule>
  </conditionalFormatting>
  <conditionalFormatting sqref="Z8:Z9 AT13:AT36 AL37:AQ37 AL13:AR36">
    <cfRule type="cellIs" dxfId="417" priority="11" operator="greaterThan">
      <formula>0.99</formula>
    </cfRule>
  </conditionalFormatting>
  <conditionalFormatting sqref="AD8:AD9">
    <cfRule type="cellIs" dxfId="416" priority="10" operator="equal">
      <formula>0</formula>
    </cfRule>
  </conditionalFormatting>
  <conditionalFormatting sqref="AD8:AD9">
    <cfRule type="cellIs" dxfId="415" priority="9" operator="greaterThan">
      <formula>1179</formula>
    </cfRule>
  </conditionalFormatting>
  <conditionalFormatting sqref="AD8:AD9">
    <cfRule type="cellIs" dxfId="414" priority="8" operator="greaterThan">
      <formula>99</formula>
    </cfRule>
  </conditionalFormatting>
  <conditionalFormatting sqref="AD8:AD9">
    <cfRule type="cellIs" dxfId="413" priority="7" operator="greaterThan">
      <formula>0.99</formula>
    </cfRule>
  </conditionalFormatting>
  <conditionalFormatting sqref="AK13:AK36">
    <cfRule type="cellIs" dxfId="412" priority="6" operator="greaterThan">
      <formula>$AK$8</formula>
    </cfRule>
  </conditionalFormatting>
  <conditionalFormatting sqref="AS13:AS36">
    <cfRule type="containsText" dxfId="411" priority="1" operator="containsText" text="N/A">
      <formula>NOT(ISERROR(SEARCH("N/A",AS13)))</formula>
    </cfRule>
    <cfRule type="cellIs" dxfId="410" priority="4" operator="equal">
      <formula>0</formula>
    </cfRule>
  </conditionalFormatting>
  <conditionalFormatting sqref="AS13:AS36">
    <cfRule type="cellIs" dxfId="409" priority="3" operator="greaterThanOrEqual">
      <formula>1185</formula>
    </cfRule>
  </conditionalFormatting>
  <conditionalFormatting sqref="AS13:AS36">
    <cfRule type="cellIs" dxfId="408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600-000000000000}">
      <formula1>$BB$11:$BB$42</formula1>
    </dataValidation>
    <dataValidation type="list" allowBlank="1" showInputMessage="1" showErrorMessage="1" sqref="AY33:AZ33" xr:uid="{00000000-0002-0000-0600-000001000000}">
      <formula1>$AY$26:$AY$30</formula1>
    </dataValidation>
    <dataValidation type="list" allowBlank="1" showInputMessage="1" showErrorMessage="1" sqref="AS8:AT9 P11:P12 N11:N12 D8:E9 Q8:V9" xr:uid="{00000000-0002-0000-0600-000002000000}">
      <formula1>#REF!</formula1>
    </dataValidation>
    <dataValidation type="list" allowBlank="1" showInputMessage="1" showErrorMessage="1" sqref="J13:J36" xr:uid="{00000000-0002-0000-0600-000003000000}">
      <formula1>$AY$11:$AY$21</formula1>
    </dataValidation>
  </dataValidations>
  <hyperlinks>
    <hyperlink ref="J10:J11" location="'1'!AH8" display="Plant Status" xr:uid="{00000000-0004-0000-0600-000000000000}"/>
  </hyperlinks>
  <pageMargins left="0.7" right="0.7" top="0.75" bottom="0.75" header="0.3" footer="0.3"/>
  <pageSetup paperSize="9" orientation="portrait" horizont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7030A0"/>
  </sheetPr>
  <dimension ref="A2:BB88"/>
  <sheetViews>
    <sheetView topLeftCell="F1" zoomScaleNormal="100" workbookViewId="0">
      <selection activeCell="R3" sqref="R3:W3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47" t="s">
        <v>134</v>
      </c>
      <c r="S3" s="348"/>
      <c r="T3" s="348"/>
      <c r="U3" s="348"/>
      <c r="V3" s="348"/>
      <c r="W3" s="34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47" t="s">
        <v>143</v>
      </c>
      <c r="S4" s="348"/>
      <c r="T4" s="348"/>
      <c r="U4" s="348"/>
      <c r="V4" s="348"/>
      <c r="W4" s="34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47" t="s">
        <v>151</v>
      </c>
      <c r="S5" s="348"/>
      <c r="T5" s="348"/>
      <c r="U5" s="348"/>
      <c r="V5" s="348"/>
      <c r="W5" s="34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50" t="s">
        <v>6</v>
      </c>
      <c r="C6" s="351"/>
      <c r="D6" s="352" t="s">
        <v>7</v>
      </c>
      <c r="E6" s="353"/>
      <c r="F6" s="353"/>
      <c r="G6" s="353"/>
      <c r="H6" s="353"/>
      <c r="I6" s="353"/>
      <c r="J6" s="354"/>
      <c r="K6" s="87"/>
      <c r="L6" s="87"/>
      <c r="M6" s="211"/>
      <c r="N6" s="355">
        <v>41686</v>
      </c>
      <c r="O6" s="356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37" t="s">
        <v>8</v>
      </c>
      <c r="C7" s="338"/>
      <c r="D7" s="337" t="s">
        <v>9</v>
      </c>
      <c r="E7" s="339"/>
      <c r="F7" s="339"/>
      <c r="G7" s="339"/>
      <c r="H7" s="339"/>
      <c r="I7" s="338"/>
      <c r="J7" s="21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16" t="s">
        <v>14</v>
      </c>
      <c r="R7" s="337" t="s">
        <v>15</v>
      </c>
      <c r="S7" s="339"/>
      <c r="T7" s="339"/>
      <c r="U7" s="339"/>
      <c r="V7" s="338"/>
      <c r="W7" s="337" t="s">
        <v>16</v>
      </c>
      <c r="X7" s="338"/>
      <c r="Y7" s="99" t="s">
        <v>17</v>
      </c>
      <c r="Z7" s="337" t="s">
        <v>18</v>
      </c>
      <c r="AA7" s="338"/>
      <c r="AB7" s="337" t="s">
        <v>19</v>
      </c>
      <c r="AC7" s="338"/>
      <c r="AD7" s="337" t="s">
        <v>20</v>
      </c>
      <c r="AE7" s="338"/>
      <c r="AF7" s="337" t="s">
        <v>21</v>
      </c>
      <c r="AG7" s="338"/>
      <c r="AH7" s="99" t="s">
        <v>22</v>
      </c>
      <c r="AI7" s="99" t="s">
        <v>23</v>
      </c>
      <c r="AJ7" s="99" t="s">
        <v>24</v>
      </c>
      <c r="AK7" s="99" t="s">
        <v>25</v>
      </c>
      <c r="AL7" s="337" t="s">
        <v>26</v>
      </c>
      <c r="AM7" s="339"/>
      <c r="AN7" s="339"/>
      <c r="AO7" s="339"/>
      <c r="AP7" s="339"/>
      <c r="AQ7" s="338"/>
      <c r="AR7" s="337" t="s">
        <v>27</v>
      </c>
      <c r="AS7" s="339"/>
      <c r="AT7" s="33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40">
        <v>43228</v>
      </c>
      <c r="C8" s="341"/>
      <c r="D8" s="342" t="s">
        <v>29</v>
      </c>
      <c r="E8" s="343"/>
      <c r="F8" s="343"/>
      <c r="G8" s="343"/>
      <c r="H8" s="343"/>
      <c r="I8" s="344"/>
      <c r="J8" s="28"/>
      <c r="K8" s="342" t="s">
        <v>29</v>
      </c>
      <c r="L8" s="343"/>
      <c r="M8" s="34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42" t="s">
        <v>33</v>
      </c>
      <c r="X8" s="344"/>
      <c r="Y8" s="30" t="s">
        <v>34</v>
      </c>
      <c r="Z8" s="326">
        <v>0</v>
      </c>
      <c r="AA8" s="327"/>
      <c r="AB8" s="345" t="s">
        <v>35</v>
      </c>
      <c r="AC8" s="346"/>
      <c r="AD8" s="326">
        <v>1185</v>
      </c>
      <c r="AE8" s="327"/>
      <c r="AF8" s="328">
        <v>800</v>
      </c>
      <c r="AG8" s="329"/>
      <c r="AH8" s="28"/>
      <c r="AI8" s="30">
        <f>AI36-AI11</f>
        <v>27576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17"/>
      <c r="C9" s="218"/>
      <c r="D9" s="219"/>
      <c r="E9" s="220"/>
      <c r="F9" s="220"/>
      <c r="G9" s="220"/>
      <c r="H9" s="220"/>
      <c r="I9" s="221"/>
      <c r="J9" s="121"/>
      <c r="K9" s="219"/>
      <c r="L9" s="220"/>
      <c r="M9" s="221"/>
      <c r="N9" s="29"/>
      <c r="O9" s="29"/>
      <c r="P9" s="29"/>
      <c r="Q9" s="121"/>
      <c r="R9" s="121"/>
      <c r="S9" s="121"/>
      <c r="T9" s="122"/>
      <c r="U9" s="123"/>
      <c r="V9" s="124"/>
      <c r="W9" s="219"/>
      <c r="X9" s="221"/>
      <c r="Y9" s="30"/>
      <c r="Z9" s="214"/>
      <c r="AA9" s="125"/>
      <c r="AB9" s="126"/>
      <c r="AC9" s="126"/>
      <c r="AD9" s="125"/>
      <c r="AE9" s="125"/>
      <c r="AF9" s="127"/>
      <c r="AG9" s="215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30" t="s">
        <v>39</v>
      </c>
      <c r="C10" s="331"/>
      <c r="D10" s="330" t="s">
        <v>40</v>
      </c>
      <c r="E10" s="332"/>
      <c r="F10" s="331"/>
      <c r="G10" s="330" t="s">
        <v>41</v>
      </c>
      <c r="H10" s="332"/>
      <c r="I10" s="331"/>
      <c r="J10" s="333" t="s">
        <v>42</v>
      </c>
      <c r="K10" s="330" t="s">
        <v>43</v>
      </c>
      <c r="L10" s="332"/>
      <c r="M10" s="331"/>
      <c r="N10" s="99" t="s">
        <v>44</v>
      </c>
      <c r="O10" s="335" t="s">
        <v>45</v>
      </c>
      <c r="P10" s="33" t="s">
        <v>46</v>
      </c>
      <c r="Q10" s="324" t="s">
        <v>47</v>
      </c>
      <c r="R10" s="324" t="s">
        <v>48</v>
      </c>
      <c r="S10" s="34" t="s">
        <v>49</v>
      </c>
      <c r="T10" s="312" t="s">
        <v>50</v>
      </c>
      <c r="U10" s="313"/>
      <c r="V10" s="314"/>
      <c r="W10" s="212" t="s">
        <v>51</v>
      </c>
      <c r="X10" s="212" t="s">
        <v>52</v>
      </c>
      <c r="Y10" s="318" t="s">
        <v>53</v>
      </c>
      <c r="Z10" s="319" t="s">
        <v>54</v>
      </c>
      <c r="AA10" s="320"/>
      <c r="AB10" s="320"/>
      <c r="AC10" s="320"/>
      <c r="AD10" s="320"/>
      <c r="AE10" s="320"/>
      <c r="AF10" s="320"/>
      <c r="AG10" s="321"/>
      <c r="AH10" s="210" t="s">
        <v>55</v>
      </c>
      <c r="AI10" s="210" t="s">
        <v>56</v>
      </c>
      <c r="AJ10" s="307" t="s">
        <v>57</v>
      </c>
      <c r="AK10" s="322" t="s">
        <v>58</v>
      </c>
      <c r="AL10" s="212" t="s">
        <v>59</v>
      </c>
      <c r="AM10" s="212" t="s">
        <v>60</v>
      </c>
      <c r="AN10" s="212" t="s">
        <v>61</v>
      </c>
      <c r="AO10" s="212" t="s">
        <v>62</v>
      </c>
      <c r="AP10" s="212" t="s">
        <v>63</v>
      </c>
      <c r="AQ10" s="212" t="s">
        <v>123</v>
      </c>
      <c r="AR10" s="212" t="s">
        <v>64</v>
      </c>
      <c r="AS10" s="212" t="s">
        <v>65</v>
      </c>
      <c r="AT10" s="324" t="s">
        <v>66</v>
      </c>
      <c r="AU10" s="212" t="s">
        <v>67</v>
      </c>
      <c r="AV10" s="30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12" t="s">
        <v>72</v>
      </c>
      <c r="C11" s="212" t="s">
        <v>73</v>
      </c>
      <c r="D11" s="212" t="s">
        <v>74</v>
      </c>
      <c r="E11" s="212" t="s">
        <v>75</v>
      </c>
      <c r="F11" s="212" t="s">
        <v>126</v>
      </c>
      <c r="G11" s="212" t="s">
        <v>74</v>
      </c>
      <c r="H11" s="212" t="s">
        <v>75</v>
      </c>
      <c r="I11" s="212" t="s">
        <v>126</v>
      </c>
      <c r="J11" s="334"/>
      <c r="K11" s="212" t="s">
        <v>75</v>
      </c>
      <c r="L11" s="212" t="s">
        <v>75</v>
      </c>
      <c r="M11" s="212" t="s">
        <v>75</v>
      </c>
      <c r="N11" s="28" t="s">
        <v>29</v>
      </c>
      <c r="O11" s="336"/>
      <c r="P11" s="28" t="s">
        <v>29</v>
      </c>
      <c r="Q11" s="325"/>
      <c r="R11" s="325"/>
      <c r="S11" s="1">
        <f>'MAY 7'!S36</f>
        <v>93762539</v>
      </c>
      <c r="T11" s="315"/>
      <c r="U11" s="316"/>
      <c r="V11" s="317"/>
      <c r="W11" s="212" t="s">
        <v>75</v>
      </c>
      <c r="X11" s="212" t="s">
        <v>75</v>
      </c>
      <c r="Y11" s="31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'MAY 7'!AI36</f>
        <v>15546621</v>
      </c>
      <c r="AJ11" s="307"/>
      <c r="AK11" s="323"/>
      <c r="AL11" s="212" t="s">
        <v>84</v>
      </c>
      <c r="AM11" s="212" t="s">
        <v>84</v>
      </c>
      <c r="AN11" s="212" t="s">
        <v>84</v>
      </c>
      <c r="AO11" s="212" t="s">
        <v>84</v>
      </c>
      <c r="AP11" s="212" t="s">
        <v>84</v>
      </c>
      <c r="AQ11" s="212" t="s">
        <v>84</v>
      </c>
      <c r="AR11" s="212" t="s">
        <v>84</v>
      </c>
      <c r="AS11" s="1"/>
      <c r="AT11" s="325"/>
      <c r="AU11" s="213" t="s">
        <v>85</v>
      </c>
      <c r="AV11" s="307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283</v>
      </c>
      <c r="B12" s="305" t="s">
        <v>284</v>
      </c>
      <c r="C12" s="305" t="s">
        <v>285</v>
      </c>
      <c r="D12" s="305" t="s">
        <v>286</v>
      </c>
      <c r="E12" s="305" t="s">
        <v>287</v>
      </c>
      <c r="F12" s="305" t="s">
        <v>288</v>
      </c>
      <c r="G12" s="305" t="s">
        <v>289</v>
      </c>
      <c r="H12" s="305" t="s">
        <v>290</v>
      </c>
      <c r="I12" s="305" t="s">
        <v>291</v>
      </c>
      <c r="J12" s="297" t="s">
        <v>292</v>
      </c>
      <c r="K12" s="305" t="s">
        <v>293</v>
      </c>
      <c r="L12" s="305" t="s">
        <v>294</v>
      </c>
      <c r="M12" s="305" t="s">
        <v>295</v>
      </c>
      <c r="N12" s="28" t="s">
        <v>296</v>
      </c>
      <c r="O12" s="298" t="s">
        <v>297</v>
      </c>
      <c r="P12" s="28" t="s">
        <v>298</v>
      </c>
      <c r="Q12" s="300" t="s">
        <v>299</v>
      </c>
      <c r="R12" s="300" t="s">
        <v>300</v>
      </c>
      <c r="S12" s="1" t="s">
        <v>301</v>
      </c>
      <c r="T12" s="302" t="s">
        <v>302</v>
      </c>
      <c r="U12" s="303" t="s">
        <v>303</v>
      </c>
      <c r="V12" s="304" t="s">
        <v>304</v>
      </c>
      <c r="W12" s="305" t="s">
        <v>305</v>
      </c>
      <c r="X12" s="305" t="s">
        <v>306</v>
      </c>
      <c r="Y12" s="305" t="s">
        <v>307</v>
      </c>
      <c r="Z12" s="37" t="s">
        <v>308</v>
      </c>
      <c r="AA12" s="37" t="s">
        <v>309</v>
      </c>
      <c r="AB12" s="37" t="s">
        <v>310</v>
      </c>
      <c r="AC12" s="37" t="s">
        <v>311</v>
      </c>
      <c r="AD12" s="37" t="s">
        <v>312</v>
      </c>
      <c r="AE12" s="37" t="s">
        <v>313</v>
      </c>
      <c r="AF12" s="37" t="s">
        <v>314</v>
      </c>
      <c r="AG12" s="37" t="s">
        <v>315</v>
      </c>
      <c r="AH12" s="38" t="s">
        <v>316</v>
      </c>
      <c r="AI12" s="1" t="s">
        <v>317</v>
      </c>
      <c r="AJ12" s="301" t="s">
        <v>318</v>
      </c>
      <c r="AK12" s="306" t="s">
        <v>319</v>
      </c>
      <c r="AL12" s="305" t="s">
        <v>320</v>
      </c>
      <c r="AM12" s="305" t="s">
        <v>321</v>
      </c>
      <c r="AN12" s="305" t="s">
        <v>322</v>
      </c>
      <c r="AO12" s="305" t="s">
        <v>323</v>
      </c>
      <c r="AP12" s="305" t="s">
        <v>324</v>
      </c>
      <c r="AQ12" s="305" t="s">
        <v>325</v>
      </c>
      <c r="AR12" s="305" t="s">
        <v>326</v>
      </c>
      <c r="AS12" s="1" t="s">
        <v>327</v>
      </c>
      <c r="AT12" s="300" t="s">
        <v>328</v>
      </c>
      <c r="AU12" s="299" t="s">
        <v>329</v>
      </c>
      <c r="AV12" s="301"/>
      <c r="AY12" s="39"/>
      <c r="AZ12" s="39"/>
      <c r="BB12" s="136"/>
    </row>
    <row r="13" spans="1:54" x14ac:dyDescent="0.35">
      <c r="A13" s="357">
        <v>43228</v>
      </c>
      <c r="B13" s="40">
        <v>2</v>
      </c>
      <c r="C13" s="40">
        <v>4.1666666666666664E-2</v>
      </c>
      <c r="D13" s="156">
        <v>3</v>
      </c>
      <c r="E13" s="154">
        <f>D13/1.42</f>
        <v>2.1126760563380285</v>
      </c>
      <c r="F13" s="154">
        <v>2</v>
      </c>
      <c r="G13" s="118">
        <v>70</v>
      </c>
      <c r="H13" s="154">
        <f t="shared" ref="H13:H36" si="0">G13/1.42</f>
        <v>49.295774647887328</v>
      </c>
      <c r="I13" s="154">
        <v>69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7">
        <v>133</v>
      </c>
      <c r="R13" s="157"/>
      <c r="S13" s="157">
        <v>93766501</v>
      </c>
      <c r="T13" s="45">
        <f>IF(ISBLANK(S13),"-",S13-S11)</f>
        <v>3962</v>
      </c>
      <c r="U13" s="46">
        <f>T13*24/1000</f>
        <v>95.087999999999994</v>
      </c>
      <c r="V13" s="46">
        <f>T13/1000</f>
        <v>3.9620000000000002</v>
      </c>
      <c r="W13" s="96">
        <v>3.9</v>
      </c>
      <c r="X13" s="96">
        <f t="shared" ref="X13:X36" si="1">W13</f>
        <v>3.9</v>
      </c>
      <c r="Y13" s="97" t="s">
        <v>138</v>
      </c>
      <c r="Z13" s="158">
        <v>0</v>
      </c>
      <c r="AA13" s="158">
        <v>0</v>
      </c>
      <c r="AB13" s="158">
        <v>1187</v>
      </c>
      <c r="AC13" s="158">
        <v>1185</v>
      </c>
      <c r="AD13" s="158">
        <v>0</v>
      </c>
      <c r="AE13" s="158">
        <v>1185</v>
      </c>
      <c r="AF13" s="47" t="s">
        <v>90</v>
      </c>
      <c r="AG13" s="47" t="s">
        <v>90</v>
      </c>
      <c r="AH13" s="98" t="s">
        <v>90</v>
      </c>
      <c r="AI13" s="103">
        <v>15547724</v>
      </c>
      <c r="AJ13" s="45">
        <f>IF(ISBLANK(AI13),"-",AI13-AI11)</f>
        <v>1103</v>
      </c>
      <c r="AK13" s="48">
        <f>AJ13/V13</f>
        <v>278.39475012619886</v>
      </c>
      <c r="AL13" s="155">
        <v>0</v>
      </c>
      <c r="AM13" s="155">
        <v>0</v>
      </c>
      <c r="AN13" s="155">
        <v>1</v>
      </c>
      <c r="AO13" s="155">
        <v>1</v>
      </c>
      <c r="AP13" s="155">
        <v>0</v>
      </c>
      <c r="AQ13" s="155">
        <v>1</v>
      </c>
      <c r="AR13" s="155">
        <v>0.8</v>
      </c>
      <c r="AS13" s="158"/>
      <c r="AT13" s="158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357">
        <v>43228</v>
      </c>
      <c r="B14" s="40">
        <v>2.0416666666666701</v>
      </c>
      <c r="C14" s="40">
        <v>8.3333333333333329E-2</v>
      </c>
      <c r="D14" s="156">
        <v>3</v>
      </c>
      <c r="E14" s="154">
        <f t="shared" ref="E14:E36" si="2">D14/1.42</f>
        <v>2.1126760563380285</v>
      </c>
      <c r="F14" s="154">
        <v>4</v>
      </c>
      <c r="G14" s="118">
        <v>71</v>
      </c>
      <c r="H14" s="154">
        <f t="shared" si="0"/>
        <v>50</v>
      </c>
      <c r="I14" s="154">
        <v>70</v>
      </c>
      <c r="J14" s="41" t="s">
        <v>88</v>
      </c>
      <c r="K14" s="41">
        <f t="shared" ref="K14:K36" si="3">L14-(2/1.42)</f>
        <v>45.070422535211272</v>
      </c>
      <c r="L14" s="42">
        <f>(G14-5)/1.42</f>
        <v>46.478873239436624</v>
      </c>
      <c r="M14" s="41">
        <f>L14+(6/1.42)</f>
        <v>50.70422535211268</v>
      </c>
      <c r="N14" s="43">
        <v>14</v>
      </c>
      <c r="O14" s="44" t="s">
        <v>89</v>
      </c>
      <c r="P14" s="44">
        <v>11.2</v>
      </c>
      <c r="Q14" s="157">
        <v>129</v>
      </c>
      <c r="R14" s="157"/>
      <c r="S14" s="157">
        <v>93770519</v>
      </c>
      <c r="T14" s="45">
        <f t="shared" ref="T14:T36" si="4">IF(ISBLANK(S14),"-",S14-S13)</f>
        <v>4018</v>
      </c>
      <c r="U14" s="46">
        <f t="shared" ref="U14:U37" si="5">T14*24/1000</f>
        <v>96.432000000000002</v>
      </c>
      <c r="V14" s="46">
        <f t="shared" ref="V14:V37" si="6">T14/1000</f>
        <v>4.0179999999999998</v>
      </c>
      <c r="W14" s="96">
        <v>5.4</v>
      </c>
      <c r="X14" s="96">
        <f t="shared" si="1"/>
        <v>5.4</v>
      </c>
      <c r="Y14" s="97" t="s">
        <v>138</v>
      </c>
      <c r="Z14" s="158">
        <v>0</v>
      </c>
      <c r="AA14" s="158">
        <v>0</v>
      </c>
      <c r="AB14" s="158">
        <v>1187</v>
      </c>
      <c r="AC14" s="158">
        <v>1185</v>
      </c>
      <c r="AD14" s="158">
        <v>0</v>
      </c>
      <c r="AE14" s="158">
        <v>1185</v>
      </c>
      <c r="AF14" s="47" t="s">
        <v>90</v>
      </c>
      <c r="AG14" s="47" t="s">
        <v>90</v>
      </c>
      <c r="AH14" s="98" t="s">
        <v>90</v>
      </c>
      <c r="AI14" s="103">
        <v>15548884</v>
      </c>
      <c r="AJ14" s="45">
        <f t="shared" ref="AJ14:AJ36" si="7">IF(ISBLANK(AI14),"-",AI14-AI13)</f>
        <v>1160</v>
      </c>
      <c r="AK14" s="48">
        <f t="shared" ref="AK14:AK36" si="8">AJ14/V14</f>
        <v>288.70084619213543</v>
      </c>
      <c r="AL14" s="155">
        <v>0</v>
      </c>
      <c r="AM14" s="155">
        <v>0</v>
      </c>
      <c r="AN14" s="155">
        <v>1</v>
      </c>
      <c r="AO14" s="155">
        <v>1</v>
      </c>
      <c r="AP14" s="155">
        <v>0</v>
      </c>
      <c r="AQ14" s="155">
        <v>1</v>
      </c>
      <c r="AR14" s="155">
        <v>0.8</v>
      </c>
      <c r="AS14" s="158"/>
      <c r="AT14" s="158">
        <f t="shared" ref="AT14:AT35" si="9">AS14-AS13</f>
        <v>0</v>
      </c>
      <c r="AU14" s="119">
        <v>0.92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57">
        <v>43228</v>
      </c>
      <c r="B15" s="40">
        <v>2.0833333333333299</v>
      </c>
      <c r="C15" s="40">
        <v>0.125</v>
      </c>
      <c r="D15" s="156">
        <v>3</v>
      </c>
      <c r="E15" s="154">
        <f t="shared" si="2"/>
        <v>2.1126760563380285</v>
      </c>
      <c r="F15" s="154">
        <v>5</v>
      </c>
      <c r="G15" s="118">
        <v>70</v>
      </c>
      <c r="H15" s="154">
        <f t="shared" si="0"/>
        <v>49.295774647887328</v>
      </c>
      <c r="I15" s="154">
        <v>70</v>
      </c>
      <c r="J15" s="41" t="s">
        <v>88</v>
      </c>
      <c r="K15" s="41">
        <f t="shared" si="3"/>
        <v>44.366197183098592</v>
      </c>
      <c r="L15" s="42">
        <f>(G15-5)/1.42</f>
        <v>45.774647887323944</v>
      </c>
      <c r="M15" s="41">
        <f>L15+(6/1.42)</f>
        <v>50</v>
      </c>
      <c r="N15" s="43">
        <v>14</v>
      </c>
      <c r="O15" s="44" t="s">
        <v>89</v>
      </c>
      <c r="P15" s="44">
        <v>11.2</v>
      </c>
      <c r="Q15" s="157">
        <v>136</v>
      </c>
      <c r="R15" s="157"/>
      <c r="S15" s="157">
        <v>93774434</v>
      </c>
      <c r="T15" s="45">
        <f t="shared" si="4"/>
        <v>3915</v>
      </c>
      <c r="U15" s="46">
        <f t="shared" si="5"/>
        <v>93.96</v>
      </c>
      <c r="V15" s="46">
        <f t="shared" si="6"/>
        <v>3.915</v>
      </c>
      <c r="W15" s="96">
        <v>6.6</v>
      </c>
      <c r="X15" s="96">
        <f t="shared" si="1"/>
        <v>6.6</v>
      </c>
      <c r="Y15" s="97" t="s">
        <v>138</v>
      </c>
      <c r="Z15" s="158">
        <v>0</v>
      </c>
      <c r="AA15" s="158">
        <v>0</v>
      </c>
      <c r="AB15" s="158">
        <v>1187</v>
      </c>
      <c r="AC15" s="158">
        <v>1185</v>
      </c>
      <c r="AD15" s="158">
        <v>0</v>
      </c>
      <c r="AE15" s="158">
        <v>1185</v>
      </c>
      <c r="AF15" s="47" t="s">
        <v>90</v>
      </c>
      <c r="AG15" s="47" t="s">
        <v>90</v>
      </c>
      <c r="AH15" s="98" t="s">
        <v>90</v>
      </c>
      <c r="AI15" s="103">
        <v>15549992</v>
      </c>
      <c r="AJ15" s="45">
        <f t="shared" si="7"/>
        <v>1108</v>
      </c>
      <c r="AK15" s="48">
        <f t="shared" si="8"/>
        <v>283.01404853128992</v>
      </c>
      <c r="AL15" s="155">
        <v>0</v>
      </c>
      <c r="AM15" s="155">
        <v>0</v>
      </c>
      <c r="AN15" s="155">
        <v>1</v>
      </c>
      <c r="AO15" s="155">
        <v>1</v>
      </c>
      <c r="AP15" s="155">
        <v>0</v>
      </c>
      <c r="AQ15" s="155">
        <v>1</v>
      </c>
      <c r="AR15" s="155">
        <v>0.8</v>
      </c>
      <c r="AS15" s="158"/>
      <c r="AT15" s="158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357">
        <v>43228</v>
      </c>
      <c r="B16" s="40">
        <v>2.125</v>
      </c>
      <c r="C16" s="40">
        <v>0.16666666666666699</v>
      </c>
      <c r="D16" s="156">
        <v>3</v>
      </c>
      <c r="E16" s="154">
        <f t="shared" si="2"/>
        <v>2.1126760563380285</v>
      </c>
      <c r="F16" s="154">
        <v>6</v>
      </c>
      <c r="G16" s="118">
        <v>71</v>
      </c>
      <c r="H16" s="154">
        <f t="shared" si="0"/>
        <v>50</v>
      </c>
      <c r="I16" s="154">
        <v>71</v>
      </c>
      <c r="J16" s="41" t="s">
        <v>88</v>
      </c>
      <c r="K16" s="41">
        <f t="shared" si="3"/>
        <v>45.070422535211272</v>
      </c>
      <c r="L16" s="42">
        <f>(G16-5)/1.42</f>
        <v>46.478873239436624</v>
      </c>
      <c r="M16" s="41">
        <f>L16+(6/1.42)</f>
        <v>50.70422535211268</v>
      </c>
      <c r="N16" s="43">
        <v>14</v>
      </c>
      <c r="O16" s="44" t="s">
        <v>89</v>
      </c>
      <c r="P16" s="44">
        <v>12.8</v>
      </c>
      <c r="Q16" s="157">
        <v>135</v>
      </c>
      <c r="R16" s="157"/>
      <c r="S16" s="157">
        <v>93778316</v>
      </c>
      <c r="T16" s="45">
        <f t="shared" si="4"/>
        <v>3882</v>
      </c>
      <c r="U16" s="46">
        <f t="shared" si="5"/>
        <v>93.168000000000006</v>
      </c>
      <c r="V16" s="46">
        <f t="shared" si="6"/>
        <v>3.8820000000000001</v>
      </c>
      <c r="W16" s="96">
        <v>8.1</v>
      </c>
      <c r="X16" s="96">
        <f t="shared" si="1"/>
        <v>8.1</v>
      </c>
      <c r="Y16" s="97" t="s">
        <v>138</v>
      </c>
      <c r="Z16" s="158">
        <v>0</v>
      </c>
      <c r="AA16" s="158">
        <v>0</v>
      </c>
      <c r="AB16" s="158">
        <v>1187</v>
      </c>
      <c r="AC16" s="158">
        <v>1185</v>
      </c>
      <c r="AD16" s="158">
        <v>0</v>
      </c>
      <c r="AE16" s="158">
        <v>1185</v>
      </c>
      <c r="AF16" s="47" t="s">
        <v>90</v>
      </c>
      <c r="AG16" s="47" t="s">
        <v>90</v>
      </c>
      <c r="AH16" s="98" t="s">
        <v>90</v>
      </c>
      <c r="AI16" s="103">
        <v>15551087</v>
      </c>
      <c r="AJ16" s="45">
        <f t="shared" si="7"/>
        <v>1095</v>
      </c>
      <c r="AK16" s="48">
        <f t="shared" si="8"/>
        <v>282.0710973724884</v>
      </c>
      <c r="AL16" s="155">
        <v>0</v>
      </c>
      <c r="AM16" s="155">
        <v>0</v>
      </c>
      <c r="AN16" s="155">
        <v>1</v>
      </c>
      <c r="AO16" s="155">
        <v>1</v>
      </c>
      <c r="AP16" s="155">
        <v>0</v>
      </c>
      <c r="AQ16" s="155">
        <v>1</v>
      </c>
      <c r="AR16" s="155">
        <v>0.8</v>
      </c>
      <c r="AS16" s="158"/>
      <c r="AT16" s="158">
        <f t="shared" si="9"/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357">
        <v>43228</v>
      </c>
      <c r="B17" s="40">
        <v>2.1666666666666701</v>
      </c>
      <c r="C17" s="40">
        <v>0.20833333333333301</v>
      </c>
      <c r="D17" s="156">
        <v>3</v>
      </c>
      <c r="E17" s="154">
        <f t="shared" si="2"/>
        <v>2.1126760563380285</v>
      </c>
      <c r="F17" s="154">
        <v>7</v>
      </c>
      <c r="G17" s="118">
        <v>79</v>
      </c>
      <c r="H17" s="154">
        <f t="shared" si="0"/>
        <v>55.633802816901408</v>
      </c>
      <c r="I17" s="154">
        <v>77</v>
      </c>
      <c r="J17" s="41" t="s">
        <v>88</v>
      </c>
      <c r="K17" s="41">
        <f t="shared" si="3"/>
        <v>50.70422535211268</v>
      </c>
      <c r="L17" s="42">
        <f>(G17-5)/1.42</f>
        <v>52.112676056338032</v>
      </c>
      <c r="M17" s="41">
        <f>L17+(6/1.42)</f>
        <v>56.338028169014088</v>
      </c>
      <c r="N17" s="43">
        <v>18</v>
      </c>
      <c r="O17" s="44" t="s">
        <v>89</v>
      </c>
      <c r="P17" s="44">
        <v>13.1</v>
      </c>
      <c r="Q17" s="157">
        <v>126</v>
      </c>
      <c r="R17" s="157"/>
      <c r="S17" s="157">
        <v>93782193</v>
      </c>
      <c r="T17" s="45">
        <f t="shared" si="4"/>
        <v>3877</v>
      </c>
      <c r="U17" s="46">
        <f t="shared" si="5"/>
        <v>93.048000000000002</v>
      </c>
      <c r="V17" s="46">
        <f t="shared" si="6"/>
        <v>3.8769999999999998</v>
      </c>
      <c r="W17" s="96">
        <v>9.5</v>
      </c>
      <c r="X17" s="96">
        <f t="shared" si="1"/>
        <v>9.5</v>
      </c>
      <c r="Y17" s="97" t="s">
        <v>138</v>
      </c>
      <c r="Z17" s="158">
        <v>0</v>
      </c>
      <c r="AA17" s="158">
        <v>0</v>
      </c>
      <c r="AB17" s="158">
        <v>1187</v>
      </c>
      <c r="AC17" s="158">
        <v>1185</v>
      </c>
      <c r="AD17" s="158">
        <v>0</v>
      </c>
      <c r="AE17" s="158">
        <v>1185</v>
      </c>
      <c r="AF17" s="47" t="s">
        <v>90</v>
      </c>
      <c r="AG17" s="47" t="s">
        <v>90</v>
      </c>
      <c r="AH17" s="98" t="s">
        <v>90</v>
      </c>
      <c r="AI17" s="103">
        <v>15552201</v>
      </c>
      <c r="AJ17" s="45">
        <f t="shared" si="7"/>
        <v>1114</v>
      </c>
      <c r="AK17" s="48">
        <f t="shared" si="8"/>
        <v>287.33556873871549</v>
      </c>
      <c r="AL17" s="155">
        <v>0</v>
      </c>
      <c r="AM17" s="155">
        <v>0</v>
      </c>
      <c r="AN17" s="155">
        <v>1</v>
      </c>
      <c r="AO17" s="155">
        <v>1</v>
      </c>
      <c r="AP17" s="155">
        <v>0</v>
      </c>
      <c r="AQ17" s="155">
        <v>1</v>
      </c>
      <c r="AR17" s="155">
        <v>0.8</v>
      </c>
      <c r="AS17" s="158"/>
      <c r="AT17" s="158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57">
        <v>43228</v>
      </c>
      <c r="B18" s="40">
        <v>2.2083333333333299</v>
      </c>
      <c r="C18" s="40">
        <v>0.25</v>
      </c>
      <c r="D18" s="156">
        <v>3</v>
      </c>
      <c r="E18" s="154">
        <f t="shared" si="2"/>
        <v>2.1126760563380285</v>
      </c>
      <c r="F18" s="154">
        <v>9</v>
      </c>
      <c r="G18" s="118">
        <v>80</v>
      </c>
      <c r="H18" s="154">
        <f t="shared" si="0"/>
        <v>56.338028169014088</v>
      </c>
      <c r="I18" s="154">
        <v>80</v>
      </c>
      <c r="J18" s="41" t="s">
        <v>88</v>
      </c>
      <c r="K18" s="41">
        <f t="shared" si="3"/>
        <v>54.929577464788736</v>
      </c>
      <c r="L18" s="42">
        <f t="shared" ref="L18:L27" si="10">G18/1.42</f>
        <v>56.338028169014088</v>
      </c>
      <c r="M18" s="41">
        <f>L18+1.42</f>
        <v>57.758028169014089</v>
      </c>
      <c r="N18" s="43">
        <v>19</v>
      </c>
      <c r="O18" s="44" t="s">
        <v>100</v>
      </c>
      <c r="P18" s="44">
        <v>13.1</v>
      </c>
      <c r="Q18" s="157">
        <v>124</v>
      </c>
      <c r="R18" s="157"/>
      <c r="S18" s="157">
        <v>93787053</v>
      </c>
      <c r="T18" s="45">
        <f t="shared" si="4"/>
        <v>4860</v>
      </c>
      <c r="U18" s="46">
        <f t="shared" si="5"/>
        <v>116.64</v>
      </c>
      <c r="V18" s="46">
        <f t="shared" si="6"/>
        <v>4.8600000000000003</v>
      </c>
      <c r="W18" s="96">
        <v>9.5</v>
      </c>
      <c r="X18" s="96">
        <f t="shared" si="1"/>
        <v>9.5</v>
      </c>
      <c r="Y18" s="97" t="s">
        <v>138</v>
      </c>
      <c r="Z18" s="158">
        <v>0</v>
      </c>
      <c r="AA18" s="158">
        <v>0</v>
      </c>
      <c r="AB18" s="158">
        <v>1187</v>
      </c>
      <c r="AC18" s="158">
        <v>1185</v>
      </c>
      <c r="AD18" s="158">
        <v>0</v>
      </c>
      <c r="AE18" s="158">
        <v>1185</v>
      </c>
      <c r="AF18" s="47" t="s">
        <v>90</v>
      </c>
      <c r="AG18" s="47" t="s">
        <v>90</v>
      </c>
      <c r="AH18" s="98" t="s">
        <v>90</v>
      </c>
      <c r="AI18" s="103">
        <v>15553315</v>
      </c>
      <c r="AJ18" s="45">
        <f t="shared" si="7"/>
        <v>1114</v>
      </c>
      <c r="AK18" s="48">
        <f t="shared" si="8"/>
        <v>229.21810699588477</v>
      </c>
      <c r="AL18" s="155">
        <v>0</v>
      </c>
      <c r="AM18" s="155">
        <v>0</v>
      </c>
      <c r="AN18" s="155">
        <v>1</v>
      </c>
      <c r="AO18" s="155">
        <v>1</v>
      </c>
      <c r="AP18" s="155">
        <v>0</v>
      </c>
      <c r="AQ18" s="155">
        <v>1</v>
      </c>
      <c r="AR18" s="155">
        <v>0</v>
      </c>
      <c r="AS18" s="158"/>
      <c r="AT18" s="158">
        <f t="shared" si="9"/>
        <v>0</v>
      </c>
      <c r="AU18" s="119">
        <v>0.99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57">
        <v>43228</v>
      </c>
      <c r="B19" s="40">
        <v>2.25</v>
      </c>
      <c r="C19" s="40">
        <v>0.29166666666666669</v>
      </c>
      <c r="D19" s="156">
        <v>3</v>
      </c>
      <c r="E19" s="154">
        <f t="shared" si="2"/>
        <v>2.1126760563380285</v>
      </c>
      <c r="F19" s="154">
        <v>8</v>
      </c>
      <c r="G19" s="118">
        <v>77</v>
      </c>
      <c r="H19" s="154">
        <f t="shared" si="0"/>
        <v>54.225352112676056</v>
      </c>
      <c r="I19" s="154">
        <v>79</v>
      </c>
      <c r="J19" s="41" t="s">
        <v>88</v>
      </c>
      <c r="K19" s="41">
        <f t="shared" si="3"/>
        <v>52.816901408450704</v>
      </c>
      <c r="L19" s="42">
        <f t="shared" si="10"/>
        <v>54.225352112676056</v>
      </c>
      <c r="M19" s="41">
        <f>L19+1.42</f>
        <v>55.645352112676058</v>
      </c>
      <c r="N19" s="43">
        <v>19</v>
      </c>
      <c r="O19" s="44" t="s">
        <v>100</v>
      </c>
      <c r="P19" s="44">
        <v>16.7</v>
      </c>
      <c r="Q19" s="157">
        <v>123</v>
      </c>
      <c r="R19" s="157"/>
      <c r="S19" s="157">
        <v>93791814</v>
      </c>
      <c r="T19" s="45">
        <f t="shared" si="4"/>
        <v>4761</v>
      </c>
      <c r="U19" s="46">
        <f t="shared" si="5"/>
        <v>114.264</v>
      </c>
      <c r="V19" s="46">
        <f t="shared" si="6"/>
        <v>4.7610000000000001</v>
      </c>
      <c r="W19" s="96">
        <v>8.8000000000000007</v>
      </c>
      <c r="X19" s="96">
        <f t="shared" si="1"/>
        <v>8.8000000000000007</v>
      </c>
      <c r="Y19" s="97" t="s">
        <v>169</v>
      </c>
      <c r="Z19" s="158">
        <v>0</v>
      </c>
      <c r="AA19" s="158">
        <v>1047</v>
      </c>
      <c r="AB19" s="158">
        <v>1187</v>
      </c>
      <c r="AC19" s="158">
        <v>1185</v>
      </c>
      <c r="AD19" s="158">
        <v>0</v>
      </c>
      <c r="AE19" s="158">
        <v>1187</v>
      </c>
      <c r="AF19" s="47" t="s">
        <v>90</v>
      </c>
      <c r="AG19" s="47" t="s">
        <v>90</v>
      </c>
      <c r="AH19" s="98" t="s">
        <v>90</v>
      </c>
      <c r="AI19" s="103">
        <v>15554532</v>
      </c>
      <c r="AJ19" s="45">
        <f t="shared" si="7"/>
        <v>1217</v>
      </c>
      <c r="AK19" s="48">
        <f t="shared" si="8"/>
        <v>255.61856752783029</v>
      </c>
      <c r="AL19" s="155">
        <v>0</v>
      </c>
      <c r="AM19" s="155">
        <v>1</v>
      </c>
      <c r="AN19" s="155">
        <v>1</v>
      </c>
      <c r="AO19" s="155">
        <v>1</v>
      </c>
      <c r="AP19" s="155">
        <v>0</v>
      </c>
      <c r="AQ19" s="155">
        <v>1</v>
      </c>
      <c r="AR19" s="155">
        <v>0</v>
      </c>
      <c r="AS19" s="158"/>
      <c r="AT19" s="158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57">
        <v>43228</v>
      </c>
      <c r="B20" s="40">
        <v>2.2916666666666701</v>
      </c>
      <c r="C20" s="40">
        <v>0.33333333333333298</v>
      </c>
      <c r="D20" s="156">
        <v>3</v>
      </c>
      <c r="E20" s="154">
        <f t="shared" si="2"/>
        <v>2.1126760563380285</v>
      </c>
      <c r="F20" s="154">
        <v>8</v>
      </c>
      <c r="G20" s="118">
        <v>76</v>
      </c>
      <c r="H20" s="154">
        <f t="shared" si="0"/>
        <v>53.521126760563384</v>
      </c>
      <c r="I20" s="154">
        <v>78</v>
      </c>
      <c r="J20" s="41" t="s">
        <v>88</v>
      </c>
      <c r="K20" s="41">
        <f t="shared" si="3"/>
        <v>52.112676056338032</v>
      </c>
      <c r="L20" s="42">
        <f t="shared" si="10"/>
        <v>53.521126760563384</v>
      </c>
      <c r="M20" s="41">
        <f t="shared" ref="M20:M24" si="11">L20+1.42</f>
        <v>54.941126760563385</v>
      </c>
      <c r="N20" s="43">
        <v>19</v>
      </c>
      <c r="O20" s="44" t="s">
        <v>100</v>
      </c>
      <c r="P20" s="44">
        <v>17.3</v>
      </c>
      <c r="Q20" s="157">
        <v>127</v>
      </c>
      <c r="R20" s="157"/>
      <c r="S20" s="157">
        <v>93796814</v>
      </c>
      <c r="T20" s="45">
        <f t="shared" si="4"/>
        <v>5000</v>
      </c>
      <c r="U20" s="46">
        <f>T20*24/1000</f>
        <v>120</v>
      </c>
      <c r="V20" s="46">
        <f t="shared" si="6"/>
        <v>5</v>
      </c>
      <c r="W20" s="96">
        <v>8.1</v>
      </c>
      <c r="X20" s="96">
        <f t="shared" si="1"/>
        <v>8.1</v>
      </c>
      <c r="Y20" s="97" t="s">
        <v>169</v>
      </c>
      <c r="Z20" s="158">
        <v>0</v>
      </c>
      <c r="AA20" s="158">
        <v>1047</v>
      </c>
      <c r="AB20" s="158">
        <v>1187</v>
      </c>
      <c r="AC20" s="158">
        <v>1185</v>
      </c>
      <c r="AD20" s="158">
        <v>0</v>
      </c>
      <c r="AE20" s="158">
        <v>1187</v>
      </c>
      <c r="AF20" s="47" t="s">
        <v>90</v>
      </c>
      <c r="AG20" s="47" t="s">
        <v>90</v>
      </c>
      <c r="AH20" s="98" t="s">
        <v>90</v>
      </c>
      <c r="AI20" s="103">
        <v>15555717</v>
      </c>
      <c r="AJ20" s="45">
        <f t="shared" si="7"/>
        <v>1185</v>
      </c>
      <c r="AK20" s="48">
        <f t="shared" si="8"/>
        <v>237</v>
      </c>
      <c r="AL20" s="155">
        <v>0</v>
      </c>
      <c r="AM20" s="155">
        <v>1</v>
      </c>
      <c r="AN20" s="155">
        <v>1</v>
      </c>
      <c r="AO20" s="155">
        <v>1</v>
      </c>
      <c r="AP20" s="155">
        <v>0</v>
      </c>
      <c r="AQ20" s="155">
        <v>1</v>
      </c>
      <c r="AR20" s="155">
        <v>0</v>
      </c>
      <c r="AS20" s="158"/>
      <c r="AT20" s="158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357">
        <v>43228</v>
      </c>
      <c r="B21" s="40">
        <v>2.3333333333333299</v>
      </c>
      <c r="C21" s="40">
        <v>0.375</v>
      </c>
      <c r="D21" s="156">
        <v>3</v>
      </c>
      <c r="E21" s="154">
        <f t="shared" si="2"/>
        <v>2.1126760563380285</v>
      </c>
      <c r="F21" s="154">
        <v>7</v>
      </c>
      <c r="G21" s="118">
        <v>76</v>
      </c>
      <c r="H21" s="154">
        <f t="shared" si="0"/>
        <v>53.521126760563384</v>
      </c>
      <c r="I21" s="154">
        <v>78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7">
        <v>127</v>
      </c>
      <c r="R21" s="157"/>
      <c r="S21" s="157">
        <v>93801254</v>
      </c>
      <c r="T21" s="45">
        <f t="shared" si="4"/>
        <v>4440</v>
      </c>
      <c r="U21" s="46">
        <f t="shared" si="5"/>
        <v>106.56</v>
      </c>
      <c r="V21" s="46">
        <f t="shared" si="6"/>
        <v>4.4400000000000004</v>
      </c>
      <c r="W21" s="96">
        <v>7.4</v>
      </c>
      <c r="X21" s="96">
        <f t="shared" si="1"/>
        <v>7.4</v>
      </c>
      <c r="Y21" s="97" t="s">
        <v>169</v>
      </c>
      <c r="Z21" s="158">
        <v>0</v>
      </c>
      <c r="AA21" s="158">
        <v>1087</v>
      </c>
      <c r="AB21" s="158">
        <v>1187</v>
      </c>
      <c r="AC21" s="158">
        <v>1185</v>
      </c>
      <c r="AD21" s="158">
        <v>0</v>
      </c>
      <c r="AE21" s="158">
        <v>1187</v>
      </c>
      <c r="AF21" s="47" t="s">
        <v>90</v>
      </c>
      <c r="AG21" s="47" t="s">
        <v>90</v>
      </c>
      <c r="AH21" s="98" t="s">
        <v>90</v>
      </c>
      <c r="AI21" s="103">
        <v>15556915</v>
      </c>
      <c r="AJ21" s="45">
        <f t="shared" si="7"/>
        <v>1198</v>
      </c>
      <c r="AK21" s="48">
        <f t="shared" si="8"/>
        <v>269.81981981981977</v>
      </c>
      <c r="AL21" s="155">
        <v>0</v>
      </c>
      <c r="AM21" s="155">
        <v>1</v>
      </c>
      <c r="AN21" s="155">
        <v>1</v>
      </c>
      <c r="AO21" s="155">
        <v>1</v>
      </c>
      <c r="AP21" s="155">
        <v>0</v>
      </c>
      <c r="AQ21" s="155">
        <v>1</v>
      </c>
      <c r="AR21" s="155">
        <v>0</v>
      </c>
      <c r="AS21" s="158"/>
      <c r="AT21" s="158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205</v>
      </c>
    </row>
    <row r="22" spans="1:54" x14ac:dyDescent="0.35">
      <c r="A22" s="357">
        <v>43228</v>
      </c>
      <c r="B22" s="40">
        <v>2.375</v>
      </c>
      <c r="C22" s="40">
        <v>0.41666666666666669</v>
      </c>
      <c r="D22" s="156">
        <v>3</v>
      </c>
      <c r="E22" s="154">
        <f t="shared" si="2"/>
        <v>2.1126760563380285</v>
      </c>
      <c r="F22" s="154">
        <v>7</v>
      </c>
      <c r="G22" s="118">
        <v>75</v>
      </c>
      <c r="H22" s="154">
        <f t="shared" si="0"/>
        <v>52.816901408450704</v>
      </c>
      <c r="I22" s="154">
        <v>77</v>
      </c>
      <c r="J22" s="41" t="s">
        <v>88</v>
      </c>
      <c r="K22" s="41">
        <f t="shared" si="3"/>
        <v>51.408450704225352</v>
      </c>
      <c r="L22" s="42">
        <f t="shared" si="10"/>
        <v>52.816901408450704</v>
      </c>
      <c r="M22" s="41">
        <f t="shared" si="11"/>
        <v>54.236901408450706</v>
      </c>
      <c r="N22" s="43">
        <v>19</v>
      </c>
      <c r="O22" s="44" t="s">
        <v>100</v>
      </c>
      <c r="P22" s="44">
        <v>17.7</v>
      </c>
      <c r="Q22" s="157">
        <v>127</v>
      </c>
      <c r="R22" s="157"/>
      <c r="S22" s="157">
        <v>93805643</v>
      </c>
      <c r="T22" s="45">
        <f t="shared" si="4"/>
        <v>4389</v>
      </c>
      <c r="U22" s="46">
        <f t="shared" si="5"/>
        <v>105.336</v>
      </c>
      <c r="V22" s="46">
        <f t="shared" si="6"/>
        <v>4.3890000000000002</v>
      </c>
      <c r="W22" s="96">
        <v>6.7</v>
      </c>
      <c r="X22" s="96">
        <f t="shared" si="1"/>
        <v>6.7</v>
      </c>
      <c r="Y22" s="97" t="s">
        <v>169</v>
      </c>
      <c r="Z22" s="158">
        <v>0</v>
      </c>
      <c r="AA22" s="158">
        <v>1047</v>
      </c>
      <c r="AB22" s="158">
        <v>1187</v>
      </c>
      <c r="AC22" s="158">
        <v>1185</v>
      </c>
      <c r="AD22" s="158">
        <v>0</v>
      </c>
      <c r="AE22" s="158">
        <v>1187</v>
      </c>
      <c r="AF22" s="47" t="s">
        <v>90</v>
      </c>
      <c r="AG22" s="47" t="s">
        <v>90</v>
      </c>
      <c r="AH22" s="98" t="s">
        <v>90</v>
      </c>
      <c r="AI22" s="103">
        <v>15558130</v>
      </c>
      <c r="AJ22" s="45">
        <f t="shared" si="7"/>
        <v>1215</v>
      </c>
      <c r="AK22" s="48">
        <f t="shared" si="8"/>
        <v>276.82843472317154</v>
      </c>
      <c r="AL22" s="155">
        <v>0</v>
      </c>
      <c r="AM22" s="155">
        <v>1</v>
      </c>
      <c r="AN22" s="155">
        <v>1</v>
      </c>
      <c r="AO22" s="155">
        <v>1</v>
      </c>
      <c r="AP22" s="155">
        <v>0</v>
      </c>
      <c r="AQ22" s="155">
        <v>1</v>
      </c>
      <c r="AR22" s="155">
        <v>0</v>
      </c>
      <c r="AS22" s="158"/>
      <c r="AT22" s="158">
        <f t="shared" si="9"/>
        <v>0</v>
      </c>
      <c r="AU22" s="119">
        <v>1</v>
      </c>
      <c r="AV22" s="50" t="s">
        <v>125</v>
      </c>
      <c r="BB22" s="136" t="s">
        <v>157</v>
      </c>
    </row>
    <row r="23" spans="1:54" x14ac:dyDescent="0.35">
      <c r="A23" s="357">
        <v>43228</v>
      </c>
      <c r="B23" s="40">
        <v>2.4166666666666701</v>
      </c>
      <c r="C23" s="40">
        <v>0.45833333333333298</v>
      </c>
      <c r="D23" s="156">
        <v>3</v>
      </c>
      <c r="E23" s="154">
        <f t="shared" si="2"/>
        <v>2.1126760563380285</v>
      </c>
      <c r="F23" s="154">
        <v>6</v>
      </c>
      <c r="G23" s="118">
        <v>75</v>
      </c>
      <c r="H23" s="154">
        <f t="shared" si="0"/>
        <v>52.816901408450704</v>
      </c>
      <c r="I23" s="154">
        <v>77</v>
      </c>
      <c r="J23" s="41" t="s">
        <v>88</v>
      </c>
      <c r="K23" s="41">
        <f t="shared" si="3"/>
        <v>51.408450704225352</v>
      </c>
      <c r="L23" s="42">
        <f t="shared" si="10"/>
        <v>52.816901408450704</v>
      </c>
      <c r="M23" s="41">
        <f t="shared" si="11"/>
        <v>54.236901408450706</v>
      </c>
      <c r="N23" s="43">
        <v>19</v>
      </c>
      <c r="O23" s="44" t="s">
        <v>100</v>
      </c>
      <c r="P23" s="44">
        <v>17.7</v>
      </c>
      <c r="Q23" s="157">
        <v>128</v>
      </c>
      <c r="R23" s="157"/>
      <c r="S23" s="157">
        <v>93810000</v>
      </c>
      <c r="T23" s="45">
        <f t="shared" si="4"/>
        <v>4357</v>
      </c>
      <c r="U23" s="46">
        <f t="shared" si="5"/>
        <v>104.568</v>
      </c>
      <c r="V23" s="46">
        <f t="shared" si="6"/>
        <v>4.3570000000000002</v>
      </c>
      <c r="W23" s="96">
        <v>6</v>
      </c>
      <c r="X23" s="96">
        <f>W23</f>
        <v>6</v>
      </c>
      <c r="Y23" s="97" t="s">
        <v>169</v>
      </c>
      <c r="Z23" s="158">
        <v>0</v>
      </c>
      <c r="AA23" s="158">
        <v>1047</v>
      </c>
      <c r="AB23" s="158">
        <v>1187</v>
      </c>
      <c r="AC23" s="158">
        <v>1185</v>
      </c>
      <c r="AD23" s="158">
        <v>0</v>
      </c>
      <c r="AE23" s="158">
        <v>1187</v>
      </c>
      <c r="AF23" s="47" t="s">
        <v>90</v>
      </c>
      <c r="AG23" s="47" t="s">
        <v>90</v>
      </c>
      <c r="AH23" s="98" t="s">
        <v>90</v>
      </c>
      <c r="AI23" s="103">
        <v>15559252</v>
      </c>
      <c r="AJ23" s="45">
        <f t="shared" si="7"/>
        <v>1122</v>
      </c>
      <c r="AK23" s="48">
        <f t="shared" si="8"/>
        <v>257.51663988983245</v>
      </c>
      <c r="AL23" s="155">
        <v>0</v>
      </c>
      <c r="AM23" s="155">
        <v>1</v>
      </c>
      <c r="AN23" s="155">
        <v>1</v>
      </c>
      <c r="AO23" s="155">
        <v>1</v>
      </c>
      <c r="AP23" s="155">
        <v>0</v>
      </c>
      <c r="AQ23" s="155">
        <v>1</v>
      </c>
      <c r="AR23" s="155">
        <v>0</v>
      </c>
      <c r="AS23" s="158"/>
      <c r="AT23" s="158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357">
        <v>43228</v>
      </c>
      <c r="B24" s="40">
        <v>2.4583333333333299</v>
      </c>
      <c r="C24" s="40">
        <v>0.5</v>
      </c>
      <c r="D24" s="156">
        <v>3</v>
      </c>
      <c r="E24" s="154">
        <f t="shared" si="2"/>
        <v>2.1126760563380285</v>
      </c>
      <c r="F24" s="154">
        <v>6</v>
      </c>
      <c r="G24" s="118">
        <v>75</v>
      </c>
      <c r="H24" s="154">
        <f t="shared" si="0"/>
        <v>52.816901408450704</v>
      </c>
      <c r="I24" s="154">
        <v>76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7">
        <v>124</v>
      </c>
      <c r="R24" s="157"/>
      <c r="S24" s="157">
        <v>93813390</v>
      </c>
      <c r="T24" s="45">
        <f t="shared" si="4"/>
        <v>3390</v>
      </c>
      <c r="U24" s="46">
        <f>T24*24/1000</f>
        <v>81.36</v>
      </c>
      <c r="V24" s="46">
        <f t="shared" si="6"/>
        <v>3.39</v>
      </c>
      <c r="W24" s="96">
        <v>5.3</v>
      </c>
      <c r="X24" s="96">
        <f t="shared" si="1"/>
        <v>5.3</v>
      </c>
      <c r="Y24" s="97" t="s">
        <v>169</v>
      </c>
      <c r="Z24" s="158">
        <v>0</v>
      </c>
      <c r="AA24" s="158">
        <v>1047</v>
      </c>
      <c r="AB24" s="158">
        <v>1187</v>
      </c>
      <c r="AC24" s="158">
        <v>1185</v>
      </c>
      <c r="AD24" s="158">
        <v>0</v>
      </c>
      <c r="AE24" s="158">
        <v>1187</v>
      </c>
      <c r="AF24" s="47" t="s">
        <v>90</v>
      </c>
      <c r="AG24" s="47" t="s">
        <v>90</v>
      </c>
      <c r="AH24" s="98" t="s">
        <v>90</v>
      </c>
      <c r="AI24" s="103">
        <v>15560529</v>
      </c>
      <c r="AJ24" s="45">
        <f t="shared" si="7"/>
        <v>1277</v>
      </c>
      <c r="AK24" s="48">
        <f t="shared" si="8"/>
        <v>376.69616519174042</v>
      </c>
      <c r="AL24" s="155">
        <v>0</v>
      </c>
      <c r="AM24" s="155">
        <v>1</v>
      </c>
      <c r="AN24" s="155">
        <v>1</v>
      </c>
      <c r="AO24" s="155">
        <v>1</v>
      </c>
      <c r="AP24" s="155">
        <v>0</v>
      </c>
      <c r="AQ24" s="155">
        <v>1</v>
      </c>
      <c r="AR24" s="155">
        <v>0</v>
      </c>
      <c r="AS24" s="158"/>
      <c r="AT24" s="158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357">
        <v>43228</v>
      </c>
      <c r="B25" s="40">
        <v>2.5</v>
      </c>
      <c r="C25" s="40">
        <v>0.54166666666666696</v>
      </c>
      <c r="D25" s="156">
        <v>3</v>
      </c>
      <c r="E25" s="154">
        <f t="shared" si="2"/>
        <v>2.1126760563380285</v>
      </c>
      <c r="F25" s="154">
        <v>5</v>
      </c>
      <c r="G25" s="118">
        <v>72</v>
      </c>
      <c r="H25" s="154">
        <f t="shared" si="0"/>
        <v>50.70422535211268</v>
      </c>
      <c r="I25" s="154">
        <v>76</v>
      </c>
      <c r="J25" s="41" t="s">
        <v>88</v>
      </c>
      <c r="K25" s="41">
        <f t="shared" si="3"/>
        <v>49.295774647887328</v>
      </c>
      <c r="L25" s="42">
        <f t="shared" si="10"/>
        <v>50.70422535211268</v>
      </c>
      <c r="M25" s="41">
        <f>L25+(6/1.42)</f>
        <v>54.929577464788736</v>
      </c>
      <c r="N25" s="43">
        <v>19</v>
      </c>
      <c r="O25" s="44" t="s">
        <v>100</v>
      </c>
      <c r="P25" s="44">
        <v>17.5</v>
      </c>
      <c r="Q25" s="157">
        <v>117</v>
      </c>
      <c r="R25" s="157"/>
      <c r="S25" s="157">
        <v>93816921</v>
      </c>
      <c r="T25" s="45">
        <f t="shared" si="4"/>
        <v>3531</v>
      </c>
      <c r="U25" s="46">
        <f>T25*24/1000</f>
        <v>84.744</v>
      </c>
      <c r="V25" s="46">
        <f t="shared" si="6"/>
        <v>3.5310000000000001</v>
      </c>
      <c r="W25" s="96">
        <v>4.5999999999999996</v>
      </c>
      <c r="X25" s="96">
        <f t="shared" si="1"/>
        <v>4.5999999999999996</v>
      </c>
      <c r="Y25" s="97" t="s">
        <v>169</v>
      </c>
      <c r="Z25" s="158">
        <v>0</v>
      </c>
      <c r="AA25" s="158">
        <v>1047</v>
      </c>
      <c r="AB25" s="158">
        <v>1187</v>
      </c>
      <c r="AC25" s="158">
        <v>1185</v>
      </c>
      <c r="AD25" s="158">
        <v>0</v>
      </c>
      <c r="AE25" s="158">
        <v>1187</v>
      </c>
      <c r="AF25" s="47" t="s">
        <v>90</v>
      </c>
      <c r="AG25" s="47" t="s">
        <v>90</v>
      </c>
      <c r="AH25" s="98" t="s">
        <v>90</v>
      </c>
      <c r="AI25" s="103">
        <v>15561709</v>
      </c>
      <c r="AJ25" s="45">
        <f t="shared" si="7"/>
        <v>1180</v>
      </c>
      <c r="AK25" s="48">
        <f t="shared" si="8"/>
        <v>334.18295100538091</v>
      </c>
      <c r="AL25" s="155">
        <v>0</v>
      </c>
      <c r="AM25" s="155">
        <v>1</v>
      </c>
      <c r="AN25" s="155">
        <v>1</v>
      </c>
      <c r="AO25" s="155">
        <v>1</v>
      </c>
      <c r="AP25" s="155">
        <v>0</v>
      </c>
      <c r="AQ25" s="155">
        <v>1</v>
      </c>
      <c r="AR25" s="155">
        <v>0</v>
      </c>
      <c r="AS25" s="158"/>
      <c r="AT25" s="158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57">
        <v>43228</v>
      </c>
      <c r="B26" s="40">
        <v>2.5416666666666701</v>
      </c>
      <c r="C26" s="40">
        <v>0.58333333333333404</v>
      </c>
      <c r="D26" s="156">
        <v>3</v>
      </c>
      <c r="E26" s="154">
        <f t="shared" si="2"/>
        <v>2.1126760563380285</v>
      </c>
      <c r="F26" s="154">
        <v>3</v>
      </c>
      <c r="G26" s="118">
        <v>74</v>
      </c>
      <c r="H26" s="154">
        <f>G26/1.42</f>
        <v>52.112676056338032</v>
      </c>
      <c r="I26" s="154">
        <v>72</v>
      </c>
      <c r="J26" s="41" t="s">
        <v>88</v>
      </c>
      <c r="K26" s="41">
        <f t="shared" si="3"/>
        <v>50.70422535211268</v>
      </c>
      <c r="L26" s="42">
        <f t="shared" si="10"/>
        <v>52.112676056338032</v>
      </c>
      <c r="M26" s="41">
        <f t="shared" ref="M26:M36" si="12">L26+(6/1.42)</f>
        <v>56.338028169014088</v>
      </c>
      <c r="N26" s="43">
        <v>18</v>
      </c>
      <c r="O26" s="44" t="s">
        <v>100</v>
      </c>
      <c r="P26" s="44">
        <v>17.3</v>
      </c>
      <c r="Q26" s="157">
        <v>117</v>
      </c>
      <c r="R26" s="157"/>
      <c r="S26" s="157">
        <v>93820173</v>
      </c>
      <c r="T26" s="45">
        <f t="shared" si="4"/>
        <v>3252</v>
      </c>
      <c r="U26" s="46">
        <f t="shared" si="5"/>
        <v>78.048000000000002</v>
      </c>
      <c r="V26" s="46">
        <f t="shared" si="6"/>
        <v>3.2519999999999998</v>
      </c>
      <c r="W26" s="96">
        <v>3.9</v>
      </c>
      <c r="X26" s="96">
        <f t="shared" si="1"/>
        <v>3.9</v>
      </c>
      <c r="Y26" s="97" t="s">
        <v>169</v>
      </c>
      <c r="Z26" s="158">
        <v>0</v>
      </c>
      <c r="AA26" s="158">
        <v>1046</v>
      </c>
      <c r="AB26" s="158">
        <v>1186</v>
      </c>
      <c r="AC26" s="158">
        <v>1185</v>
      </c>
      <c r="AD26" s="158">
        <v>0</v>
      </c>
      <c r="AE26" s="158">
        <v>1185</v>
      </c>
      <c r="AF26" s="47" t="s">
        <v>90</v>
      </c>
      <c r="AG26" s="47" t="s">
        <v>90</v>
      </c>
      <c r="AH26" s="98" t="s">
        <v>90</v>
      </c>
      <c r="AI26" s="103">
        <v>15562886</v>
      </c>
      <c r="AJ26" s="45">
        <f t="shared" si="7"/>
        <v>1177</v>
      </c>
      <c r="AK26" s="48">
        <f t="shared" si="8"/>
        <v>361.93111931119313</v>
      </c>
      <c r="AL26" s="155">
        <v>0</v>
      </c>
      <c r="AM26" s="155">
        <v>1</v>
      </c>
      <c r="AN26" s="155">
        <v>1</v>
      </c>
      <c r="AO26" s="155">
        <v>1</v>
      </c>
      <c r="AP26" s="155">
        <v>0</v>
      </c>
      <c r="AQ26" s="155">
        <v>1</v>
      </c>
      <c r="AR26" s="155">
        <v>0</v>
      </c>
      <c r="AS26" s="158"/>
      <c r="AT26" s="158">
        <f t="shared" si="9"/>
        <v>0</v>
      </c>
      <c r="AU26" s="119">
        <v>0.98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57">
        <v>43228</v>
      </c>
      <c r="B27" s="40">
        <v>2.5833333333333299</v>
      </c>
      <c r="C27" s="40">
        <v>0.625</v>
      </c>
      <c r="D27" s="156">
        <v>3</v>
      </c>
      <c r="E27" s="154">
        <f t="shared" si="2"/>
        <v>2.1126760563380285</v>
      </c>
      <c r="F27" s="154">
        <v>1</v>
      </c>
      <c r="G27" s="118">
        <v>74</v>
      </c>
      <c r="H27" s="154">
        <f>G27/1.42</f>
        <v>52.112676056338032</v>
      </c>
      <c r="I27" s="154">
        <v>71</v>
      </c>
      <c r="J27" s="41" t="s">
        <v>88</v>
      </c>
      <c r="K27" s="41">
        <f t="shared" si="3"/>
        <v>50.70422535211268</v>
      </c>
      <c r="L27" s="42">
        <f t="shared" si="10"/>
        <v>52.112676056338032</v>
      </c>
      <c r="M27" s="41">
        <f t="shared" si="12"/>
        <v>56.338028169014088</v>
      </c>
      <c r="N27" s="43">
        <v>18</v>
      </c>
      <c r="O27" s="44" t="s">
        <v>100</v>
      </c>
      <c r="P27" s="44">
        <v>16.899999999999999</v>
      </c>
      <c r="Q27" s="157">
        <v>125</v>
      </c>
      <c r="R27" s="157"/>
      <c r="S27" s="157">
        <v>93823851</v>
      </c>
      <c r="T27" s="45">
        <f t="shared" si="4"/>
        <v>3678</v>
      </c>
      <c r="U27" s="46">
        <f t="shared" si="5"/>
        <v>88.272000000000006</v>
      </c>
      <c r="V27" s="46">
        <f t="shared" si="6"/>
        <v>3.6779999999999999</v>
      </c>
      <c r="W27" s="96">
        <v>3.2</v>
      </c>
      <c r="X27" s="96">
        <f t="shared" si="1"/>
        <v>3.2</v>
      </c>
      <c r="Y27" s="97" t="s">
        <v>169</v>
      </c>
      <c r="Z27" s="158">
        <v>0</v>
      </c>
      <c r="AA27" s="158">
        <v>1025</v>
      </c>
      <c r="AB27" s="158">
        <v>1187</v>
      </c>
      <c r="AC27" s="158">
        <v>1185</v>
      </c>
      <c r="AD27" s="158">
        <v>0</v>
      </c>
      <c r="AE27" s="158">
        <v>1185</v>
      </c>
      <c r="AF27" s="47" t="s">
        <v>90</v>
      </c>
      <c r="AG27" s="47" t="s">
        <v>90</v>
      </c>
      <c r="AH27" s="98" t="s">
        <v>90</v>
      </c>
      <c r="AI27" s="103">
        <v>15563992</v>
      </c>
      <c r="AJ27" s="45">
        <f t="shared" si="7"/>
        <v>1106</v>
      </c>
      <c r="AK27" s="48">
        <f t="shared" si="8"/>
        <v>300.7069059271343</v>
      </c>
      <c r="AL27" s="155">
        <v>0</v>
      </c>
      <c r="AM27" s="155">
        <v>1</v>
      </c>
      <c r="AN27" s="155">
        <v>1</v>
      </c>
      <c r="AO27" s="155">
        <v>1</v>
      </c>
      <c r="AP27" s="155">
        <v>0</v>
      </c>
      <c r="AQ27" s="155">
        <v>1</v>
      </c>
      <c r="AR27" s="155">
        <v>0</v>
      </c>
      <c r="AS27" s="158"/>
      <c r="AT27" s="158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57">
        <v>43228</v>
      </c>
      <c r="B28" s="40">
        <v>2.625</v>
      </c>
      <c r="C28" s="40">
        <v>0.66666666666666696</v>
      </c>
      <c r="D28" s="156">
        <v>3</v>
      </c>
      <c r="E28" s="154">
        <f t="shared" si="2"/>
        <v>2.1126760563380285</v>
      </c>
      <c r="F28" s="154">
        <v>0</v>
      </c>
      <c r="G28" s="118">
        <v>73</v>
      </c>
      <c r="H28" s="154">
        <f t="shared" si="0"/>
        <v>51.408450704225352</v>
      </c>
      <c r="I28" s="154">
        <v>72</v>
      </c>
      <c r="J28" s="41" t="s">
        <v>88</v>
      </c>
      <c r="K28" s="41">
        <f t="shared" si="3"/>
        <v>47.887323943661976</v>
      </c>
      <c r="L28" s="42">
        <f>(G28-3)/1.42</f>
        <v>49.295774647887328</v>
      </c>
      <c r="M28" s="41">
        <f t="shared" si="12"/>
        <v>53.521126760563384</v>
      </c>
      <c r="N28" s="43">
        <v>18</v>
      </c>
      <c r="O28" s="44" t="s">
        <v>100</v>
      </c>
      <c r="P28" s="44">
        <v>16.7</v>
      </c>
      <c r="Q28" s="157">
        <v>125</v>
      </c>
      <c r="R28" s="157"/>
      <c r="S28" s="157">
        <v>93827725</v>
      </c>
      <c r="T28" s="45">
        <f t="shared" si="4"/>
        <v>3874</v>
      </c>
      <c r="U28" s="46">
        <f t="shared" si="5"/>
        <v>92.975999999999999</v>
      </c>
      <c r="V28" s="46">
        <f t="shared" si="6"/>
        <v>3.8740000000000001</v>
      </c>
      <c r="W28" s="96">
        <v>2.9</v>
      </c>
      <c r="X28" s="96">
        <f t="shared" si="1"/>
        <v>2.9</v>
      </c>
      <c r="Y28" s="97" t="s">
        <v>169</v>
      </c>
      <c r="Z28" s="158">
        <v>0</v>
      </c>
      <c r="AA28" s="158">
        <v>1015</v>
      </c>
      <c r="AB28" s="158">
        <v>1187</v>
      </c>
      <c r="AC28" s="158">
        <v>1185</v>
      </c>
      <c r="AD28" s="158">
        <v>0</v>
      </c>
      <c r="AE28" s="158">
        <v>1185</v>
      </c>
      <c r="AF28" s="47" t="s">
        <v>90</v>
      </c>
      <c r="AG28" s="47" t="s">
        <v>90</v>
      </c>
      <c r="AH28" s="98" t="s">
        <v>90</v>
      </c>
      <c r="AI28" s="103">
        <v>15565147</v>
      </c>
      <c r="AJ28" s="45">
        <f>IF(ISBLANK(AI28),"-",AI28-AI27)</f>
        <v>1155</v>
      </c>
      <c r="AK28" s="48">
        <f t="shared" si="8"/>
        <v>298.14145585957664</v>
      </c>
      <c r="AL28" s="155">
        <v>0</v>
      </c>
      <c r="AM28" s="155">
        <v>1</v>
      </c>
      <c r="AN28" s="155">
        <v>1</v>
      </c>
      <c r="AO28" s="155">
        <v>1</v>
      </c>
      <c r="AP28" s="155">
        <v>0</v>
      </c>
      <c r="AQ28" s="155">
        <v>1</v>
      </c>
      <c r="AR28" s="155">
        <v>0</v>
      </c>
      <c r="AS28" s="158"/>
      <c r="AT28" s="158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357">
        <v>43228</v>
      </c>
      <c r="B29" s="40">
        <v>2.6666666666666701</v>
      </c>
      <c r="C29" s="40">
        <v>0.70833333333333404</v>
      </c>
      <c r="D29" s="156">
        <v>3</v>
      </c>
      <c r="E29" s="154">
        <f t="shared" si="2"/>
        <v>2.1126760563380285</v>
      </c>
      <c r="F29" s="154">
        <v>-2</v>
      </c>
      <c r="G29" s="118">
        <v>73</v>
      </c>
      <c r="H29" s="154">
        <f t="shared" si="0"/>
        <v>51.408450704225352</v>
      </c>
      <c r="I29" s="154">
        <v>71</v>
      </c>
      <c r="J29" s="41" t="s">
        <v>88</v>
      </c>
      <c r="K29" s="41">
        <f t="shared" si="3"/>
        <v>47.887323943661976</v>
      </c>
      <c r="L29" s="42">
        <f t="shared" ref="L29:L34" si="13">(G29-3)/1.42</f>
        <v>49.295774647887328</v>
      </c>
      <c r="M29" s="41">
        <f t="shared" si="12"/>
        <v>53.521126760563384</v>
      </c>
      <c r="N29" s="43">
        <v>18</v>
      </c>
      <c r="O29" s="44" t="s">
        <v>100</v>
      </c>
      <c r="P29" s="44">
        <v>16.7</v>
      </c>
      <c r="Q29" s="157">
        <v>128</v>
      </c>
      <c r="R29" s="157"/>
      <c r="S29" s="157">
        <v>93832010</v>
      </c>
      <c r="T29" s="45">
        <f t="shared" si="4"/>
        <v>4285</v>
      </c>
      <c r="U29" s="46">
        <f t="shared" si="5"/>
        <v>102.84</v>
      </c>
      <c r="V29" s="46">
        <f t="shared" si="6"/>
        <v>4.2850000000000001</v>
      </c>
      <c r="W29" s="96">
        <v>2.4</v>
      </c>
      <c r="X29" s="96">
        <f t="shared" si="1"/>
        <v>2.4</v>
      </c>
      <c r="Y29" s="97" t="s">
        <v>169</v>
      </c>
      <c r="Z29" s="158">
        <v>0</v>
      </c>
      <c r="AA29" s="158">
        <v>1005</v>
      </c>
      <c r="AB29" s="158">
        <v>1187</v>
      </c>
      <c r="AC29" s="158">
        <v>1185</v>
      </c>
      <c r="AD29" s="158">
        <v>0</v>
      </c>
      <c r="AE29" s="158">
        <v>1185</v>
      </c>
      <c r="AF29" s="47" t="s">
        <v>90</v>
      </c>
      <c r="AG29" s="47" t="s">
        <v>90</v>
      </c>
      <c r="AH29" s="98" t="s">
        <v>90</v>
      </c>
      <c r="AI29" s="103">
        <v>15566424</v>
      </c>
      <c r="AJ29" s="45">
        <f t="shared" si="7"/>
        <v>1277</v>
      </c>
      <c r="AK29" s="48">
        <f>AJ28/V29</f>
        <v>269.54492415402564</v>
      </c>
      <c r="AL29" s="155">
        <v>0</v>
      </c>
      <c r="AM29" s="155">
        <v>1</v>
      </c>
      <c r="AN29" s="155">
        <v>1</v>
      </c>
      <c r="AO29" s="155">
        <v>1</v>
      </c>
      <c r="AP29" s="155">
        <v>0</v>
      </c>
      <c r="AQ29" s="155">
        <v>1</v>
      </c>
      <c r="AR29" s="155">
        <v>0</v>
      </c>
      <c r="AS29" s="158"/>
      <c r="AT29" s="158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357">
        <v>43228</v>
      </c>
      <c r="B30" s="40">
        <v>2.7083333333333299</v>
      </c>
      <c r="C30" s="40">
        <v>0.750000000000002</v>
      </c>
      <c r="D30" s="156">
        <v>3</v>
      </c>
      <c r="E30" s="154">
        <f t="shared" si="2"/>
        <v>2.1126760563380285</v>
      </c>
      <c r="F30" s="154">
        <v>-3</v>
      </c>
      <c r="G30" s="118">
        <v>73</v>
      </c>
      <c r="H30" s="154">
        <f t="shared" si="0"/>
        <v>51.408450704225352</v>
      </c>
      <c r="I30" s="154">
        <v>70</v>
      </c>
      <c r="J30" s="41" t="s">
        <v>88</v>
      </c>
      <c r="K30" s="41">
        <f t="shared" si="3"/>
        <v>47.887323943661976</v>
      </c>
      <c r="L30" s="42">
        <f t="shared" si="13"/>
        <v>49.295774647887328</v>
      </c>
      <c r="M30" s="41">
        <f t="shared" si="12"/>
        <v>53.521126760563384</v>
      </c>
      <c r="N30" s="43">
        <v>18</v>
      </c>
      <c r="O30" s="44" t="s">
        <v>100</v>
      </c>
      <c r="P30" s="44">
        <v>16.7</v>
      </c>
      <c r="Q30" s="157">
        <v>130</v>
      </c>
      <c r="R30" s="157"/>
      <c r="S30" s="157">
        <v>93835981</v>
      </c>
      <c r="T30" s="45">
        <f t="shared" si="4"/>
        <v>3971</v>
      </c>
      <c r="U30" s="46">
        <f t="shared" si="5"/>
        <v>95.304000000000002</v>
      </c>
      <c r="V30" s="46">
        <f t="shared" si="6"/>
        <v>3.9710000000000001</v>
      </c>
      <c r="W30" s="96">
        <v>2.1</v>
      </c>
      <c r="X30" s="96">
        <f t="shared" si="1"/>
        <v>2.1</v>
      </c>
      <c r="Y30" s="97" t="s">
        <v>169</v>
      </c>
      <c r="Z30" s="158">
        <v>0</v>
      </c>
      <c r="AA30" s="158">
        <v>1005</v>
      </c>
      <c r="AB30" s="158">
        <v>1187</v>
      </c>
      <c r="AC30" s="158">
        <v>1185</v>
      </c>
      <c r="AD30" s="158">
        <v>0</v>
      </c>
      <c r="AE30" s="158">
        <v>1185</v>
      </c>
      <c r="AF30" s="47" t="s">
        <v>90</v>
      </c>
      <c r="AG30" s="47" t="s">
        <v>90</v>
      </c>
      <c r="AH30" s="98" t="s">
        <v>90</v>
      </c>
      <c r="AI30" s="103">
        <v>15567468</v>
      </c>
      <c r="AJ30" s="45">
        <f t="shared" si="7"/>
        <v>1044</v>
      </c>
      <c r="AK30" s="48">
        <f>AJ29/V30</f>
        <v>321.58146562578696</v>
      </c>
      <c r="AL30" s="155">
        <v>0</v>
      </c>
      <c r="AM30" s="155">
        <v>1</v>
      </c>
      <c r="AN30" s="155">
        <v>1</v>
      </c>
      <c r="AO30" s="155">
        <v>1</v>
      </c>
      <c r="AP30" s="155">
        <v>0</v>
      </c>
      <c r="AQ30" s="155">
        <v>1</v>
      </c>
      <c r="AR30" s="155">
        <v>0</v>
      </c>
      <c r="AS30" s="158"/>
      <c r="AT30" s="158">
        <f t="shared" si="9"/>
        <v>0</v>
      </c>
      <c r="AU30" s="159">
        <v>1.03</v>
      </c>
      <c r="AV30" s="50" t="s">
        <v>124</v>
      </c>
      <c r="AY30" s="55" t="s">
        <v>114</v>
      </c>
      <c r="AZ30" s="55">
        <v>101.325</v>
      </c>
      <c r="BB30" s="74" t="s">
        <v>143</v>
      </c>
    </row>
    <row r="31" spans="1:54" x14ac:dyDescent="0.35">
      <c r="A31" s="357">
        <v>43228</v>
      </c>
      <c r="B31" s="40">
        <v>2.75</v>
      </c>
      <c r="C31" s="40">
        <v>0.79166666666666896</v>
      </c>
      <c r="D31" s="156">
        <v>3</v>
      </c>
      <c r="E31" s="154">
        <f t="shared" si="2"/>
        <v>2.1126760563380285</v>
      </c>
      <c r="F31" s="154">
        <v>-4</v>
      </c>
      <c r="G31" s="118">
        <v>72</v>
      </c>
      <c r="H31" s="154">
        <f t="shared" si="0"/>
        <v>50.70422535211268</v>
      </c>
      <c r="I31" s="154">
        <v>71</v>
      </c>
      <c r="J31" s="41" t="s">
        <v>88</v>
      </c>
      <c r="K31" s="41">
        <f t="shared" si="3"/>
        <v>47.183098591549296</v>
      </c>
      <c r="L31" s="42">
        <f t="shared" si="13"/>
        <v>48.591549295774648</v>
      </c>
      <c r="M31" s="41">
        <f t="shared" si="12"/>
        <v>52.816901408450704</v>
      </c>
      <c r="N31" s="43">
        <v>18</v>
      </c>
      <c r="O31" s="44" t="s">
        <v>100</v>
      </c>
      <c r="P31" s="44">
        <v>16.600000000000001</v>
      </c>
      <c r="Q31" s="157">
        <v>131</v>
      </c>
      <c r="R31" s="157"/>
      <c r="S31" s="157">
        <v>93840371</v>
      </c>
      <c r="T31" s="45">
        <f t="shared" si="4"/>
        <v>4390</v>
      </c>
      <c r="U31" s="46">
        <f t="shared" si="5"/>
        <v>105.36</v>
      </c>
      <c r="V31" s="46">
        <f t="shared" si="6"/>
        <v>4.3899999999999997</v>
      </c>
      <c r="W31" s="96">
        <v>1.9</v>
      </c>
      <c r="X31" s="96">
        <f t="shared" si="1"/>
        <v>1.9</v>
      </c>
      <c r="Y31" s="97" t="s">
        <v>169</v>
      </c>
      <c r="Z31" s="158">
        <v>0</v>
      </c>
      <c r="AA31" s="158">
        <v>1006</v>
      </c>
      <c r="AB31" s="158">
        <v>1187</v>
      </c>
      <c r="AC31" s="158">
        <v>1185</v>
      </c>
      <c r="AD31" s="158">
        <v>0</v>
      </c>
      <c r="AE31" s="158">
        <v>1185</v>
      </c>
      <c r="AF31" s="47" t="s">
        <v>90</v>
      </c>
      <c r="AG31" s="47" t="s">
        <v>90</v>
      </c>
      <c r="AH31" s="98" t="s">
        <v>90</v>
      </c>
      <c r="AI31" s="103">
        <v>15568669</v>
      </c>
      <c r="AJ31" s="45">
        <f t="shared" si="7"/>
        <v>1201</v>
      </c>
      <c r="AK31" s="48">
        <f t="shared" si="8"/>
        <v>273.57630979498862</v>
      </c>
      <c r="AL31" s="155">
        <v>0</v>
      </c>
      <c r="AM31" s="155">
        <v>1</v>
      </c>
      <c r="AN31" s="155">
        <v>1</v>
      </c>
      <c r="AO31" s="155">
        <v>1</v>
      </c>
      <c r="AP31" s="155">
        <v>0</v>
      </c>
      <c r="AQ31" s="155">
        <v>1</v>
      </c>
      <c r="AR31" s="155">
        <v>0</v>
      </c>
      <c r="AS31" s="158"/>
      <c r="AT31" s="158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357">
        <v>43228</v>
      </c>
      <c r="B32" s="40">
        <v>2.7916666666666701</v>
      </c>
      <c r="C32" s="40">
        <v>0.83333333333333703</v>
      </c>
      <c r="D32" s="156">
        <v>3</v>
      </c>
      <c r="E32" s="154">
        <f t="shared" si="2"/>
        <v>2.1126760563380285</v>
      </c>
      <c r="F32" s="154">
        <v>-4</v>
      </c>
      <c r="G32" s="118">
        <v>73</v>
      </c>
      <c r="H32" s="154">
        <f t="shared" si="0"/>
        <v>51.408450704225352</v>
      </c>
      <c r="I32" s="154">
        <v>72</v>
      </c>
      <c r="J32" s="41" t="s">
        <v>88</v>
      </c>
      <c r="K32" s="41">
        <f t="shared" si="3"/>
        <v>47.887323943661976</v>
      </c>
      <c r="L32" s="42">
        <f t="shared" si="13"/>
        <v>49.295774647887328</v>
      </c>
      <c r="M32" s="41">
        <f t="shared" si="12"/>
        <v>53.521126760563384</v>
      </c>
      <c r="N32" s="43">
        <v>18</v>
      </c>
      <c r="O32" s="44" t="s">
        <v>100</v>
      </c>
      <c r="P32" s="44">
        <v>16.600000000000001</v>
      </c>
      <c r="Q32" s="157">
        <v>130</v>
      </c>
      <c r="R32" s="157"/>
      <c r="S32" s="157">
        <v>93844550</v>
      </c>
      <c r="T32" s="45">
        <f t="shared" si="4"/>
        <v>4179</v>
      </c>
      <c r="U32" s="46">
        <f t="shared" si="5"/>
        <v>100.29600000000001</v>
      </c>
      <c r="V32" s="46">
        <f t="shared" si="6"/>
        <v>4.1790000000000003</v>
      </c>
      <c r="W32" s="96">
        <v>1.5</v>
      </c>
      <c r="X32" s="96">
        <f t="shared" si="1"/>
        <v>1.5</v>
      </c>
      <c r="Y32" s="97" t="s">
        <v>169</v>
      </c>
      <c r="Z32" s="158">
        <v>0</v>
      </c>
      <c r="AA32" s="158">
        <v>1005</v>
      </c>
      <c r="AB32" s="158">
        <v>1187</v>
      </c>
      <c r="AC32" s="158">
        <v>1185</v>
      </c>
      <c r="AD32" s="158">
        <v>0</v>
      </c>
      <c r="AE32" s="158">
        <v>1185</v>
      </c>
      <c r="AF32" s="47" t="s">
        <v>90</v>
      </c>
      <c r="AG32" s="47" t="s">
        <v>90</v>
      </c>
      <c r="AH32" s="98" t="s">
        <v>90</v>
      </c>
      <c r="AI32" s="103">
        <v>15569844</v>
      </c>
      <c r="AJ32" s="45">
        <f t="shared" si="7"/>
        <v>1175</v>
      </c>
      <c r="AK32" s="48">
        <f t="shared" si="8"/>
        <v>281.16774347930124</v>
      </c>
      <c r="AL32" s="155">
        <v>0</v>
      </c>
      <c r="AM32" s="155">
        <v>1</v>
      </c>
      <c r="AN32" s="155">
        <v>1</v>
      </c>
      <c r="AO32" s="155">
        <v>1</v>
      </c>
      <c r="AP32" s="155">
        <v>0</v>
      </c>
      <c r="AQ32" s="155">
        <v>1</v>
      </c>
      <c r="AR32" s="155">
        <v>0</v>
      </c>
      <c r="AS32" s="158"/>
      <c r="AT32" s="158">
        <v>0</v>
      </c>
      <c r="AU32" s="49"/>
      <c r="AV32" s="50" t="s">
        <v>124</v>
      </c>
      <c r="AY32" s="308" t="s">
        <v>115</v>
      </c>
      <c r="AZ32" s="308"/>
      <c r="BB32" s="74" t="s">
        <v>156</v>
      </c>
    </row>
    <row r="33" spans="1:54" x14ac:dyDescent="0.35">
      <c r="A33" s="357">
        <v>43228</v>
      </c>
      <c r="B33" s="40">
        <v>2.8333333333333299</v>
      </c>
      <c r="C33" s="40">
        <v>0.875</v>
      </c>
      <c r="D33" s="156">
        <v>3</v>
      </c>
      <c r="E33" s="154">
        <f t="shared" si="2"/>
        <v>2.1126760563380285</v>
      </c>
      <c r="F33" s="154">
        <v>-3</v>
      </c>
      <c r="G33" s="118">
        <v>72</v>
      </c>
      <c r="H33" s="154">
        <f t="shared" si="0"/>
        <v>50.70422535211268</v>
      </c>
      <c r="I33" s="154">
        <v>70</v>
      </c>
      <c r="J33" s="41" t="s">
        <v>88</v>
      </c>
      <c r="K33" s="41">
        <f t="shared" si="3"/>
        <v>47.183098591549296</v>
      </c>
      <c r="L33" s="42">
        <f t="shared" si="13"/>
        <v>48.591549295774648</v>
      </c>
      <c r="M33" s="41">
        <f t="shared" si="12"/>
        <v>52.816901408450704</v>
      </c>
      <c r="N33" s="43">
        <v>18</v>
      </c>
      <c r="O33" s="44" t="s">
        <v>100</v>
      </c>
      <c r="P33" s="44">
        <v>16.100000000000001</v>
      </c>
      <c r="Q33" s="157">
        <v>133</v>
      </c>
      <c r="R33" s="157"/>
      <c r="S33" s="157">
        <v>93849025</v>
      </c>
      <c r="T33" s="45">
        <f t="shared" si="4"/>
        <v>4475</v>
      </c>
      <c r="U33" s="46">
        <f t="shared" si="5"/>
        <v>107.4</v>
      </c>
      <c r="V33" s="46">
        <f t="shared" si="6"/>
        <v>4.4749999999999996</v>
      </c>
      <c r="W33" s="96">
        <v>1.4</v>
      </c>
      <c r="X33" s="96">
        <f t="shared" si="1"/>
        <v>1.4</v>
      </c>
      <c r="Y33" s="97" t="s">
        <v>169</v>
      </c>
      <c r="Z33" s="158">
        <v>0</v>
      </c>
      <c r="AA33" s="158">
        <v>1005</v>
      </c>
      <c r="AB33" s="158">
        <v>1187</v>
      </c>
      <c r="AC33" s="158">
        <v>1185</v>
      </c>
      <c r="AD33" s="158">
        <v>0</v>
      </c>
      <c r="AE33" s="158">
        <v>1185</v>
      </c>
      <c r="AF33" s="47" t="s">
        <v>90</v>
      </c>
      <c r="AG33" s="47" t="s">
        <v>90</v>
      </c>
      <c r="AH33" s="98" t="s">
        <v>90</v>
      </c>
      <c r="AI33" s="103">
        <v>15570940</v>
      </c>
      <c r="AJ33" s="45">
        <f t="shared" si="7"/>
        <v>1096</v>
      </c>
      <c r="AK33" s="48">
        <f t="shared" si="8"/>
        <v>244.91620111731845</v>
      </c>
      <c r="AL33" s="155">
        <v>0</v>
      </c>
      <c r="AM33" s="155">
        <v>0</v>
      </c>
      <c r="AN33" s="155">
        <v>1</v>
      </c>
      <c r="AO33" s="155">
        <v>1</v>
      </c>
      <c r="AP33" s="155">
        <v>0</v>
      </c>
      <c r="AQ33" s="155">
        <v>1</v>
      </c>
      <c r="AR33" s="155">
        <v>0</v>
      </c>
      <c r="AS33" s="158"/>
      <c r="AT33" s="158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57">
        <v>43228</v>
      </c>
      <c r="B34" s="40">
        <v>2.875</v>
      </c>
      <c r="C34" s="40">
        <v>0.91666666666667096</v>
      </c>
      <c r="D34" s="156">
        <v>3</v>
      </c>
      <c r="E34" s="154">
        <f t="shared" si="2"/>
        <v>2.1126760563380285</v>
      </c>
      <c r="F34" s="154">
        <v>-2</v>
      </c>
      <c r="G34" s="118">
        <v>74</v>
      </c>
      <c r="H34" s="154">
        <f t="shared" si="0"/>
        <v>52.112676056338032</v>
      </c>
      <c r="I34" s="154">
        <v>70</v>
      </c>
      <c r="J34" s="41" t="s">
        <v>88</v>
      </c>
      <c r="K34" s="41">
        <f t="shared" si="3"/>
        <v>48.591549295774648</v>
      </c>
      <c r="L34" s="42">
        <f t="shared" si="13"/>
        <v>50</v>
      </c>
      <c r="M34" s="41">
        <f t="shared" si="12"/>
        <v>54.225352112676056</v>
      </c>
      <c r="N34" s="43">
        <v>14</v>
      </c>
      <c r="O34" s="44" t="s">
        <v>116</v>
      </c>
      <c r="P34" s="44">
        <v>12.6</v>
      </c>
      <c r="Q34" s="157">
        <v>130</v>
      </c>
      <c r="R34" s="157"/>
      <c r="S34" s="157">
        <v>93853285</v>
      </c>
      <c r="T34" s="45">
        <f t="shared" si="4"/>
        <v>4260</v>
      </c>
      <c r="U34" s="46">
        <f t="shared" si="5"/>
        <v>102.24</v>
      </c>
      <c r="V34" s="46">
        <f t="shared" si="6"/>
        <v>4.26</v>
      </c>
      <c r="W34" s="96">
        <v>1.4</v>
      </c>
      <c r="X34" s="96">
        <f t="shared" si="1"/>
        <v>1.4</v>
      </c>
      <c r="Y34" s="97" t="s">
        <v>138</v>
      </c>
      <c r="Z34" s="158">
        <v>0</v>
      </c>
      <c r="AA34" s="158">
        <v>0</v>
      </c>
      <c r="AB34" s="158">
        <v>1187</v>
      </c>
      <c r="AC34" s="158">
        <v>1185</v>
      </c>
      <c r="AD34" s="158">
        <v>0</v>
      </c>
      <c r="AE34" s="158">
        <v>1185</v>
      </c>
      <c r="AF34" s="47" t="s">
        <v>90</v>
      </c>
      <c r="AG34" s="47" t="s">
        <v>90</v>
      </c>
      <c r="AH34" s="98" t="s">
        <v>90</v>
      </c>
      <c r="AI34" s="103">
        <v>15571977</v>
      </c>
      <c r="AJ34" s="45">
        <f t="shared" si="7"/>
        <v>1037</v>
      </c>
      <c r="AK34" s="48">
        <f t="shared" si="8"/>
        <v>243.42723004694838</v>
      </c>
      <c r="AL34" s="155">
        <v>0</v>
      </c>
      <c r="AM34" s="155">
        <v>0</v>
      </c>
      <c r="AN34" s="155">
        <v>1</v>
      </c>
      <c r="AO34" s="155">
        <v>1</v>
      </c>
      <c r="AP34" s="155">
        <v>0</v>
      </c>
      <c r="AQ34" s="155">
        <v>1</v>
      </c>
      <c r="AR34" s="155">
        <v>0</v>
      </c>
      <c r="AS34" s="158"/>
      <c r="AT34" s="158">
        <f>AS34-AS33</f>
        <v>0</v>
      </c>
      <c r="AU34" s="119">
        <v>1.01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357">
        <v>43228</v>
      </c>
      <c r="B35" s="40">
        <v>2.9166666666666701</v>
      </c>
      <c r="C35" s="40">
        <v>0.95833333333333803</v>
      </c>
      <c r="D35" s="156">
        <v>3</v>
      </c>
      <c r="E35" s="154">
        <f t="shared" si="2"/>
        <v>2.1126760563380285</v>
      </c>
      <c r="F35" s="154">
        <v>-1</v>
      </c>
      <c r="G35" s="118">
        <v>74</v>
      </c>
      <c r="H35" s="154">
        <f t="shared" si="0"/>
        <v>52.112676056338032</v>
      </c>
      <c r="I35" s="154">
        <v>71</v>
      </c>
      <c r="J35" s="41" t="s">
        <v>88</v>
      </c>
      <c r="K35" s="41">
        <f>L35-(2/1.42)</f>
        <v>47.183098591549296</v>
      </c>
      <c r="L35" s="42">
        <f>(G35-5)/1.42</f>
        <v>48.591549295774648</v>
      </c>
      <c r="M35" s="41">
        <f t="shared" si="12"/>
        <v>52.816901408450704</v>
      </c>
      <c r="N35" s="43">
        <v>14</v>
      </c>
      <c r="O35" s="44" t="s">
        <v>116</v>
      </c>
      <c r="P35" s="44">
        <v>11.9</v>
      </c>
      <c r="Q35" s="157">
        <v>138</v>
      </c>
      <c r="R35" s="157"/>
      <c r="S35" s="157">
        <v>93857515</v>
      </c>
      <c r="T35" s="45">
        <f t="shared" si="4"/>
        <v>4230</v>
      </c>
      <c r="U35" s="46">
        <f t="shared" si="5"/>
        <v>101.52</v>
      </c>
      <c r="V35" s="46">
        <f t="shared" si="6"/>
        <v>4.2300000000000004</v>
      </c>
      <c r="W35" s="96">
        <v>1.8</v>
      </c>
      <c r="X35" s="96">
        <f t="shared" si="1"/>
        <v>1.8</v>
      </c>
      <c r="Y35" s="97" t="s">
        <v>138</v>
      </c>
      <c r="Z35" s="158">
        <v>0</v>
      </c>
      <c r="AA35" s="158">
        <v>0</v>
      </c>
      <c r="AB35" s="158">
        <v>1187</v>
      </c>
      <c r="AC35" s="158">
        <v>1185</v>
      </c>
      <c r="AD35" s="158">
        <v>0</v>
      </c>
      <c r="AE35" s="158">
        <v>1185</v>
      </c>
      <c r="AF35" s="47" t="s">
        <v>90</v>
      </c>
      <c r="AG35" s="47" t="s">
        <v>90</v>
      </c>
      <c r="AH35" s="98" t="s">
        <v>90</v>
      </c>
      <c r="AI35" s="103">
        <v>15573082</v>
      </c>
      <c r="AJ35" s="45">
        <f t="shared" si="7"/>
        <v>1105</v>
      </c>
      <c r="AK35" s="48">
        <f t="shared" si="8"/>
        <v>261.22931442080375</v>
      </c>
      <c r="AL35" s="155">
        <v>0</v>
      </c>
      <c r="AM35" s="155">
        <v>0</v>
      </c>
      <c r="AN35" s="155">
        <v>1</v>
      </c>
      <c r="AO35" s="155">
        <v>1</v>
      </c>
      <c r="AP35" s="155">
        <v>0</v>
      </c>
      <c r="AQ35" s="155">
        <v>1</v>
      </c>
      <c r="AR35" s="155">
        <v>0.3</v>
      </c>
      <c r="AS35" s="158"/>
      <c r="AT35" s="158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357">
        <v>43228</v>
      </c>
      <c r="B36" s="40">
        <v>2.9583333333333299</v>
      </c>
      <c r="C36" s="40">
        <v>1</v>
      </c>
      <c r="D36" s="156">
        <v>3</v>
      </c>
      <c r="E36" s="154">
        <f t="shared" si="2"/>
        <v>2.1126760563380285</v>
      </c>
      <c r="F36" s="154">
        <v>0</v>
      </c>
      <c r="G36" s="118">
        <v>73</v>
      </c>
      <c r="H36" s="154">
        <f t="shared" si="0"/>
        <v>51.408450704225352</v>
      </c>
      <c r="I36" s="154">
        <v>70</v>
      </c>
      <c r="J36" s="41" t="s">
        <v>88</v>
      </c>
      <c r="K36" s="41">
        <f t="shared" si="3"/>
        <v>46.478873239436624</v>
      </c>
      <c r="L36" s="42">
        <f>(G36-5)/1.42</f>
        <v>47.887323943661976</v>
      </c>
      <c r="M36" s="41">
        <f t="shared" si="12"/>
        <v>52.112676056338032</v>
      </c>
      <c r="N36" s="43">
        <v>14</v>
      </c>
      <c r="O36" s="44" t="s">
        <v>116</v>
      </c>
      <c r="P36" s="58">
        <v>11.5</v>
      </c>
      <c r="Q36" s="157" t="s">
        <v>179</v>
      </c>
      <c r="R36" s="157"/>
      <c r="S36" s="157">
        <v>93861927</v>
      </c>
      <c r="T36" s="45">
        <f t="shared" si="4"/>
        <v>4412</v>
      </c>
      <c r="U36" s="46">
        <f t="shared" si="5"/>
        <v>105.88800000000001</v>
      </c>
      <c r="V36" s="46">
        <f t="shared" si="6"/>
        <v>4.4119999999999999</v>
      </c>
      <c r="W36" s="96">
        <v>2.8</v>
      </c>
      <c r="X36" s="96">
        <f t="shared" si="1"/>
        <v>2.8</v>
      </c>
      <c r="Y36" s="97" t="s">
        <v>138</v>
      </c>
      <c r="Z36" s="158">
        <v>0</v>
      </c>
      <c r="AA36" s="158">
        <v>0</v>
      </c>
      <c r="AB36" s="158">
        <v>1187</v>
      </c>
      <c r="AC36" s="158">
        <v>1185</v>
      </c>
      <c r="AD36" s="158">
        <v>0</v>
      </c>
      <c r="AE36" s="158">
        <v>1185</v>
      </c>
      <c r="AF36" s="47" t="s">
        <v>90</v>
      </c>
      <c r="AG36" s="47" t="s">
        <v>90</v>
      </c>
      <c r="AH36" s="98" t="s">
        <v>90</v>
      </c>
      <c r="AI36" s="103">
        <v>15574197</v>
      </c>
      <c r="AJ36" s="45">
        <f t="shared" si="7"/>
        <v>1115</v>
      </c>
      <c r="AK36" s="48">
        <f t="shared" si="8"/>
        <v>252.71985494106983</v>
      </c>
      <c r="AL36" s="155">
        <v>0</v>
      </c>
      <c r="AM36" s="155">
        <v>0</v>
      </c>
      <c r="AN36" s="155">
        <v>1</v>
      </c>
      <c r="AO36" s="155">
        <v>1</v>
      </c>
      <c r="AP36" s="155">
        <v>0</v>
      </c>
      <c r="AQ36" s="155">
        <v>1</v>
      </c>
      <c r="AR36" s="155">
        <v>0.3</v>
      </c>
      <c r="AS36" s="158"/>
      <c r="AT36" s="158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73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09" t="s">
        <v>118</v>
      </c>
      <c r="O37" s="310"/>
      <c r="P37" s="311"/>
      <c r="Q37" s="101"/>
      <c r="R37" s="101"/>
      <c r="S37" s="101"/>
      <c r="T37" s="60">
        <f>SUM(T13:T36)</f>
        <v>99388</v>
      </c>
      <c r="U37" s="46">
        <f t="shared" si="5"/>
        <v>2385.3119999999999</v>
      </c>
      <c r="V37" s="46">
        <f t="shared" si="6"/>
        <v>99.388000000000005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27576</v>
      </c>
      <c r="AK37" s="61">
        <f>$AJ$37/$V37</f>
        <v>277.45804322453415</v>
      </c>
      <c r="AL37" s="155"/>
      <c r="AM37" s="155"/>
      <c r="AN37" s="155"/>
      <c r="AO37" s="155"/>
      <c r="AP37" s="155"/>
      <c r="AQ37" s="155"/>
      <c r="AR37" s="62"/>
      <c r="AS37" s="63">
        <f>AS36-AS11</f>
        <v>0</v>
      </c>
      <c r="AT37" s="64">
        <f>SUM(AT13:AT36)</f>
        <v>0</v>
      </c>
      <c r="AU37" s="65">
        <f>AVERAGE(AU13:AU36)</f>
        <v>0.98833333333333329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7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8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8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4"/>
      <c r="D47" s="164"/>
      <c r="E47" s="164"/>
      <c r="F47" s="164"/>
      <c r="G47" s="164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71" t="s">
        <v>206</v>
      </c>
      <c r="C48" s="172"/>
      <c r="D48" s="172"/>
      <c r="E48" s="172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2" t="s">
        <v>152</v>
      </c>
      <c r="C49" s="170"/>
      <c r="D49" s="170"/>
      <c r="E49" s="170"/>
      <c r="F49" s="161"/>
      <c r="G49" s="161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32" t="s">
        <v>163</v>
      </c>
      <c r="C50" s="143"/>
      <c r="D50" s="143"/>
      <c r="E50" s="143"/>
      <c r="F50" s="130"/>
      <c r="G50" s="130"/>
      <c r="H50" s="160"/>
      <c r="I50" s="160"/>
      <c r="J50" s="160"/>
      <c r="K50" s="160"/>
      <c r="L50" s="160"/>
      <c r="M50" s="160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15" t="s">
        <v>164</v>
      </c>
      <c r="C51" s="143"/>
      <c r="D51" s="143"/>
      <c r="E51" s="143"/>
      <c r="F51" s="130"/>
      <c r="G51" s="130"/>
      <c r="H51" s="160"/>
      <c r="I51" s="160"/>
      <c r="J51" s="160"/>
      <c r="K51" s="160"/>
      <c r="L51" s="160"/>
      <c r="M51" s="160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2" t="s">
        <v>207</v>
      </c>
      <c r="C52" s="120"/>
      <c r="D52" s="115"/>
      <c r="E52" s="115"/>
      <c r="F52" s="115"/>
      <c r="G52" s="115"/>
      <c r="H52" s="160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2" t="s">
        <v>166</v>
      </c>
      <c r="C53" s="170"/>
      <c r="D53" s="170"/>
      <c r="E53" s="170"/>
      <c r="F53" s="170"/>
      <c r="G53" s="115"/>
      <c r="H53" s="115"/>
      <c r="I53" s="115"/>
      <c r="J53" s="115"/>
      <c r="K53" s="115"/>
      <c r="L53" s="115"/>
      <c r="M53" s="115"/>
      <c r="N53" s="163"/>
      <c r="O53" s="163"/>
      <c r="P53" s="163"/>
      <c r="Q53" s="163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2" t="s">
        <v>170</v>
      </c>
      <c r="C54" s="153"/>
      <c r="D54" s="170"/>
      <c r="E54" s="170"/>
      <c r="F54" s="170"/>
      <c r="G54" s="170"/>
      <c r="H54" s="170"/>
      <c r="I54" s="170"/>
      <c r="J54" s="169"/>
      <c r="K54" s="166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2" t="s">
        <v>171</v>
      </c>
      <c r="C55" s="115"/>
      <c r="D55" s="170"/>
      <c r="E55" s="153"/>
      <c r="F55" s="153"/>
      <c r="G55" s="153"/>
      <c r="H55" s="153"/>
      <c r="I55" s="153"/>
      <c r="J55" s="169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2" t="s">
        <v>172</v>
      </c>
      <c r="C56" s="115"/>
      <c r="D56" s="170"/>
      <c r="E56" s="153"/>
      <c r="F56" s="153"/>
      <c r="G56" s="153"/>
      <c r="H56" s="153"/>
      <c r="I56" s="153"/>
      <c r="J56" s="153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3" t="s">
        <v>208</v>
      </c>
      <c r="C57" s="170"/>
      <c r="D57" s="170"/>
      <c r="E57" s="153"/>
      <c r="F57" s="153"/>
      <c r="G57" s="153"/>
      <c r="H57" s="153"/>
      <c r="I57" s="153"/>
      <c r="J57" s="153"/>
      <c r="K57" s="166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2" t="s">
        <v>174</v>
      </c>
      <c r="C58" s="170"/>
      <c r="D58" s="170"/>
      <c r="E58" s="115"/>
      <c r="F58" s="115"/>
      <c r="G58" s="115"/>
      <c r="H58" s="115"/>
      <c r="I58" s="153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2" t="s">
        <v>195</v>
      </c>
      <c r="C59" s="170"/>
      <c r="D59" s="170"/>
      <c r="E59" s="153"/>
      <c r="F59" s="153"/>
      <c r="G59" s="153"/>
      <c r="H59" s="153"/>
      <c r="I59" s="153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2"/>
      <c r="C60" s="170"/>
      <c r="D60" s="223"/>
      <c r="E60" s="223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62"/>
      <c r="C61" s="153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32"/>
      <c r="C62" s="115"/>
      <c r="D62" s="100"/>
      <c r="E62" s="100"/>
      <c r="F62" s="115"/>
      <c r="G62" s="115"/>
      <c r="H62" s="92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2"/>
      <c r="C63" s="115"/>
      <c r="D63" s="166"/>
      <c r="E63" s="166"/>
      <c r="F63" s="166"/>
      <c r="G63" s="166"/>
      <c r="H63" s="166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53"/>
      <c r="C64" s="115"/>
      <c r="D64" s="100"/>
      <c r="E64" s="100"/>
      <c r="F64" s="115"/>
      <c r="G64" s="115"/>
      <c r="H64" s="92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6"/>
      <c r="E65" s="166"/>
      <c r="F65" s="166"/>
      <c r="G65" s="166"/>
      <c r="H65" s="166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AV65" s="86"/>
      <c r="AW65" s="86"/>
      <c r="AX65" s="86"/>
      <c r="AY65" s="86"/>
      <c r="AZ65" s="86"/>
      <c r="BA65" s="86"/>
      <c r="BB65" s="86"/>
    </row>
    <row r="66" spans="2:54" x14ac:dyDescent="0.35">
      <c r="B66" s="162"/>
      <c r="C66" s="115"/>
      <c r="D66" s="166"/>
      <c r="E66" s="166"/>
      <c r="F66" s="166"/>
      <c r="G66" s="166"/>
      <c r="H66" s="166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6"/>
      <c r="E67" s="166"/>
      <c r="F67" s="166"/>
      <c r="G67" s="166"/>
      <c r="H67" s="166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AF13:AH36 T13:V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Q17:R36 R13:R16" name="Range1_16_3_1_1_2_1"/>
    <protectedRange sqref="Q13:Q16 S13:S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4:W4" name="Range1_16_1_1_1_1_1_1_2_2_2_2_2_2_2_2_2_2_2_2_2_2_2_2_2_2_2_2_2_2_2_1_2_2_2_2_2_2_2_2_2_2_3_2_2_2_2_2_2_2_2_2_2_1_1_1_1_2_2_1_1_1_1_1_1_1_1_1_1_1_1_1_1_2"/>
    <protectedRange sqref="R3:W3" name="Range1_16_1_1_1_1_1_1_2_2_2_2_2_2_2_2_2_2_2_2_2_2_2_2_2_2_2_2_2_2_2_1_2_2_2_2_2_2_2_2_2_2_3_2_2_2_2_2_2_2_2_2_2_1_1_1_1_2_2_1_1_1_1_1_1_1_1_1_1_1_1_1_1_3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4"/>
    <protectedRange sqref="R5:W5" name="Range1_16_1_1_1_1_1_1_2_2_2_2_2_2_2_2_2_2_2_2_2_2_2_2_2_2_2_2_2_2_2_1_2_2_2_2_2_2_2_2_2_2_3_2_2_2_2_2_2_2_2_2_2_1_1_1_1_2_2_1_1_1_1_1_1_1_1_1_1_3_1_3_2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407" priority="5" operator="containsText" text="N/A">
      <formula>NOT(ISERROR(SEARCH("N/A",Z13)))</formula>
    </cfRule>
    <cfRule type="cellIs" dxfId="406" priority="17" operator="equal">
      <formula>0</formula>
    </cfRule>
  </conditionalFormatting>
  <conditionalFormatting sqref="Z13:AG36">
    <cfRule type="cellIs" dxfId="405" priority="16" operator="greaterThanOrEqual">
      <formula>1185</formula>
    </cfRule>
  </conditionalFormatting>
  <conditionalFormatting sqref="Z13:AG36">
    <cfRule type="cellIs" dxfId="404" priority="15" operator="between">
      <formula>0.1</formula>
      <formula>1184</formula>
    </cfRule>
  </conditionalFormatting>
  <conditionalFormatting sqref="Z8:Z9 AT13:AT36 AL37:AQ37 AL13:AR36">
    <cfRule type="cellIs" dxfId="403" priority="14" operator="equal">
      <formula>0</formula>
    </cfRule>
  </conditionalFormatting>
  <conditionalFormatting sqref="Z8:Z9 AT13:AT36 AL37:AQ37 AL13:AR36">
    <cfRule type="cellIs" dxfId="402" priority="13" operator="greaterThan">
      <formula>1179</formula>
    </cfRule>
  </conditionalFormatting>
  <conditionalFormatting sqref="Z8:Z9 AT13:AT36 AL37:AQ37 AL13:AR36">
    <cfRule type="cellIs" dxfId="401" priority="12" operator="greaterThan">
      <formula>99</formula>
    </cfRule>
  </conditionalFormatting>
  <conditionalFormatting sqref="Z8:Z9 AT13:AT36 AL37:AQ37 AL13:AR36">
    <cfRule type="cellIs" dxfId="400" priority="11" operator="greaterThan">
      <formula>0.99</formula>
    </cfRule>
  </conditionalFormatting>
  <conditionalFormatting sqref="AD8:AD9">
    <cfRule type="cellIs" dxfId="399" priority="10" operator="equal">
      <formula>0</formula>
    </cfRule>
  </conditionalFormatting>
  <conditionalFormatting sqref="AD8:AD9">
    <cfRule type="cellIs" dxfId="398" priority="9" operator="greaterThan">
      <formula>1179</formula>
    </cfRule>
  </conditionalFormatting>
  <conditionalFormatting sqref="AD8:AD9">
    <cfRule type="cellIs" dxfId="397" priority="8" operator="greaterThan">
      <formula>99</formula>
    </cfRule>
  </conditionalFormatting>
  <conditionalFormatting sqref="AD8:AD9">
    <cfRule type="cellIs" dxfId="396" priority="7" operator="greaterThan">
      <formula>0.99</formula>
    </cfRule>
  </conditionalFormatting>
  <conditionalFormatting sqref="AK13:AK36">
    <cfRule type="cellIs" dxfId="395" priority="6" operator="greaterThan">
      <formula>$AK$8</formula>
    </cfRule>
  </conditionalFormatting>
  <conditionalFormatting sqref="AS13:AS36">
    <cfRule type="containsText" dxfId="394" priority="1" operator="containsText" text="N/A">
      <formula>NOT(ISERROR(SEARCH("N/A",AS13)))</formula>
    </cfRule>
    <cfRule type="cellIs" dxfId="393" priority="4" operator="equal">
      <formula>0</formula>
    </cfRule>
  </conditionalFormatting>
  <conditionalFormatting sqref="AS13:AS36">
    <cfRule type="cellIs" dxfId="392" priority="3" operator="greaterThanOrEqual">
      <formula>1185</formula>
    </cfRule>
  </conditionalFormatting>
  <conditionalFormatting sqref="AS13:AS36">
    <cfRule type="cellIs" dxfId="391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700-000000000000}">
      <formula1>$AY$11:$AY$21</formula1>
    </dataValidation>
    <dataValidation type="list" allowBlank="1" showInputMessage="1" showErrorMessage="1" sqref="AS8:AT9 P11:P12 N11:N12 D8:E9 Q8:V9" xr:uid="{00000000-0002-0000-0700-000001000000}">
      <formula1>#REF!</formula1>
    </dataValidation>
    <dataValidation type="list" allowBlank="1" showInputMessage="1" showErrorMessage="1" sqref="AY33:AZ33" xr:uid="{00000000-0002-0000-0700-000002000000}">
      <formula1>$AY$26:$AY$30</formula1>
    </dataValidation>
    <dataValidation type="list" allowBlank="1" showInputMessage="1" showErrorMessage="1" sqref="R3:R5" xr:uid="{00000000-0002-0000-0700-000003000000}">
      <formula1>$BB$11:$BB$42</formula1>
    </dataValidation>
  </dataValidations>
  <hyperlinks>
    <hyperlink ref="J10:J11" location="'1'!AH8" display="Plant Status" xr:uid="{00000000-0004-0000-0700-000000000000}"/>
  </hyperlinks>
  <pageMargins left="0.7" right="0.7" top="0.75" bottom="0.75" header="0.3" footer="0.3"/>
  <pageSetup paperSize="9" orientation="portrait" horizont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rgb="FF7030A0"/>
  </sheetPr>
  <dimension ref="A2:BB88"/>
  <sheetViews>
    <sheetView zoomScaleNormal="100" workbookViewId="0">
      <selection activeCell="R5" sqref="R5:W5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47" t="s">
        <v>146</v>
      </c>
      <c r="S3" s="348"/>
      <c r="T3" s="348"/>
      <c r="U3" s="348"/>
      <c r="V3" s="348"/>
      <c r="W3" s="34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47" t="s">
        <v>147</v>
      </c>
      <c r="S4" s="348"/>
      <c r="T4" s="348"/>
      <c r="U4" s="348"/>
      <c r="V4" s="348"/>
      <c r="W4" s="34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47" t="s">
        <v>151</v>
      </c>
      <c r="S5" s="348"/>
      <c r="T5" s="348"/>
      <c r="U5" s="348"/>
      <c r="V5" s="348"/>
      <c r="W5" s="34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50" t="s">
        <v>6</v>
      </c>
      <c r="C6" s="351"/>
      <c r="D6" s="352" t="s">
        <v>7</v>
      </c>
      <c r="E6" s="353"/>
      <c r="F6" s="353"/>
      <c r="G6" s="353"/>
      <c r="H6" s="353"/>
      <c r="I6" s="353"/>
      <c r="J6" s="354"/>
      <c r="K6" s="87"/>
      <c r="L6" s="87"/>
      <c r="M6" s="211"/>
      <c r="N6" s="355">
        <v>41686</v>
      </c>
      <c r="O6" s="356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37" t="s">
        <v>8</v>
      </c>
      <c r="C7" s="338"/>
      <c r="D7" s="337" t="s">
        <v>9</v>
      </c>
      <c r="E7" s="339"/>
      <c r="F7" s="339"/>
      <c r="G7" s="339"/>
      <c r="H7" s="339"/>
      <c r="I7" s="338"/>
      <c r="J7" s="21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16" t="s">
        <v>14</v>
      </c>
      <c r="R7" s="337" t="s">
        <v>15</v>
      </c>
      <c r="S7" s="339"/>
      <c r="T7" s="339"/>
      <c r="U7" s="339"/>
      <c r="V7" s="338"/>
      <c r="W7" s="337" t="s">
        <v>16</v>
      </c>
      <c r="X7" s="338"/>
      <c r="Y7" s="99" t="s">
        <v>17</v>
      </c>
      <c r="Z7" s="337" t="s">
        <v>18</v>
      </c>
      <c r="AA7" s="338"/>
      <c r="AB7" s="337" t="s">
        <v>19</v>
      </c>
      <c r="AC7" s="338"/>
      <c r="AD7" s="337" t="s">
        <v>20</v>
      </c>
      <c r="AE7" s="338"/>
      <c r="AF7" s="337" t="s">
        <v>21</v>
      </c>
      <c r="AG7" s="338"/>
      <c r="AH7" s="99" t="s">
        <v>22</v>
      </c>
      <c r="AI7" s="99" t="s">
        <v>23</v>
      </c>
      <c r="AJ7" s="99" t="s">
        <v>24</v>
      </c>
      <c r="AK7" s="99" t="s">
        <v>25</v>
      </c>
      <c r="AL7" s="337" t="s">
        <v>26</v>
      </c>
      <c r="AM7" s="339"/>
      <c r="AN7" s="339"/>
      <c r="AO7" s="339"/>
      <c r="AP7" s="339"/>
      <c r="AQ7" s="338"/>
      <c r="AR7" s="337" t="s">
        <v>27</v>
      </c>
      <c r="AS7" s="339"/>
      <c r="AT7" s="33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40">
        <v>43229</v>
      </c>
      <c r="C8" s="341"/>
      <c r="D8" s="342" t="s">
        <v>29</v>
      </c>
      <c r="E8" s="343"/>
      <c r="F8" s="343"/>
      <c r="G8" s="343"/>
      <c r="H8" s="343"/>
      <c r="I8" s="344"/>
      <c r="J8" s="28"/>
      <c r="K8" s="342" t="s">
        <v>29</v>
      </c>
      <c r="L8" s="343"/>
      <c r="M8" s="34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42" t="s">
        <v>33</v>
      </c>
      <c r="X8" s="344"/>
      <c r="Y8" s="30" t="s">
        <v>34</v>
      </c>
      <c r="Z8" s="326">
        <v>0</v>
      </c>
      <c r="AA8" s="327"/>
      <c r="AB8" s="345" t="s">
        <v>35</v>
      </c>
      <c r="AC8" s="346"/>
      <c r="AD8" s="326">
        <v>1185</v>
      </c>
      <c r="AE8" s="327"/>
      <c r="AF8" s="328">
        <v>800</v>
      </c>
      <c r="AG8" s="329"/>
      <c r="AH8" s="28"/>
      <c r="AI8" s="30">
        <f>AI36-AI11</f>
        <v>27648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17"/>
      <c r="C9" s="218"/>
      <c r="D9" s="219"/>
      <c r="E9" s="220"/>
      <c r="F9" s="220"/>
      <c r="G9" s="220"/>
      <c r="H9" s="220"/>
      <c r="I9" s="221"/>
      <c r="J9" s="121"/>
      <c r="K9" s="219"/>
      <c r="L9" s="220"/>
      <c r="M9" s="221"/>
      <c r="N9" s="29"/>
      <c r="O9" s="29"/>
      <c r="P9" s="29"/>
      <c r="Q9" s="121"/>
      <c r="R9" s="121"/>
      <c r="S9" s="121"/>
      <c r="T9" s="122"/>
      <c r="U9" s="123"/>
      <c r="V9" s="124"/>
      <c r="W9" s="219"/>
      <c r="X9" s="221"/>
      <c r="Y9" s="30"/>
      <c r="Z9" s="214"/>
      <c r="AA9" s="125"/>
      <c r="AB9" s="126"/>
      <c r="AC9" s="126"/>
      <c r="AD9" s="125"/>
      <c r="AE9" s="125"/>
      <c r="AF9" s="127"/>
      <c r="AG9" s="215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30" t="s">
        <v>39</v>
      </c>
      <c r="C10" s="331"/>
      <c r="D10" s="330" t="s">
        <v>40</v>
      </c>
      <c r="E10" s="332"/>
      <c r="F10" s="331"/>
      <c r="G10" s="330" t="s">
        <v>41</v>
      </c>
      <c r="H10" s="332"/>
      <c r="I10" s="331"/>
      <c r="J10" s="333" t="s">
        <v>42</v>
      </c>
      <c r="K10" s="330" t="s">
        <v>43</v>
      </c>
      <c r="L10" s="332"/>
      <c r="M10" s="331"/>
      <c r="N10" s="99" t="s">
        <v>44</v>
      </c>
      <c r="O10" s="335" t="s">
        <v>45</v>
      </c>
      <c r="P10" s="33" t="s">
        <v>46</v>
      </c>
      <c r="Q10" s="324" t="s">
        <v>47</v>
      </c>
      <c r="R10" s="324" t="s">
        <v>48</v>
      </c>
      <c r="S10" s="34" t="s">
        <v>49</v>
      </c>
      <c r="T10" s="312" t="s">
        <v>50</v>
      </c>
      <c r="U10" s="313"/>
      <c r="V10" s="314"/>
      <c r="W10" s="212" t="s">
        <v>51</v>
      </c>
      <c r="X10" s="212" t="s">
        <v>52</v>
      </c>
      <c r="Y10" s="318" t="s">
        <v>53</v>
      </c>
      <c r="Z10" s="319" t="s">
        <v>54</v>
      </c>
      <c r="AA10" s="320"/>
      <c r="AB10" s="320"/>
      <c r="AC10" s="320"/>
      <c r="AD10" s="320"/>
      <c r="AE10" s="320"/>
      <c r="AF10" s="320"/>
      <c r="AG10" s="321"/>
      <c r="AH10" s="210" t="s">
        <v>55</v>
      </c>
      <c r="AI10" s="210" t="s">
        <v>56</v>
      </c>
      <c r="AJ10" s="307" t="s">
        <v>57</v>
      </c>
      <c r="AK10" s="322" t="s">
        <v>58</v>
      </c>
      <c r="AL10" s="212" t="s">
        <v>59</v>
      </c>
      <c r="AM10" s="212" t="s">
        <v>60</v>
      </c>
      <c r="AN10" s="212" t="s">
        <v>61</v>
      </c>
      <c r="AO10" s="212" t="s">
        <v>62</v>
      </c>
      <c r="AP10" s="212" t="s">
        <v>63</v>
      </c>
      <c r="AQ10" s="212" t="s">
        <v>123</v>
      </c>
      <c r="AR10" s="212" t="s">
        <v>64</v>
      </c>
      <c r="AS10" s="212" t="s">
        <v>65</v>
      </c>
      <c r="AT10" s="324" t="s">
        <v>66</v>
      </c>
      <c r="AU10" s="212" t="s">
        <v>67</v>
      </c>
      <c r="AV10" s="30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12" t="s">
        <v>72</v>
      </c>
      <c r="C11" s="212" t="s">
        <v>73</v>
      </c>
      <c r="D11" s="212" t="s">
        <v>74</v>
      </c>
      <c r="E11" s="212" t="s">
        <v>75</v>
      </c>
      <c r="F11" s="212" t="s">
        <v>126</v>
      </c>
      <c r="G11" s="212" t="s">
        <v>74</v>
      </c>
      <c r="H11" s="212" t="s">
        <v>75</v>
      </c>
      <c r="I11" s="212" t="s">
        <v>126</v>
      </c>
      <c r="J11" s="334"/>
      <c r="K11" s="212" t="s">
        <v>75</v>
      </c>
      <c r="L11" s="212" t="s">
        <v>75</v>
      </c>
      <c r="M11" s="212" t="s">
        <v>75</v>
      </c>
      <c r="N11" s="28" t="s">
        <v>29</v>
      </c>
      <c r="O11" s="336"/>
      <c r="P11" s="28" t="s">
        <v>29</v>
      </c>
      <c r="Q11" s="325"/>
      <c r="R11" s="325"/>
      <c r="S11" s="1">
        <f>'MAY 8'!S36</f>
        <v>93861927</v>
      </c>
      <c r="T11" s="315"/>
      <c r="U11" s="316"/>
      <c r="V11" s="317"/>
      <c r="W11" s="212" t="s">
        <v>75</v>
      </c>
      <c r="X11" s="212" t="s">
        <v>75</v>
      </c>
      <c r="Y11" s="31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'MAY 8'!AI36</f>
        <v>15574197</v>
      </c>
      <c r="AJ11" s="307"/>
      <c r="AK11" s="323"/>
      <c r="AL11" s="212" t="s">
        <v>84</v>
      </c>
      <c r="AM11" s="212" t="s">
        <v>84</v>
      </c>
      <c r="AN11" s="212" t="s">
        <v>84</v>
      </c>
      <c r="AO11" s="212" t="s">
        <v>84</v>
      </c>
      <c r="AP11" s="212" t="s">
        <v>84</v>
      </c>
      <c r="AQ11" s="212" t="s">
        <v>84</v>
      </c>
      <c r="AR11" s="212" t="s">
        <v>84</v>
      </c>
      <c r="AS11" s="1"/>
      <c r="AT11" s="325"/>
      <c r="AU11" s="213" t="s">
        <v>85</v>
      </c>
      <c r="AV11" s="307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283</v>
      </c>
      <c r="B12" s="305" t="s">
        <v>284</v>
      </c>
      <c r="C12" s="305" t="s">
        <v>285</v>
      </c>
      <c r="D12" s="305" t="s">
        <v>286</v>
      </c>
      <c r="E12" s="305" t="s">
        <v>287</v>
      </c>
      <c r="F12" s="305" t="s">
        <v>288</v>
      </c>
      <c r="G12" s="305" t="s">
        <v>289</v>
      </c>
      <c r="H12" s="305" t="s">
        <v>290</v>
      </c>
      <c r="I12" s="305" t="s">
        <v>291</v>
      </c>
      <c r="J12" s="297" t="s">
        <v>292</v>
      </c>
      <c r="K12" s="305" t="s">
        <v>293</v>
      </c>
      <c r="L12" s="305" t="s">
        <v>294</v>
      </c>
      <c r="M12" s="305" t="s">
        <v>295</v>
      </c>
      <c r="N12" s="28" t="s">
        <v>296</v>
      </c>
      <c r="O12" s="298" t="s">
        <v>297</v>
      </c>
      <c r="P12" s="28" t="s">
        <v>298</v>
      </c>
      <c r="Q12" s="300" t="s">
        <v>299</v>
      </c>
      <c r="R12" s="300" t="s">
        <v>300</v>
      </c>
      <c r="S12" s="1" t="s">
        <v>301</v>
      </c>
      <c r="T12" s="302" t="s">
        <v>302</v>
      </c>
      <c r="U12" s="303" t="s">
        <v>303</v>
      </c>
      <c r="V12" s="304" t="s">
        <v>304</v>
      </c>
      <c r="W12" s="305" t="s">
        <v>305</v>
      </c>
      <c r="X12" s="305" t="s">
        <v>306</v>
      </c>
      <c r="Y12" s="305" t="s">
        <v>307</v>
      </c>
      <c r="Z12" s="37" t="s">
        <v>308</v>
      </c>
      <c r="AA12" s="37" t="s">
        <v>309</v>
      </c>
      <c r="AB12" s="37" t="s">
        <v>310</v>
      </c>
      <c r="AC12" s="37" t="s">
        <v>311</v>
      </c>
      <c r="AD12" s="37" t="s">
        <v>312</v>
      </c>
      <c r="AE12" s="37" t="s">
        <v>313</v>
      </c>
      <c r="AF12" s="37" t="s">
        <v>314</v>
      </c>
      <c r="AG12" s="37" t="s">
        <v>315</v>
      </c>
      <c r="AH12" s="38" t="s">
        <v>316</v>
      </c>
      <c r="AI12" s="1" t="s">
        <v>317</v>
      </c>
      <c r="AJ12" s="301" t="s">
        <v>318</v>
      </c>
      <c r="AK12" s="306" t="s">
        <v>319</v>
      </c>
      <c r="AL12" s="305" t="s">
        <v>320</v>
      </c>
      <c r="AM12" s="305" t="s">
        <v>321</v>
      </c>
      <c r="AN12" s="305" t="s">
        <v>322</v>
      </c>
      <c r="AO12" s="305" t="s">
        <v>323</v>
      </c>
      <c r="AP12" s="305" t="s">
        <v>324</v>
      </c>
      <c r="AQ12" s="305" t="s">
        <v>325</v>
      </c>
      <c r="AR12" s="305" t="s">
        <v>326</v>
      </c>
      <c r="AS12" s="1" t="s">
        <v>327</v>
      </c>
      <c r="AT12" s="300" t="s">
        <v>328</v>
      </c>
      <c r="AU12" s="299" t="s">
        <v>329</v>
      </c>
      <c r="AV12" s="301"/>
      <c r="AY12" s="39"/>
      <c r="AZ12" s="39"/>
      <c r="BB12" s="136"/>
    </row>
    <row r="13" spans="1:54" x14ac:dyDescent="0.35">
      <c r="A13" s="357">
        <v>43229</v>
      </c>
      <c r="B13" s="40">
        <v>2</v>
      </c>
      <c r="C13" s="40">
        <v>4.1666666666666664E-2</v>
      </c>
      <c r="D13" s="156">
        <v>3</v>
      </c>
      <c r="E13" s="154">
        <f>D13/1.42</f>
        <v>2.1126760563380285</v>
      </c>
      <c r="F13" s="154">
        <v>3</v>
      </c>
      <c r="G13" s="118">
        <v>69</v>
      </c>
      <c r="H13" s="154">
        <f t="shared" ref="H13:H36" si="0">G13/1.42</f>
        <v>48.591549295774648</v>
      </c>
      <c r="I13" s="154">
        <v>69</v>
      </c>
      <c r="J13" s="41" t="s">
        <v>88</v>
      </c>
      <c r="K13" s="41">
        <f>L13-(2/1.42)</f>
        <v>43.661971830985919</v>
      </c>
      <c r="L13" s="42">
        <f>(G13-5)/1.42</f>
        <v>45.070422535211272</v>
      </c>
      <c r="M13" s="41">
        <f>L13+(6/1.42)</f>
        <v>49.295774647887328</v>
      </c>
      <c r="N13" s="43">
        <v>14</v>
      </c>
      <c r="O13" s="44" t="s">
        <v>89</v>
      </c>
      <c r="P13" s="44">
        <v>11.4</v>
      </c>
      <c r="Q13" s="157">
        <v>149</v>
      </c>
      <c r="R13" s="157"/>
      <c r="S13" s="157">
        <v>93866407</v>
      </c>
      <c r="T13" s="45">
        <f>IF(ISBLANK(S13),"-",S13-S11)</f>
        <v>4480</v>
      </c>
      <c r="U13" s="46">
        <f>T13*24/1000</f>
        <v>107.52</v>
      </c>
      <c r="V13" s="46">
        <f>T13/1000</f>
        <v>4.4800000000000004</v>
      </c>
      <c r="W13" s="96">
        <v>4.4000000000000004</v>
      </c>
      <c r="X13" s="96">
        <f t="shared" ref="X13:X36" si="1">W13</f>
        <v>4.4000000000000004</v>
      </c>
      <c r="Y13" s="97" t="s">
        <v>138</v>
      </c>
      <c r="Z13" s="158">
        <v>0</v>
      </c>
      <c r="AA13" s="158">
        <v>0</v>
      </c>
      <c r="AB13" s="158">
        <v>1187</v>
      </c>
      <c r="AC13" s="158">
        <v>1185</v>
      </c>
      <c r="AD13" s="158">
        <v>0</v>
      </c>
      <c r="AE13" s="158">
        <v>1185</v>
      </c>
      <c r="AF13" s="47" t="s">
        <v>90</v>
      </c>
      <c r="AG13" s="47" t="s">
        <v>90</v>
      </c>
      <c r="AH13" s="98" t="s">
        <v>90</v>
      </c>
      <c r="AI13" s="103">
        <v>15575334</v>
      </c>
      <c r="AJ13" s="45">
        <f>IF(ISBLANK(AI13),"-",AI13-AI11)</f>
        <v>1137</v>
      </c>
      <c r="AK13" s="48">
        <f>AJ13/V13</f>
        <v>253.79464285714283</v>
      </c>
      <c r="AL13" s="155">
        <v>0</v>
      </c>
      <c r="AM13" s="155">
        <v>0</v>
      </c>
      <c r="AN13" s="155">
        <v>1</v>
      </c>
      <c r="AO13" s="155">
        <v>1</v>
      </c>
      <c r="AP13" s="155">
        <v>0</v>
      </c>
      <c r="AQ13" s="155">
        <v>1</v>
      </c>
      <c r="AR13" s="155">
        <v>0.8</v>
      </c>
      <c r="AS13" s="158"/>
      <c r="AT13" s="158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357">
        <v>43229</v>
      </c>
      <c r="B14" s="40">
        <v>2.0416666666666701</v>
      </c>
      <c r="C14" s="40">
        <v>8.3333333333333329E-2</v>
      </c>
      <c r="D14" s="156">
        <v>3</v>
      </c>
      <c r="E14" s="154">
        <f t="shared" ref="E14:E36" si="2">D14/1.42</f>
        <v>2.1126760563380285</v>
      </c>
      <c r="F14" s="154">
        <v>4</v>
      </c>
      <c r="G14" s="118">
        <v>70</v>
      </c>
      <c r="H14" s="154">
        <f t="shared" si="0"/>
        <v>49.295774647887328</v>
      </c>
      <c r="I14" s="154">
        <v>71</v>
      </c>
      <c r="J14" s="41" t="s">
        <v>88</v>
      </c>
      <c r="K14" s="41">
        <f t="shared" ref="K14:K36" si="3">L14-(2/1.42)</f>
        <v>44.366197183098592</v>
      </c>
      <c r="L14" s="42">
        <f>(G14-5)/1.42</f>
        <v>45.774647887323944</v>
      </c>
      <c r="M14" s="41">
        <f>L14+(6/1.42)</f>
        <v>50</v>
      </c>
      <c r="N14" s="43">
        <v>14</v>
      </c>
      <c r="O14" s="44" t="s">
        <v>89</v>
      </c>
      <c r="P14" s="44">
        <v>11.2</v>
      </c>
      <c r="Q14" s="157">
        <v>143</v>
      </c>
      <c r="R14" s="157"/>
      <c r="S14" s="157">
        <v>93870476</v>
      </c>
      <c r="T14" s="45">
        <f t="shared" ref="T14:T36" si="4">IF(ISBLANK(S14),"-",S14-S13)</f>
        <v>4069</v>
      </c>
      <c r="U14" s="46">
        <f t="shared" ref="U14:U37" si="5">T14*24/1000</f>
        <v>97.656000000000006</v>
      </c>
      <c r="V14" s="46">
        <f t="shared" ref="V14:V37" si="6">T14/1000</f>
        <v>4.069</v>
      </c>
      <c r="W14" s="96">
        <v>6.2</v>
      </c>
      <c r="X14" s="96">
        <f t="shared" si="1"/>
        <v>6.2</v>
      </c>
      <c r="Y14" s="97" t="s">
        <v>138</v>
      </c>
      <c r="Z14" s="158">
        <v>0</v>
      </c>
      <c r="AA14" s="158">
        <v>0</v>
      </c>
      <c r="AB14" s="158">
        <v>1187</v>
      </c>
      <c r="AC14" s="158">
        <v>1185</v>
      </c>
      <c r="AD14" s="158">
        <v>0</v>
      </c>
      <c r="AE14" s="158">
        <v>1185</v>
      </c>
      <c r="AF14" s="47" t="s">
        <v>90</v>
      </c>
      <c r="AG14" s="47" t="s">
        <v>90</v>
      </c>
      <c r="AH14" s="98" t="s">
        <v>90</v>
      </c>
      <c r="AI14" s="103">
        <v>15576442</v>
      </c>
      <c r="AJ14" s="45">
        <f t="shared" ref="AJ14:AJ36" si="7">IF(ISBLANK(AI14),"-",AI14-AI13)</f>
        <v>1108</v>
      </c>
      <c r="AK14" s="48">
        <f t="shared" ref="AK14:AK36" si="8">AJ14/V14</f>
        <v>272.30277709510938</v>
      </c>
      <c r="AL14" s="155">
        <v>0</v>
      </c>
      <c r="AM14" s="155">
        <v>0</v>
      </c>
      <c r="AN14" s="155">
        <v>1</v>
      </c>
      <c r="AO14" s="155">
        <v>1</v>
      </c>
      <c r="AP14" s="155">
        <v>0</v>
      </c>
      <c r="AQ14" s="155">
        <v>1</v>
      </c>
      <c r="AR14" s="155">
        <v>0.8</v>
      </c>
      <c r="AS14" s="158"/>
      <c r="AT14" s="158">
        <f t="shared" ref="AT14:AT35" si="9">AS14-AS13</f>
        <v>0</v>
      </c>
      <c r="AU14" s="119">
        <v>0.99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57">
        <v>43229</v>
      </c>
      <c r="B15" s="40">
        <v>2.0833333333333299</v>
      </c>
      <c r="C15" s="40">
        <v>0.125</v>
      </c>
      <c r="D15" s="156">
        <v>3</v>
      </c>
      <c r="E15" s="154">
        <f t="shared" si="2"/>
        <v>2.1126760563380285</v>
      </c>
      <c r="F15" s="154">
        <v>5</v>
      </c>
      <c r="G15" s="118">
        <v>72</v>
      </c>
      <c r="H15" s="154">
        <f t="shared" si="0"/>
        <v>50.70422535211268</v>
      </c>
      <c r="I15" s="154">
        <v>71</v>
      </c>
      <c r="J15" s="41" t="s">
        <v>88</v>
      </c>
      <c r="K15" s="41">
        <f t="shared" si="3"/>
        <v>45.774647887323944</v>
      </c>
      <c r="L15" s="42">
        <f>(G15-5)/1.42</f>
        <v>47.183098591549296</v>
      </c>
      <c r="M15" s="41">
        <f>L15+(6/1.42)</f>
        <v>51.408450704225352</v>
      </c>
      <c r="N15" s="43">
        <v>14</v>
      </c>
      <c r="O15" s="44" t="s">
        <v>89</v>
      </c>
      <c r="P15" s="44">
        <v>11.2</v>
      </c>
      <c r="Q15" s="157">
        <v>140</v>
      </c>
      <c r="R15" s="157"/>
      <c r="S15" s="157">
        <v>93874548</v>
      </c>
      <c r="T15" s="45">
        <f>IF(ISBLANK(S15),"-",S15-S14)</f>
        <v>4072</v>
      </c>
      <c r="U15" s="46">
        <f t="shared" si="5"/>
        <v>97.727999999999994</v>
      </c>
      <c r="V15" s="46">
        <f t="shared" si="6"/>
        <v>4.0720000000000001</v>
      </c>
      <c r="W15" s="96">
        <v>7.6</v>
      </c>
      <c r="X15" s="96">
        <f t="shared" si="1"/>
        <v>7.6</v>
      </c>
      <c r="Y15" s="97" t="s">
        <v>138</v>
      </c>
      <c r="Z15" s="158">
        <v>0</v>
      </c>
      <c r="AA15" s="158">
        <v>0</v>
      </c>
      <c r="AB15" s="158">
        <v>1187</v>
      </c>
      <c r="AC15" s="158">
        <v>1185</v>
      </c>
      <c r="AD15" s="158">
        <v>0</v>
      </c>
      <c r="AE15" s="158">
        <v>1185</v>
      </c>
      <c r="AF15" s="47" t="s">
        <v>90</v>
      </c>
      <c r="AG15" s="47" t="s">
        <v>90</v>
      </c>
      <c r="AH15" s="98" t="s">
        <v>90</v>
      </c>
      <c r="AI15" s="103">
        <v>15577554</v>
      </c>
      <c r="AJ15" s="45">
        <f t="shared" si="7"/>
        <v>1112</v>
      </c>
      <c r="AK15" s="48">
        <f t="shared" si="8"/>
        <v>273.08447937131632</v>
      </c>
      <c r="AL15" s="155">
        <v>0</v>
      </c>
      <c r="AM15" s="155">
        <v>0</v>
      </c>
      <c r="AN15" s="155">
        <v>1</v>
      </c>
      <c r="AO15" s="155">
        <v>1</v>
      </c>
      <c r="AP15" s="155">
        <v>0</v>
      </c>
      <c r="AQ15" s="155">
        <v>1</v>
      </c>
      <c r="AR15" s="155">
        <v>0.8</v>
      </c>
      <c r="AS15" s="158"/>
      <c r="AT15" s="158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357">
        <v>43229</v>
      </c>
      <c r="B16" s="40">
        <v>2.125</v>
      </c>
      <c r="C16" s="40">
        <v>0.16666666666666699</v>
      </c>
      <c r="D16" s="156">
        <v>3</v>
      </c>
      <c r="E16" s="154">
        <f t="shared" si="2"/>
        <v>2.1126760563380285</v>
      </c>
      <c r="F16" s="154">
        <v>6</v>
      </c>
      <c r="G16" s="118">
        <v>80</v>
      </c>
      <c r="H16" s="154">
        <f t="shared" si="0"/>
        <v>56.338028169014088</v>
      </c>
      <c r="I16" s="154">
        <v>77</v>
      </c>
      <c r="J16" s="41" t="s">
        <v>88</v>
      </c>
      <c r="K16" s="41">
        <f t="shared" si="3"/>
        <v>51.408450704225352</v>
      </c>
      <c r="L16" s="42">
        <f>(G16-5)/1.42</f>
        <v>52.816901408450704</v>
      </c>
      <c r="M16" s="41">
        <f>L16+(6/1.42)</f>
        <v>57.04225352112676</v>
      </c>
      <c r="N16" s="43">
        <v>14</v>
      </c>
      <c r="O16" s="44" t="s">
        <v>89</v>
      </c>
      <c r="P16" s="44">
        <v>12.8</v>
      </c>
      <c r="Q16" s="157">
        <v>141</v>
      </c>
      <c r="R16" s="157"/>
      <c r="S16" s="157">
        <v>93878624</v>
      </c>
      <c r="T16" s="45">
        <f t="shared" si="4"/>
        <v>4076</v>
      </c>
      <c r="U16" s="46">
        <f t="shared" si="5"/>
        <v>97.823999999999998</v>
      </c>
      <c r="V16" s="46">
        <f t="shared" si="6"/>
        <v>4.0759999999999996</v>
      </c>
      <c r="W16" s="96">
        <v>9.5</v>
      </c>
      <c r="X16" s="96">
        <f t="shared" si="1"/>
        <v>9.5</v>
      </c>
      <c r="Y16" s="97" t="s">
        <v>138</v>
      </c>
      <c r="Z16" s="158">
        <v>0</v>
      </c>
      <c r="AA16" s="158">
        <v>0</v>
      </c>
      <c r="AB16" s="158">
        <v>1187</v>
      </c>
      <c r="AC16" s="158">
        <v>1185</v>
      </c>
      <c r="AD16" s="158">
        <v>0</v>
      </c>
      <c r="AE16" s="158">
        <v>1185</v>
      </c>
      <c r="AF16" s="47" t="s">
        <v>90</v>
      </c>
      <c r="AG16" s="47" t="s">
        <v>90</v>
      </c>
      <c r="AH16" s="98" t="s">
        <v>90</v>
      </c>
      <c r="AI16" s="103">
        <v>15578671</v>
      </c>
      <c r="AJ16" s="45">
        <f t="shared" si="7"/>
        <v>1117</v>
      </c>
      <c r="AK16" s="48">
        <f t="shared" si="8"/>
        <v>274.04317958783122</v>
      </c>
      <c r="AL16" s="155">
        <v>0</v>
      </c>
      <c r="AM16" s="155">
        <v>0</v>
      </c>
      <c r="AN16" s="155">
        <v>1</v>
      </c>
      <c r="AO16" s="155">
        <v>1</v>
      </c>
      <c r="AP16" s="155">
        <v>0</v>
      </c>
      <c r="AQ16" s="155">
        <v>1</v>
      </c>
      <c r="AR16" s="155">
        <v>0.8</v>
      </c>
      <c r="AS16" s="158"/>
      <c r="AT16" s="158">
        <f t="shared" si="9"/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357">
        <v>43229</v>
      </c>
      <c r="B17" s="40">
        <v>2.1666666666666701</v>
      </c>
      <c r="C17" s="40">
        <v>0.20833333333333301</v>
      </c>
      <c r="D17" s="156">
        <v>3</v>
      </c>
      <c r="E17" s="154">
        <f t="shared" si="2"/>
        <v>2.1126760563380285</v>
      </c>
      <c r="F17" s="154">
        <v>7</v>
      </c>
      <c r="G17" s="118">
        <v>80</v>
      </c>
      <c r="H17" s="154">
        <f t="shared" si="0"/>
        <v>56.338028169014088</v>
      </c>
      <c r="I17" s="154">
        <v>76</v>
      </c>
      <c r="J17" s="41" t="s">
        <v>88</v>
      </c>
      <c r="K17" s="41">
        <f t="shared" si="3"/>
        <v>51.408450704225352</v>
      </c>
      <c r="L17" s="42">
        <f>(G17-5)/1.42</f>
        <v>52.816901408450704</v>
      </c>
      <c r="M17" s="41">
        <f>L17+(6/1.42)</f>
        <v>57.04225352112676</v>
      </c>
      <c r="N17" s="43">
        <v>18</v>
      </c>
      <c r="O17" s="44" t="s">
        <v>89</v>
      </c>
      <c r="P17" s="44">
        <v>13.1</v>
      </c>
      <c r="Q17" s="157">
        <v>125</v>
      </c>
      <c r="R17" s="157"/>
      <c r="S17" s="157">
        <v>93882726</v>
      </c>
      <c r="T17" s="45">
        <f t="shared" si="4"/>
        <v>4102</v>
      </c>
      <c r="U17" s="46">
        <f t="shared" si="5"/>
        <v>98.447999999999993</v>
      </c>
      <c r="V17" s="46">
        <f t="shared" si="6"/>
        <v>4.1020000000000003</v>
      </c>
      <c r="W17" s="96">
        <v>9.5</v>
      </c>
      <c r="X17" s="96">
        <f t="shared" si="1"/>
        <v>9.5</v>
      </c>
      <c r="Y17" s="97" t="s">
        <v>138</v>
      </c>
      <c r="Z17" s="158">
        <v>0</v>
      </c>
      <c r="AA17" s="158">
        <v>0</v>
      </c>
      <c r="AB17" s="158">
        <v>1187</v>
      </c>
      <c r="AC17" s="158">
        <v>1185</v>
      </c>
      <c r="AD17" s="158">
        <v>0</v>
      </c>
      <c r="AE17" s="158">
        <v>1185</v>
      </c>
      <c r="AF17" s="47" t="s">
        <v>90</v>
      </c>
      <c r="AG17" s="47" t="s">
        <v>90</v>
      </c>
      <c r="AH17" s="98" t="s">
        <v>90</v>
      </c>
      <c r="AI17" s="103">
        <v>15579763</v>
      </c>
      <c r="AJ17" s="45">
        <f t="shared" si="7"/>
        <v>1092</v>
      </c>
      <c r="AK17" s="48">
        <f t="shared" si="8"/>
        <v>266.21160409556313</v>
      </c>
      <c r="AL17" s="155">
        <v>0</v>
      </c>
      <c r="AM17" s="155">
        <v>0</v>
      </c>
      <c r="AN17" s="155">
        <v>1</v>
      </c>
      <c r="AO17" s="155">
        <v>1</v>
      </c>
      <c r="AP17" s="155">
        <v>0</v>
      </c>
      <c r="AQ17" s="155">
        <v>1</v>
      </c>
      <c r="AR17" s="155">
        <v>0</v>
      </c>
      <c r="AS17" s="158"/>
      <c r="AT17" s="158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57">
        <v>43229</v>
      </c>
      <c r="B18" s="40">
        <v>2.2083333333333299</v>
      </c>
      <c r="C18" s="40">
        <v>0.25</v>
      </c>
      <c r="D18" s="156">
        <v>3</v>
      </c>
      <c r="E18" s="154">
        <f t="shared" si="2"/>
        <v>2.1126760563380285</v>
      </c>
      <c r="F18" s="154">
        <v>7</v>
      </c>
      <c r="G18" s="118">
        <v>80</v>
      </c>
      <c r="H18" s="154">
        <f t="shared" si="0"/>
        <v>56.338028169014088</v>
      </c>
      <c r="I18" s="154">
        <v>78</v>
      </c>
      <c r="J18" s="41" t="s">
        <v>88</v>
      </c>
      <c r="K18" s="41">
        <f t="shared" si="3"/>
        <v>54.929577464788736</v>
      </c>
      <c r="L18" s="42">
        <f t="shared" ref="L18:L27" si="10">G18/1.42</f>
        <v>56.338028169014088</v>
      </c>
      <c r="M18" s="41">
        <f>L18+1.42</f>
        <v>57.758028169014089</v>
      </c>
      <c r="N18" s="43">
        <v>19</v>
      </c>
      <c r="O18" s="44" t="s">
        <v>100</v>
      </c>
      <c r="P18" s="44">
        <v>13.1</v>
      </c>
      <c r="Q18" s="157">
        <v>129</v>
      </c>
      <c r="R18" s="157"/>
      <c r="S18" s="157">
        <v>93887250</v>
      </c>
      <c r="T18" s="45">
        <f t="shared" si="4"/>
        <v>4524</v>
      </c>
      <c r="U18" s="46">
        <f t="shared" si="5"/>
        <v>108.57599999999999</v>
      </c>
      <c r="V18" s="46">
        <f t="shared" si="6"/>
        <v>4.524</v>
      </c>
      <c r="W18" s="96">
        <v>9.5</v>
      </c>
      <c r="X18" s="96">
        <f t="shared" si="1"/>
        <v>9.5</v>
      </c>
      <c r="Y18" s="97" t="s">
        <v>169</v>
      </c>
      <c r="Z18" s="158">
        <v>1026</v>
      </c>
      <c r="AA18" s="158">
        <v>0</v>
      </c>
      <c r="AB18" s="158">
        <v>1187</v>
      </c>
      <c r="AC18" s="158">
        <v>1185</v>
      </c>
      <c r="AD18" s="158">
        <v>0</v>
      </c>
      <c r="AE18" s="158">
        <v>1185</v>
      </c>
      <c r="AF18" s="47" t="s">
        <v>90</v>
      </c>
      <c r="AG18" s="47" t="s">
        <v>90</v>
      </c>
      <c r="AH18" s="98" t="s">
        <v>90</v>
      </c>
      <c r="AI18" s="103">
        <v>15580901</v>
      </c>
      <c r="AJ18" s="45">
        <f t="shared" si="7"/>
        <v>1138</v>
      </c>
      <c r="AK18" s="48">
        <f t="shared" si="8"/>
        <v>251.54730327144119</v>
      </c>
      <c r="AL18" s="155">
        <v>1</v>
      </c>
      <c r="AM18" s="155">
        <v>0</v>
      </c>
      <c r="AN18" s="155">
        <v>1</v>
      </c>
      <c r="AO18" s="155">
        <v>1</v>
      </c>
      <c r="AP18" s="155">
        <v>0</v>
      </c>
      <c r="AQ18" s="155">
        <v>1</v>
      </c>
      <c r="AR18" s="155">
        <v>0</v>
      </c>
      <c r="AS18" s="158"/>
      <c r="AT18" s="158">
        <f t="shared" si="9"/>
        <v>0</v>
      </c>
      <c r="AU18" s="119">
        <v>1.03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57">
        <v>43229</v>
      </c>
      <c r="B19" s="40">
        <v>2.25</v>
      </c>
      <c r="C19" s="40">
        <v>0.29166666666666669</v>
      </c>
      <c r="D19" s="156">
        <v>3</v>
      </c>
      <c r="E19" s="154">
        <f t="shared" si="2"/>
        <v>2.1126760563380285</v>
      </c>
      <c r="F19" s="154">
        <v>6</v>
      </c>
      <c r="G19" s="118">
        <v>78</v>
      </c>
      <c r="H19" s="154">
        <f t="shared" si="0"/>
        <v>54.929577464788736</v>
      </c>
      <c r="I19" s="154">
        <v>75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7">
        <v>131</v>
      </c>
      <c r="R19" s="157"/>
      <c r="S19" s="157">
        <v>93891907</v>
      </c>
      <c r="T19" s="45">
        <f t="shared" si="4"/>
        <v>4657</v>
      </c>
      <c r="U19" s="46">
        <f t="shared" si="5"/>
        <v>111.768</v>
      </c>
      <c r="V19" s="46">
        <f t="shared" si="6"/>
        <v>4.657</v>
      </c>
      <c r="W19" s="96">
        <v>8.9</v>
      </c>
      <c r="X19" s="96">
        <f t="shared" si="1"/>
        <v>8.9</v>
      </c>
      <c r="Y19" s="97" t="s">
        <v>169</v>
      </c>
      <c r="Z19" s="158">
        <v>1027</v>
      </c>
      <c r="AA19" s="158">
        <v>0</v>
      </c>
      <c r="AB19" s="158">
        <v>1187</v>
      </c>
      <c r="AC19" s="158">
        <v>1185</v>
      </c>
      <c r="AD19" s="158">
        <v>0</v>
      </c>
      <c r="AE19" s="158">
        <v>1185</v>
      </c>
      <c r="AF19" s="47" t="s">
        <v>90</v>
      </c>
      <c r="AG19" s="47" t="s">
        <v>90</v>
      </c>
      <c r="AH19" s="98" t="s">
        <v>90</v>
      </c>
      <c r="AI19" s="103">
        <v>15582093</v>
      </c>
      <c r="AJ19" s="45">
        <f t="shared" si="7"/>
        <v>1192</v>
      </c>
      <c r="AK19" s="48">
        <f t="shared" si="8"/>
        <v>255.95877174146446</v>
      </c>
      <c r="AL19" s="155">
        <v>1</v>
      </c>
      <c r="AM19" s="155">
        <v>0</v>
      </c>
      <c r="AN19" s="155">
        <v>1</v>
      </c>
      <c r="AO19" s="155">
        <v>1</v>
      </c>
      <c r="AP19" s="155">
        <v>0</v>
      </c>
      <c r="AQ19" s="155">
        <v>1</v>
      </c>
      <c r="AR19" s="155">
        <v>0</v>
      </c>
      <c r="AS19" s="158"/>
      <c r="AT19" s="158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57">
        <v>43229</v>
      </c>
      <c r="B20" s="40">
        <v>2.2916666666666701</v>
      </c>
      <c r="C20" s="40">
        <v>0.33333333333333298</v>
      </c>
      <c r="D20" s="156">
        <v>3</v>
      </c>
      <c r="E20" s="154">
        <f t="shared" si="2"/>
        <v>2.1126760563380285</v>
      </c>
      <c r="F20" s="154">
        <v>5</v>
      </c>
      <c r="G20" s="118">
        <v>77</v>
      </c>
      <c r="H20" s="154">
        <f t="shared" si="0"/>
        <v>54.225352112676056</v>
      </c>
      <c r="I20" s="154">
        <v>73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7">
        <v>127</v>
      </c>
      <c r="R20" s="157"/>
      <c r="S20" s="157">
        <v>93896772</v>
      </c>
      <c r="T20" s="45">
        <f t="shared" si="4"/>
        <v>4865</v>
      </c>
      <c r="U20" s="46">
        <f>T20*24/1000</f>
        <v>116.76</v>
      </c>
      <c r="V20" s="46">
        <f t="shared" si="6"/>
        <v>4.8650000000000002</v>
      </c>
      <c r="W20" s="96">
        <v>8.1999999999999993</v>
      </c>
      <c r="X20" s="96">
        <f t="shared" si="1"/>
        <v>8.1999999999999993</v>
      </c>
      <c r="Y20" s="97" t="s">
        <v>169</v>
      </c>
      <c r="Z20" s="158">
        <v>1038</v>
      </c>
      <c r="AA20" s="158">
        <v>0</v>
      </c>
      <c r="AB20" s="158">
        <v>1187</v>
      </c>
      <c r="AC20" s="158">
        <v>1185</v>
      </c>
      <c r="AD20" s="158">
        <v>0</v>
      </c>
      <c r="AE20" s="158">
        <v>1185</v>
      </c>
      <c r="AF20" s="47" t="s">
        <v>90</v>
      </c>
      <c r="AG20" s="47" t="s">
        <v>90</v>
      </c>
      <c r="AH20" s="98" t="s">
        <v>90</v>
      </c>
      <c r="AI20" s="103">
        <v>15583293</v>
      </c>
      <c r="AJ20" s="45">
        <f t="shared" si="7"/>
        <v>1200</v>
      </c>
      <c r="AK20" s="48">
        <f t="shared" si="8"/>
        <v>246.65981500513874</v>
      </c>
      <c r="AL20" s="155">
        <v>1</v>
      </c>
      <c r="AM20" s="155">
        <v>0</v>
      </c>
      <c r="AN20" s="155">
        <v>1</v>
      </c>
      <c r="AO20" s="155">
        <v>1</v>
      </c>
      <c r="AP20" s="155">
        <v>0</v>
      </c>
      <c r="AQ20" s="155">
        <v>1</v>
      </c>
      <c r="AR20" s="155">
        <v>0</v>
      </c>
      <c r="AS20" s="158"/>
      <c r="AT20" s="158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357">
        <v>43229</v>
      </c>
      <c r="B21" s="40">
        <v>2.3333333333333299</v>
      </c>
      <c r="C21" s="40">
        <v>0.375</v>
      </c>
      <c r="D21" s="156">
        <v>3</v>
      </c>
      <c r="E21" s="154">
        <f t="shared" si="2"/>
        <v>2.1126760563380285</v>
      </c>
      <c r="F21" s="154">
        <v>5</v>
      </c>
      <c r="G21" s="118">
        <v>75</v>
      </c>
      <c r="H21" s="154">
        <f t="shared" si="0"/>
        <v>52.816901408450704</v>
      </c>
      <c r="I21" s="154">
        <v>70</v>
      </c>
      <c r="J21" s="41" t="s">
        <v>88</v>
      </c>
      <c r="K21" s="41">
        <f t="shared" si="3"/>
        <v>51.408450704225352</v>
      </c>
      <c r="L21" s="42">
        <f t="shared" si="10"/>
        <v>52.816901408450704</v>
      </c>
      <c r="M21" s="41">
        <f t="shared" si="11"/>
        <v>54.236901408450706</v>
      </c>
      <c r="N21" s="43">
        <v>19</v>
      </c>
      <c r="O21" s="44" t="s">
        <v>100</v>
      </c>
      <c r="P21" s="44">
        <v>18.399999999999999</v>
      </c>
      <c r="Q21" s="157">
        <v>127</v>
      </c>
      <c r="R21" s="157"/>
      <c r="S21" s="157">
        <v>93900773</v>
      </c>
      <c r="T21" s="45">
        <f t="shared" si="4"/>
        <v>4001</v>
      </c>
      <c r="U21" s="46">
        <f t="shared" si="5"/>
        <v>96.024000000000001</v>
      </c>
      <c r="V21" s="46">
        <f t="shared" si="6"/>
        <v>4.0010000000000003</v>
      </c>
      <c r="W21" s="96">
        <v>7.6</v>
      </c>
      <c r="X21" s="96">
        <f t="shared" si="1"/>
        <v>7.6</v>
      </c>
      <c r="Y21" s="97" t="s">
        <v>169</v>
      </c>
      <c r="Z21" s="158">
        <v>1047</v>
      </c>
      <c r="AA21" s="158">
        <v>0</v>
      </c>
      <c r="AB21" s="158">
        <v>1187</v>
      </c>
      <c r="AC21" s="158">
        <v>1185</v>
      </c>
      <c r="AD21" s="158">
        <v>0</v>
      </c>
      <c r="AE21" s="158">
        <v>1185</v>
      </c>
      <c r="AF21" s="47" t="s">
        <v>90</v>
      </c>
      <c r="AG21" s="47" t="s">
        <v>90</v>
      </c>
      <c r="AH21" s="98" t="s">
        <v>90</v>
      </c>
      <c r="AI21" s="103">
        <v>15584414</v>
      </c>
      <c r="AJ21" s="45">
        <f t="shared" si="7"/>
        <v>1121</v>
      </c>
      <c r="AK21" s="48">
        <f t="shared" si="8"/>
        <v>280.17995501124716</v>
      </c>
      <c r="AL21" s="155">
        <v>1</v>
      </c>
      <c r="AM21" s="155">
        <v>0</v>
      </c>
      <c r="AN21" s="155">
        <v>1</v>
      </c>
      <c r="AO21" s="155">
        <v>1</v>
      </c>
      <c r="AP21" s="155">
        <v>0</v>
      </c>
      <c r="AQ21" s="155">
        <v>1</v>
      </c>
      <c r="AR21" s="155">
        <v>0</v>
      </c>
      <c r="AS21" s="158"/>
      <c r="AT21" s="158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205</v>
      </c>
    </row>
    <row r="22" spans="1:54" x14ac:dyDescent="0.35">
      <c r="A22" s="357">
        <v>43229</v>
      </c>
      <c r="B22" s="40">
        <v>2.375</v>
      </c>
      <c r="C22" s="40">
        <v>0.41666666666666669</v>
      </c>
      <c r="D22" s="156">
        <v>3</v>
      </c>
      <c r="E22" s="154">
        <f t="shared" si="2"/>
        <v>2.1126760563380285</v>
      </c>
      <c r="F22" s="154">
        <v>2</v>
      </c>
      <c r="G22" s="118">
        <v>75</v>
      </c>
      <c r="H22" s="154">
        <f t="shared" si="0"/>
        <v>52.816901408450704</v>
      </c>
      <c r="I22" s="154">
        <v>70</v>
      </c>
      <c r="J22" s="41" t="s">
        <v>88</v>
      </c>
      <c r="K22" s="41">
        <f t="shared" si="3"/>
        <v>51.408450704225352</v>
      </c>
      <c r="L22" s="42">
        <f t="shared" si="10"/>
        <v>52.816901408450704</v>
      </c>
      <c r="M22" s="41">
        <f t="shared" si="11"/>
        <v>54.236901408450706</v>
      </c>
      <c r="N22" s="43">
        <v>19</v>
      </c>
      <c r="O22" s="44" t="s">
        <v>100</v>
      </c>
      <c r="P22" s="44">
        <v>17.7</v>
      </c>
      <c r="Q22" s="157">
        <v>129</v>
      </c>
      <c r="R22" s="157"/>
      <c r="S22" s="157">
        <v>93904187</v>
      </c>
      <c r="T22" s="45">
        <f t="shared" si="4"/>
        <v>3414</v>
      </c>
      <c r="U22" s="46">
        <f t="shared" si="5"/>
        <v>81.936000000000007</v>
      </c>
      <c r="V22" s="46">
        <f t="shared" si="6"/>
        <v>3.4140000000000001</v>
      </c>
      <c r="W22" s="96">
        <v>6.9</v>
      </c>
      <c r="X22" s="96">
        <f t="shared" si="1"/>
        <v>6.9</v>
      </c>
      <c r="Y22" s="97" t="s">
        <v>169</v>
      </c>
      <c r="Z22" s="158">
        <v>1047</v>
      </c>
      <c r="AA22" s="158">
        <v>0</v>
      </c>
      <c r="AB22" s="158">
        <v>1187</v>
      </c>
      <c r="AC22" s="158">
        <v>1185</v>
      </c>
      <c r="AD22" s="158">
        <v>0</v>
      </c>
      <c r="AE22" s="158">
        <v>1185</v>
      </c>
      <c r="AF22" s="47" t="s">
        <v>90</v>
      </c>
      <c r="AG22" s="47" t="s">
        <v>90</v>
      </c>
      <c r="AH22" s="98" t="s">
        <v>90</v>
      </c>
      <c r="AI22" s="103">
        <v>15585669</v>
      </c>
      <c r="AJ22" s="45">
        <f t="shared" si="7"/>
        <v>1255</v>
      </c>
      <c r="AK22" s="48">
        <f t="shared" si="8"/>
        <v>367.6039835969537</v>
      </c>
      <c r="AL22" s="155">
        <v>1</v>
      </c>
      <c r="AM22" s="155">
        <v>0</v>
      </c>
      <c r="AN22" s="155">
        <v>1</v>
      </c>
      <c r="AO22" s="155">
        <v>1</v>
      </c>
      <c r="AP22" s="155">
        <v>0</v>
      </c>
      <c r="AQ22" s="155">
        <v>1</v>
      </c>
      <c r="AR22" s="155">
        <v>0</v>
      </c>
      <c r="AS22" s="158"/>
      <c r="AT22" s="158">
        <f t="shared" si="9"/>
        <v>0</v>
      </c>
      <c r="AU22" s="119">
        <v>0.88</v>
      </c>
      <c r="AV22" s="50" t="s">
        <v>125</v>
      </c>
      <c r="BB22" s="136" t="s">
        <v>157</v>
      </c>
    </row>
    <row r="23" spans="1:54" x14ac:dyDescent="0.35">
      <c r="A23" s="357">
        <v>43229</v>
      </c>
      <c r="B23" s="40">
        <v>2.4166666666666701</v>
      </c>
      <c r="C23" s="40">
        <v>0.45833333333333298</v>
      </c>
      <c r="D23" s="156">
        <v>3</v>
      </c>
      <c r="E23" s="154">
        <f t="shared" si="2"/>
        <v>2.1126760563380285</v>
      </c>
      <c r="F23" s="154">
        <v>2</v>
      </c>
      <c r="G23" s="118">
        <v>75</v>
      </c>
      <c r="H23" s="154">
        <f t="shared" si="0"/>
        <v>52.816901408450704</v>
      </c>
      <c r="I23" s="154">
        <v>70</v>
      </c>
      <c r="J23" s="41" t="s">
        <v>88</v>
      </c>
      <c r="K23" s="41">
        <f t="shared" si="3"/>
        <v>51.408450704225352</v>
      </c>
      <c r="L23" s="42">
        <f t="shared" si="10"/>
        <v>52.816901408450704</v>
      </c>
      <c r="M23" s="41">
        <f t="shared" si="11"/>
        <v>54.236901408450706</v>
      </c>
      <c r="N23" s="43">
        <v>19</v>
      </c>
      <c r="O23" s="44" t="s">
        <v>100</v>
      </c>
      <c r="P23" s="44">
        <v>17.7</v>
      </c>
      <c r="Q23" s="157">
        <v>127</v>
      </c>
      <c r="R23" s="157"/>
      <c r="S23" s="157">
        <v>93907740</v>
      </c>
      <c r="T23" s="45">
        <f t="shared" si="4"/>
        <v>3553</v>
      </c>
      <c r="U23" s="46">
        <f t="shared" si="5"/>
        <v>85.272000000000006</v>
      </c>
      <c r="V23" s="46">
        <f t="shared" si="6"/>
        <v>3.5529999999999999</v>
      </c>
      <c r="W23" s="96">
        <v>6.1</v>
      </c>
      <c r="X23" s="96">
        <f>W23</f>
        <v>6.1</v>
      </c>
      <c r="Y23" s="97" t="s">
        <v>169</v>
      </c>
      <c r="Z23" s="158">
        <v>1047</v>
      </c>
      <c r="AA23" s="158">
        <v>0</v>
      </c>
      <c r="AB23" s="158">
        <v>1187</v>
      </c>
      <c r="AC23" s="158">
        <v>1185</v>
      </c>
      <c r="AD23" s="158">
        <v>0</v>
      </c>
      <c r="AE23" s="158">
        <v>1185</v>
      </c>
      <c r="AF23" s="47" t="s">
        <v>90</v>
      </c>
      <c r="AG23" s="47" t="s">
        <v>90</v>
      </c>
      <c r="AH23" s="98" t="s">
        <v>90</v>
      </c>
      <c r="AI23" s="103">
        <v>15586963</v>
      </c>
      <c r="AJ23" s="45">
        <f t="shared" si="7"/>
        <v>1294</v>
      </c>
      <c r="AK23" s="48">
        <f t="shared" si="8"/>
        <v>364.19926822403602</v>
      </c>
      <c r="AL23" s="155">
        <v>1</v>
      </c>
      <c r="AM23" s="155">
        <v>0</v>
      </c>
      <c r="AN23" s="155">
        <v>1</v>
      </c>
      <c r="AO23" s="155">
        <v>1</v>
      </c>
      <c r="AP23" s="155">
        <v>0</v>
      </c>
      <c r="AQ23" s="155">
        <v>1</v>
      </c>
      <c r="AR23" s="155">
        <v>0</v>
      </c>
      <c r="AS23" s="158"/>
      <c r="AT23" s="158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357">
        <v>43229</v>
      </c>
      <c r="B24" s="40">
        <v>2.4583333333333299</v>
      </c>
      <c r="C24" s="40">
        <v>0.5</v>
      </c>
      <c r="D24" s="156">
        <v>3</v>
      </c>
      <c r="E24" s="154">
        <f t="shared" si="2"/>
        <v>2.1126760563380285</v>
      </c>
      <c r="F24" s="154">
        <v>0</v>
      </c>
      <c r="G24" s="118">
        <v>75</v>
      </c>
      <c r="H24" s="154">
        <f t="shared" si="0"/>
        <v>52.816901408450704</v>
      </c>
      <c r="I24" s="154">
        <v>70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7">
        <v>126</v>
      </c>
      <c r="R24" s="157"/>
      <c r="S24" s="157">
        <v>93911225</v>
      </c>
      <c r="T24" s="45">
        <f t="shared" si="4"/>
        <v>3485</v>
      </c>
      <c r="U24" s="46">
        <f>T24*24/1000</f>
        <v>83.64</v>
      </c>
      <c r="V24" s="46">
        <f t="shared" si="6"/>
        <v>3.4849999999999999</v>
      </c>
      <c r="W24" s="96">
        <v>5.5</v>
      </c>
      <c r="X24" s="96">
        <f t="shared" si="1"/>
        <v>5.5</v>
      </c>
      <c r="Y24" s="97" t="s">
        <v>169</v>
      </c>
      <c r="Z24" s="158">
        <v>1047</v>
      </c>
      <c r="AA24" s="158">
        <v>0</v>
      </c>
      <c r="AB24" s="158">
        <v>1187</v>
      </c>
      <c r="AC24" s="158">
        <v>1185</v>
      </c>
      <c r="AD24" s="158">
        <v>0</v>
      </c>
      <c r="AE24" s="158">
        <v>1185</v>
      </c>
      <c r="AF24" s="47" t="s">
        <v>90</v>
      </c>
      <c r="AG24" s="47" t="s">
        <v>90</v>
      </c>
      <c r="AH24" s="98" t="s">
        <v>90</v>
      </c>
      <c r="AI24" s="103">
        <v>15588060</v>
      </c>
      <c r="AJ24" s="45">
        <f t="shared" si="7"/>
        <v>1097</v>
      </c>
      <c r="AK24" s="48">
        <f t="shared" si="8"/>
        <v>314.77761836441897</v>
      </c>
      <c r="AL24" s="155">
        <v>1</v>
      </c>
      <c r="AM24" s="155">
        <v>0</v>
      </c>
      <c r="AN24" s="155">
        <v>1</v>
      </c>
      <c r="AO24" s="155">
        <v>1</v>
      </c>
      <c r="AP24" s="155">
        <v>0</v>
      </c>
      <c r="AQ24" s="155">
        <v>1</v>
      </c>
      <c r="AR24" s="155">
        <v>0</v>
      </c>
      <c r="AS24" s="158"/>
      <c r="AT24" s="158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357">
        <v>43229</v>
      </c>
      <c r="B25" s="40">
        <v>2.5</v>
      </c>
      <c r="C25" s="40">
        <v>0.54166666666666696</v>
      </c>
      <c r="D25" s="156">
        <v>3</v>
      </c>
      <c r="E25" s="154">
        <f t="shared" si="2"/>
        <v>2.1126760563380285</v>
      </c>
      <c r="F25" s="154">
        <v>0</v>
      </c>
      <c r="G25" s="118">
        <v>75</v>
      </c>
      <c r="H25" s="154">
        <f t="shared" si="0"/>
        <v>52.816901408450704</v>
      </c>
      <c r="I25" s="154">
        <v>70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7">
        <v>125</v>
      </c>
      <c r="R25" s="157"/>
      <c r="S25" s="157">
        <v>93914950</v>
      </c>
      <c r="T25" s="45">
        <f t="shared" si="4"/>
        <v>3725</v>
      </c>
      <c r="U25" s="46">
        <f>T25*24/1000</f>
        <v>89.4</v>
      </c>
      <c r="V25" s="46">
        <f t="shared" si="6"/>
        <v>3.7250000000000001</v>
      </c>
      <c r="W25" s="96">
        <v>5</v>
      </c>
      <c r="X25" s="96">
        <f t="shared" si="1"/>
        <v>5</v>
      </c>
      <c r="Y25" s="97" t="s">
        <v>169</v>
      </c>
      <c r="Z25" s="158">
        <v>1027</v>
      </c>
      <c r="AA25" s="158">
        <v>0</v>
      </c>
      <c r="AB25" s="158">
        <v>1187</v>
      </c>
      <c r="AC25" s="158">
        <v>1185</v>
      </c>
      <c r="AD25" s="158">
        <v>0</v>
      </c>
      <c r="AE25" s="158">
        <v>1185</v>
      </c>
      <c r="AF25" s="47" t="s">
        <v>90</v>
      </c>
      <c r="AG25" s="47" t="s">
        <v>90</v>
      </c>
      <c r="AH25" s="98" t="s">
        <v>90</v>
      </c>
      <c r="AI25" s="103">
        <v>15589246</v>
      </c>
      <c r="AJ25" s="45">
        <f t="shared" si="7"/>
        <v>1186</v>
      </c>
      <c r="AK25" s="48">
        <f t="shared" si="8"/>
        <v>318.38926174496646</v>
      </c>
      <c r="AL25" s="155">
        <v>1</v>
      </c>
      <c r="AM25" s="155">
        <v>0</v>
      </c>
      <c r="AN25" s="155">
        <v>1</v>
      </c>
      <c r="AO25" s="155">
        <v>1</v>
      </c>
      <c r="AP25" s="155">
        <v>0</v>
      </c>
      <c r="AQ25" s="155">
        <v>1</v>
      </c>
      <c r="AR25" s="155">
        <v>0</v>
      </c>
      <c r="AS25" s="158"/>
      <c r="AT25" s="158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57">
        <v>43229</v>
      </c>
      <c r="B26" s="40">
        <v>2.5416666666666701</v>
      </c>
      <c r="C26" s="40">
        <v>0.58333333333333404</v>
      </c>
      <c r="D26" s="156">
        <v>3</v>
      </c>
      <c r="E26" s="154">
        <f t="shared" si="2"/>
        <v>2.1126760563380285</v>
      </c>
      <c r="F26" s="154">
        <v>-2</v>
      </c>
      <c r="G26" s="118">
        <v>72</v>
      </c>
      <c r="H26" s="154">
        <f>G26/1.42</f>
        <v>50.70422535211268</v>
      </c>
      <c r="I26" s="154">
        <v>69</v>
      </c>
      <c r="J26" s="41" t="s">
        <v>88</v>
      </c>
      <c r="K26" s="41">
        <f t="shared" si="3"/>
        <v>49.295774647887328</v>
      </c>
      <c r="L26" s="42">
        <f t="shared" si="10"/>
        <v>50.70422535211268</v>
      </c>
      <c r="M26" s="41">
        <f t="shared" ref="M26:M36" si="12">L26+(6/1.42)</f>
        <v>54.929577464788736</v>
      </c>
      <c r="N26" s="43">
        <v>18</v>
      </c>
      <c r="O26" s="44" t="s">
        <v>100</v>
      </c>
      <c r="P26" s="44">
        <v>17.3</v>
      </c>
      <c r="Q26" s="157">
        <v>120</v>
      </c>
      <c r="R26" s="157"/>
      <c r="S26" s="157">
        <v>93918313</v>
      </c>
      <c r="T26" s="45">
        <f t="shared" si="4"/>
        <v>3363</v>
      </c>
      <c r="U26" s="46">
        <f t="shared" si="5"/>
        <v>80.712000000000003</v>
      </c>
      <c r="V26" s="46">
        <f t="shared" si="6"/>
        <v>3.363</v>
      </c>
      <c r="W26" s="96">
        <v>4.3</v>
      </c>
      <c r="X26" s="96">
        <f t="shared" si="1"/>
        <v>4.3</v>
      </c>
      <c r="Y26" s="97" t="s">
        <v>169</v>
      </c>
      <c r="Z26" s="158">
        <v>1047</v>
      </c>
      <c r="AA26" s="158">
        <v>0</v>
      </c>
      <c r="AB26" s="158">
        <v>1187</v>
      </c>
      <c r="AC26" s="158">
        <v>1185</v>
      </c>
      <c r="AD26" s="158">
        <v>0</v>
      </c>
      <c r="AE26" s="158">
        <v>1185</v>
      </c>
      <c r="AF26" s="47" t="s">
        <v>90</v>
      </c>
      <c r="AG26" s="47" t="s">
        <v>90</v>
      </c>
      <c r="AH26" s="98" t="s">
        <v>90</v>
      </c>
      <c r="AI26" s="103">
        <v>15590408</v>
      </c>
      <c r="AJ26" s="45">
        <f t="shared" si="7"/>
        <v>1162</v>
      </c>
      <c r="AK26" s="48">
        <f t="shared" si="8"/>
        <v>345.52482902170681</v>
      </c>
      <c r="AL26" s="155">
        <v>1</v>
      </c>
      <c r="AM26" s="155">
        <v>0</v>
      </c>
      <c r="AN26" s="155">
        <v>1</v>
      </c>
      <c r="AO26" s="155">
        <v>1</v>
      </c>
      <c r="AP26" s="155">
        <v>0</v>
      </c>
      <c r="AQ26" s="155">
        <v>1</v>
      </c>
      <c r="AR26" s="155">
        <v>0</v>
      </c>
      <c r="AS26" s="158"/>
      <c r="AT26" s="158">
        <f t="shared" si="9"/>
        <v>0</v>
      </c>
      <c r="AU26" s="119">
        <v>1.03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57">
        <v>43229</v>
      </c>
      <c r="B27" s="40">
        <v>2.5833333333333299</v>
      </c>
      <c r="C27" s="40">
        <v>0.625</v>
      </c>
      <c r="D27" s="156">
        <v>3</v>
      </c>
      <c r="E27" s="154">
        <f t="shared" si="2"/>
        <v>2.1126760563380285</v>
      </c>
      <c r="F27" s="154">
        <v>-3</v>
      </c>
      <c r="G27" s="118">
        <v>74</v>
      </c>
      <c r="H27" s="154">
        <f>G27/1.42</f>
        <v>52.112676056338032</v>
      </c>
      <c r="I27" s="154">
        <v>72</v>
      </c>
      <c r="J27" s="41" t="s">
        <v>88</v>
      </c>
      <c r="K27" s="41">
        <f t="shared" si="3"/>
        <v>50.70422535211268</v>
      </c>
      <c r="L27" s="42">
        <f t="shared" si="10"/>
        <v>52.112676056338032</v>
      </c>
      <c r="M27" s="41">
        <f t="shared" si="12"/>
        <v>56.338028169014088</v>
      </c>
      <c r="N27" s="43">
        <v>18</v>
      </c>
      <c r="O27" s="44" t="s">
        <v>100</v>
      </c>
      <c r="P27" s="44">
        <v>16.899999999999999</v>
      </c>
      <c r="Q27" s="157">
        <v>126</v>
      </c>
      <c r="R27" s="157"/>
      <c r="S27" s="157">
        <v>93921948</v>
      </c>
      <c r="T27" s="45">
        <f t="shared" si="4"/>
        <v>3635</v>
      </c>
      <c r="U27" s="46">
        <f t="shared" si="5"/>
        <v>87.24</v>
      </c>
      <c r="V27" s="46">
        <f t="shared" si="6"/>
        <v>3.6349999999999998</v>
      </c>
      <c r="W27" s="96">
        <v>3.7</v>
      </c>
      <c r="X27" s="96">
        <f t="shared" si="1"/>
        <v>3.7</v>
      </c>
      <c r="Y27" s="97" t="s">
        <v>169</v>
      </c>
      <c r="Z27" s="158">
        <v>1025</v>
      </c>
      <c r="AA27" s="158">
        <v>0</v>
      </c>
      <c r="AB27" s="158">
        <v>1188</v>
      </c>
      <c r="AC27" s="158">
        <v>1185</v>
      </c>
      <c r="AD27" s="158">
        <v>0</v>
      </c>
      <c r="AE27" s="158">
        <v>1185</v>
      </c>
      <c r="AF27" s="47" t="s">
        <v>90</v>
      </c>
      <c r="AG27" s="47" t="s">
        <v>90</v>
      </c>
      <c r="AH27" s="98" t="s">
        <v>90</v>
      </c>
      <c r="AI27" s="103">
        <v>15591585</v>
      </c>
      <c r="AJ27" s="45">
        <f t="shared" si="7"/>
        <v>1177</v>
      </c>
      <c r="AK27" s="48">
        <f t="shared" si="8"/>
        <v>323.79642365887207</v>
      </c>
      <c r="AL27" s="155">
        <v>1</v>
      </c>
      <c r="AM27" s="155">
        <v>0</v>
      </c>
      <c r="AN27" s="155">
        <v>1</v>
      </c>
      <c r="AO27" s="155">
        <v>1</v>
      </c>
      <c r="AP27" s="155">
        <v>0</v>
      </c>
      <c r="AQ27" s="155">
        <v>1</v>
      </c>
      <c r="AR27" s="155">
        <v>0</v>
      </c>
      <c r="AS27" s="158"/>
      <c r="AT27" s="158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57">
        <v>43229</v>
      </c>
      <c r="B28" s="40">
        <v>2.625</v>
      </c>
      <c r="C28" s="40">
        <v>0.66666666666666696</v>
      </c>
      <c r="D28" s="156">
        <v>3</v>
      </c>
      <c r="E28" s="154">
        <f t="shared" si="2"/>
        <v>2.1126760563380285</v>
      </c>
      <c r="F28" s="154">
        <v>-3</v>
      </c>
      <c r="G28" s="118">
        <v>75</v>
      </c>
      <c r="H28" s="154">
        <f t="shared" si="0"/>
        <v>52.816901408450704</v>
      </c>
      <c r="I28" s="154">
        <v>73</v>
      </c>
      <c r="J28" s="41" t="s">
        <v>88</v>
      </c>
      <c r="K28" s="41">
        <f t="shared" si="3"/>
        <v>49.295774647887328</v>
      </c>
      <c r="L28" s="42">
        <f>(G28-3)/1.42</f>
        <v>50.70422535211268</v>
      </c>
      <c r="M28" s="41">
        <f t="shared" si="12"/>
        <v>54.929577464788736</v>
      </c>
      <c r="N28" s="43">
        <v>18</v>
      </c>
      <c r="O28" s="44" t="s">
        <v>100</v>
      </c>
      <c r="P28" s="44">
        <v>16.7</v>
      </c>
      <c r="Q28" s="157">
        <v>126</v>
      </c>
      <c r="R28" s="157"/>
      <c r="S28" s="157">
        <v>93926020</v>
      </c>
      <c r="T28" s="45">
        <f t="shared" si="4"/>
        <v>4072</v>
      </c>
      <c r="U28" s="46">
        <f t="shared" si="5"/>
        <v>97.727999999999994</v>
      </c>
      <c r="V28" s="46">
        <f t="shared" si="6"/>
        <v>4.0720000000000001</v>
      </c>
      <c r="W28" s="96">
        <v>3.2</v>
      </c>
      <c r="X28" s="96">
        <f t="shared" si="1"/>
        <v>3.2</v>
      </c>
      <c r="Y28" s="97" t="s">
        <v>169</v>
      </c>
      <c r="Z28" s="158">
        <v>1026</v>
      </c>
      <c r="AA28" s="158">
        <v>0</v>
      </c>
      <c r="AB28" s="158">
        <v>1187</v>
      </c>
      <c r="AC28" s="158">
        <v>1185</v>
      </c>
      <c r="AD28" s="158">
        <v>0</v>
      </c>
      <c r="AE28" s="158">
        <v>1185</v>
      </c>
      <c r="AF28" s="47" t="s">
        <v>90</v>
      </c>
      <c r="AG28" s="47" t="s">
        <v>90</v>
      </c>
      <c r="AH28" s="98" t="s">
        <v>90</v>
      </c>
      <c r="AI28" s="103">
        <v>15592745</v>
      </c>
      <c r="AJ28" s="45">
        <f>IF(ISBLANK(AI28),"-",AI28-AI27)</f>
        <v>1160</v>
      </c>
      <c r="AK28" s="48">
        <f t="shared" si="8"/>
        <v>284.87229862475442</v>
      </c>
      <c r="AL28" s="155">
        <v>1</v>
      </c>
      <c r="AM28" s="155">
        <v>0</v>
      </c>
      <c r="AN28" s="155">
        <v>1</v>
      </c>
      <c r="AO28" s="155">
        <v>1</v>
      </c>
      <c r="AP28" s="155">
        <v>0</v>
      </c>
      <c r="AQ28" s="155">
        <v>1</v>
      </c>
      <c r="AR28" s="155">
        <v>0</v>
      </c>
      <c r="AS28" s="158"/>
      <c r="AT28" s="158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357">
        <v>43229</v>
      </c>
      <c r="B29" s="40">
        <v>2.6666666666666701</v>
      </c>
      <c r="C29" s="40">
        <v>0.70833333333333404</v>
      </c>
      <c r="D29" s="156">
        <v>3</v>
      </c>
      <c r="E29" s="154">
        <f t="shared" si="2"/>
        <v>2.1126760563380285</v>
      </c>
      <c r="F29" s="154">
        <v>-4</v>
      </c>
      <c r="G29" s="118">
        <v>74</v>
      </c>
      <c r="H29" s="154">
        <f t="shared" si="0"/>
        <v>52.112676056338032</v>
      </c>
      <c r="I29" s="154">
        <v>72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7">
        <v>127</v>
      </c>
      <c r="R29" s="157"/>
      <c r="S29" s="157">
        <v>93930354</v>
      </c>
      <c r="T29" s="45">
        <f t="shared" si="4"/>
        <v>4334</v>
      </c>
      <c r="U29" s="46">
        <f t="shared" si="5"/>
        <v>104.01600000000001</v>
      </c>
      <c r="V29" s="46">
        <f t="shared" si="6"/>
        <v>4.3339999999999996</v>
      </c>
      <c r="W29" s="96">
        <v>2.8</v>
      </c>
      <c r="X29" s="96">
        <f t="shared" si="1"/>
        <v>2.8</v>
      </c>
      <c r="Y29" s="97" t="s">
        <v>169</v>
      </c>
      <c r="Z29" s="158">
        <v>1025</v>
      </c>
      <c r="AA29" s="158">
        <v>0</v>
      </c>
      <c r="AB29" s="158">
        <v>1187</v>
      </c>
      <c r="AC29" s="158">
        <v>1185</v>
      </c>
      <c r="AD29" s="158">
        <v>0</v>
      </c>
      <c r="AE29" s="158">
        <v>1185</v>
      </c>
      <c r="AF29" s="47" t="s">
        <v>90</v>
      </c>
      <c r="AG29" s="47" t="s">
        <v>90</v>
      </c>
      <c r="AH29" s="98" t="s">
        <v>90</v>
      </c>
      <c r="AI29" s="103">
        <v>15593897</v>
      </c>
      <c r="AJ29" s="45">
        <f t="shared" si="7"/>
        <v>1152</v>
      </c>
      <c r="AK29" s="48">
        <f>AJ28/V29</f>
        <v>267.65113059529307</v>
      </c>
      <c r="AL29" s="155">
        <v>1</v>
      </c>
      <c r="AM29" s="155">
        <v>0</v>
      </c>
      <c r="AN29" s="155">
        <v>1</v>
      </c>
      <c r="AO29" s="155">
        <v>1</v>
      </c>
      <c r="AP29" s="155">
        <v>0</v>
      </c>
      <c r="AQ29" s="155">
        <v>1</v>
      </c>
      <c r="AR29" s="155">
        <v>0</v>
      </c>
      <c r="AS29" s="158"/>
      <c r="AT29" s="158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357">
        <v>43229</v>
      </c>
      <c r="B30" s="40">
        <v>2.7083333333333299</v>
      </c>
      <c r="C30" s="40">
        <v>0.750000000000002</v>
      </c>
      <c r="D30" s="156">
        <v>3</v>
      </c>
      <c r="E30" s="154">
        <f t="shared" si="2"/>
        <v>2.1126760563380285</v>
      </c>
      <c r="F30" s="154">
        <v>-4</v>
      </c>
      <c r="G30" s="118">
        <v>75</v>
      </c>
      <c r="H30" s="154">
        <f t="shared" si="0"/>
        <v>52.816901408450704</v>
      </c>
      <c r="I30" s="154">
        <v>73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7">
        <v>129</v>
      </c>
      <c r="R30" s="157"/>
      <c r="S30" s="157">
        <v>93934766</v>
      </c>
      <c r="T30" s="45">
        <f t="shared" si="4"/>
        <v>4412</v>
      </c>
      <c r="U30" s="46">
        <f t="shared" si="5"/>
        <v>105.88800000000001</v>
      </c>
      <c r="V30" s="46">
        <f t="shared" si="6"/>
        <v>4.4119999999999999</v>
      </c>
      <c r="W30" s="96">
        <v>2.4</v>
      </c>
      <c r="X30" s="96">
        <f t="shared" si="1"/>
        <v>2.4</v>
      </c>
      <c r="Y30" s="97" t="s">
        <v>169</v>
      </c>
      <c r="Z30" s="158">
        <v>1026</v>
      </c>
      <c r="AA30" s="158">
        <v>0</v>
      </c>
      <c r="AB30" s="158">
        <v>1187</v>
      </c>
      <c r="AC30" s="158">
        <v>1185</v>
      </c>
      <c r="AD30" s="158">
        <v>0</v>
      </c>
      <c r="AE30" s="158">
        <v>1185</v>
      </c>
      <c r="AF30" s="47" t="s">
        <v>90</v>
      </c>
      <c r="AG30" s="47" t="s">
        <v>90</v>
      </c>
      <c r="AH30" s="98" t="s">
        <v>90</v>
      </c>
      <c r="AI30" s="103">
        <v>15595058</v>
      </c>
      <c r="AJ30" s="45">
        <f t="shared" si="7"/>
        <v>1161</v>
      </c>
      <c r="AK30" s="48">
        <f>AJ29/V30</f>
        <v>261.10607434270173</v>
      </c>
      <c r="AL30" s="155">
        <v>1</v>
      </c>
      <c r="AM30" s="155">
        <v>0</v>
      </c>
      <c r="AN30" s="155">
        <v>1</v>
      </c>
      <c r="AO30" s="155">
        <v>1</v>
      </c>
      <c r="AP30" s="155">
        <v>0</v>
      </c>
      <c r="AQ30" s="155">
        <v>1</v>
      </c>
      <c r="AR30" s="155">
        <v>0</v>
      </c>
      <c r="AS30" s="158"/>
      <c r="AT30" s="158">
        <f t="shared" si="9"/>
        <v>0</v>
      </c>
      <c r="AU30" s="159">
        <v>0.98</v>
      </c>
      <c r="AV30" s="50" t="s">
        <v>124</v>
      </c>
      <c r="AY30" s="55" t="s">
        <v>114</v>
      </c>
      <c r="AZ30" s="55">
        <v>101.325</v>
      </c>
      <c r="BB30" s="74" t="s">
        <v>143</v>
      </c>
    </row>
    <row r="31" spans="1:54" x14ac:dyDescent="0.35">
      <c r="A31" s="357">
        <v>43229</v>
      </c>
      <c r="B31" s="40">
        <v>2.75</v>
      </c>
      <c r="C31" s="40">
        <v>0.79166666666666896</v>
      </c>
      <c r="D31" s="156">
        <v>3</v>
      </c>
      <c r="E31" s="154">
        <f t="shared" si="2"/>
        <v>2.1126760563380285</v>
      </c>
      <c r="F31" s="154">
        <v>-3</v>
      </c>
      <c r="G31" s="118">
        <v>73</v>
      </c>
      <c r="H31" s="154">
        <f t="shared" si="0"/>
        <v>51.408450704225352</v>
      </c>
      <c r="I31" s="154">
        <v>71</v>
      </c>
      <c r="J31" s="41" t="s">
        <v>88</v>
      </c>
      <c r="K31" s="41">
        <f t="shared" si="3"/>
        <v>47.887323943661976</v>
      </c>
      <c r="L31" s="42">
        <f t="shared" si="13"/>
        <v>49.295774647887328</v>
      </c>
      <c r="M31" s="41">
        <f t="shared" si="12"/>
        <v>53.521126760563384</v>
      </c>
      <c r="N31" s="43">
        <v>18</v>
      </c>
      <c r="O31" s="44" t="s">
        <v>100</v>
      </c>
      <c r="P31" s="44">
        <v>16.600000000000001</v>
      </c>
      <c r="Q31" s="157">
        <v>130</v>
      </c>
      <c r="R31" s="157"/>
      <c r="S31" s="157">
        <v>93939119</v>
      </c>
      <c r="T31" s="45">
        <f t="shared" si="4"/>
        <v>4353</v>
      </c>
      <c r="U31" s="46">
        <f t="shared" si="5"/>
        <v>104.47199999999999</v>
      </c>
      <c r="V31" s="46">
        <f t="shared" si="6"/>
        <v>4.3529999999999998</v>
      </c>
      <c r="W31" s="96">
        <v>2.1</v>
      </c>
      <c r="X31" s="96">
        <f t="shared" si="1"/>
        <v>2.1</v>
      </c>
      <c r="Y31" s="97" t="s">
        <v>169</v>
      </c>
      <c r="Z31" s="158">
        <v>1016</v>
      </c>
      <c r="AA31" s="158">
        <v>0</v>
      </c>
      <c r="AB31" s="158">
        <v>1187</v>
      </c>
      <c r="AC31" s="158">
        <v>1185</v>
      </c>
      <c r="AD31" s="158">
        <v>0</v>
      </c>
      <c r="AE31" s="158">
        <v>1185</v>
      </c>
      <c r="AF31" s="47" t="s">
        <v>90</v>
      </c>
      <c r="AG31" s="47" t="s">
        <v>90</v>
      </c>
      <c r="AH31" s="98" t="s">
        <v>90</v>
      </c>
      <c r="AI31" s="103">
        <v>15596232</v>
      </c>
      <c r="AJ31" s="45">
        <f t="shared" si="7"/>
        <v>1174</v>
      </c>
      <c r="AK31" s="48">
        <f t="shared" si="8"/>
        <v>269.69905812083624</v>
      </c>
      <c r="AL31" s="155">
        <v>1</v>
      </c>
      <c r="AM31" s="155">
        <v>0</v>
      </c>
      <c r="AN31" s="155">
        <v>1</v>
      </c>
      <c r="AO31" s="155">
        <v>1</v>
      </c>
      <c r="AP31" s="155">
        <v>0</v>
      </c>
      <c r="AQ31" s="155">
        <v>1</v>
      </c>
      <c r="AR31" s="155">
        <v>0</v>
      </c>
      <c r="AS31" s="158"/>
      <c r="AT31" s="158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357">
        <v>43229</v>
      </c>
      <c r="B32" s="40">
        <v>2.7916666666666701</v>
      </c>
      <c r="C32" s="40">
        <v>0.83333333333333703</v>
      </c>
      <c r="D32" s="156">
        <v>3</v>
      </c>
      <c r="E32" s="154">
        <f t="shared" si="2"/>
        <v>2.1126760563380285</v>
      </c>
      <c r="F32" s="154">
        <v>-3</v>
      </c>
      <c r="G32" s="118">
        <v>73</v>
      </c>
      <c r="H32" s="154">
        <f t="shared" si="0"/>
        <v>51.408450704225352</v>
      </c>
      <c r="I32" s="154">
        <v>70</v>
      </c>
      <c r="J32" s="41" t="s">
        <v>88</v>
      </c>
      <c r="K32" s="41">
        <f t="shared" si="3"/>
        <v>47.887323943661976</v>
      </c>
      <c r="L32" s="42">
        <f t="shared" si="13"/>
        <v>49.295774647887328</v>
      </c>
      <c r="M32" s="41">
        <f t="shared" si="12"/>
        <v>53.521126760563384</v>
      </c>
      <c r="N32" s="43">
        <v>18</v>
      </c>
      <c r="O32" s="44" t="s">
        <v>100</v>
      </c>
      <c r="P32" s="44">
        <v>16.600000000000001</v>
      </c>
      <c r="Q32" s="157">
        <v>129</v>
      </c>
      <c r="R32" s="157"/>
      <c r="S32" s="157">
        <v>93943122</v>
      </c>
      <c r="T32" s="45">
        <f t="shared" si="4"/>
        <v>4003</v>
      </c>
      <c r="U32" s="46">
        <f t="shared" si="5"/>
        <v>96.072000000000003</v>
      </c>
      <c r="V32" s="46">
        <f t="shared" si="6"/>
        <v>4.0030000000000001</v>
      </c>
      <c r="W32" s="96">
        <v>1.7</v>
      </c>
      <c r="X32" s="96">
        <f t="shared" si="1"/>
        <v>1.7</v>
      </c>
      <c r="Y32" s="97" t="s">
        <v>169</v>
      </c>
      <c r="Z32" s="158">
        <v>1015</v>
      </c>
      <c r="AA32" s="158">
        <v>0</v>
      </c>
      <c r="AB32" s="158">
        <v>1187</v>
      </c>
      <c r="AC32" s="158">
        <v>1185</v>
      </c>
      <c r="AD32" s="158">
        <v>0</v>
      </c>
      <c r="AE32" s="158">
        <v>1185</v>
      </c>
      <c r="AF32" s="47" t="s">
        <v>90</v>
      </c>
      <c r="AG32" s="47" t="s">
        <v>90</v>
      </c>
      <c r="AH32" s="98" t="s">
        <v>90</v>
      </c>
      <c r="AI32" s="103">
        <v>15597370</v>
      </c>
      <c r="AJ32" s="45">
        <f t="shared" si="7"/>
        <v>1138</v>
      </c>
      <c r="AK32" s="48">
        <f t="shared" si="8"/>
        <v>284.28678491131649</v>
      </c>
      <c r="AL32" s="155">
        <v>1</v>
      </c>
      <c r="AM32" s="155">
        <v>0</v>
      </c>
      <c r="AN32" s="155">
        <v>1</v>
      </c>
      <c r="AO32" s="155">
        <v>1</v>
      </c>
      <c r="AP32" s="155">
        <v>0</v>
      </c>
      <c r="AQ32" s="155">
        <v>1</v>
      </c>
      <c r="AR32" s="155">
        <v>0</v>
      </c>
      <c r="AS32" s="158"/>
      <c r="AT32" s="158">
        <v>0</v>
      </c>
      <c r="AU32" s="49"/>
      <c r="AV32" s="50" t="s">
        <v>124</v>
      </c>
      <c r="AY32" s="308" t="s">
        <v>115</v>
      </c>
      <c r="AZ32" s="308"/>
      <c r="BB32" s="74" t="s">
        <v>156</v>
      </c>
    </row>
    <row r="33" spans="1:54" x14ac:dyDescent="0.35">
      <c r="A33" s="357">
        <v>43229</v>
      </c>
      <c r="B33" s="40">
        <v>2.8333333333333299</v>
      </c>
      <c r="C33" s="40">
        <v>0.875</v>
      </c>
      <c r="D33" s="156">
        <v>3</v>
      </c>
      <c r="E33" s="154">
        <f t="shared" si="2"/>
        <v>2.1126760563380285</v>
      </c>
      <c r="F33" s="154">
        <v>-2</v>
      </c>
      <c r="G33" s="118">
        <v>74</v>
      </c>
      <c r="H33" s="154">
        <f t="shared" si="0"/>
        <v>52.112676056338032</v>
      </c>
      <c r="I33" s="154">
        <v>72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7">
        <v>127</v>
      </c>
      <c r="R33" s="157"/>
      <c r="S33" s="157">
        <v>93947416</v>
      </c>
      <c r="T33" s="45">
        <f t="shared" si="4"/>
        <v>4294</v>
      </c>
      <c r="U33" s="46">
        <f t="shared" si="5"/>
        <v>103.056</v>
      </c>
      <c r="V33" s="46">
        <f t="shared" si="6"/>
        <v>4.2939999999999996</v>
      </c>
      <c r="W33" s="96">
        <v>1.5</v>
      </c>
      <c r="X33" s="96">
        <f t="shared" si="1"/>
        <v>1.5</v>
      </c>
      <c r="Y33" s="97" t="s">
        <v>169</v>
      </c>
      <c r="Z33" s="158">
        <v>1017</v>
      </c>
      <c r="AA33" s="158">
        <v>0</v>
      </c>
      <c r="AB33" s="158">
        <v>1187</v>
      </c>
      <c r="AC33" s="158">
        <v>1185</v>
      </c>
      <c r="AD33" s="158">
        <v>0</v>
      </c>
      <c r="AE33" s="158">
        <v>1185</v>
      </c>
      <c r="AF33" s="47" t="s">
        <v>90</v>
      </c>
      <c r="AG33" s="47" t="s">
        <v>90</v>
      </c>
      <c r="AH33" s="98" t="s">
        <v>90</v>
      </c>
      <c r="AI33" s="103">
        <v>15598565</v>
      </c>
      <c r="AJ33" s="45">
        <f t="shared" si="7"/>
        <v>1195</v>
      </c>
      <c r="AK33" s="48">
        <f t="shared" si="8"/>
        <v>278.29529576152771</v>
      </c>
      <c r="AL33" s="155">
        <v>1</v>
      </c>
      <c r="AM33" s="155">
        <v>0</v>
      </c>
      <c r="AN33" s="155">
        <v>1</v>
      </c>
      <c r="AO33" s="155">
        <v>1</v>
      </c>
      <c r="AP33" s="155">
        <v>0</v>
      </c>
      <c r="AQ33" s="155">
        <v>1</v>
      </c>
      <c r="AR33" s="155">
        <v>0</v>
      </c>
      <c r="AS33" s="158"/>
      <c r="AT33" s="158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57">
        <v>43229</v>
      </c>
      <c r="B34" s="40">
        <v>2.875</v>
      </c>
      <c r="C34" s="40">
        <v>0.91666666666667096</v>
      </c>
      <c r="D34" s="156">
        <v>3</v>
      </c>
      <c r="E34" s="154">
        <f t="shared" si="2"/>
        <v>2.1126760563380285</v>
      </c>
      <c r="F34" s="154">
        <v>-1</v>
      </c>
      <c r="G34" s="118">
        <v>75</v>
      </c>
      <c r="H34" s="154">
        <f t="shared" si="0"/>
        <v>52.816901408450704</v>
      </c>
      <c r="I34" s="154">
        <v>73</v>
      </c>
      <c r="J34" s="41" t="s">
        <v>88</v>
      </c>
      <c r="K34" s="41">
        <f t="shared" si="3"/>
        <v>49.295774647887328</v>
      </c>
      <c r="L34" s="42">
        <f t="shared" si="13"/>
        <v>50.70422535211268</v>
      </c>
      <c r="M34" s="41">
        <f t="shared" si="12"/>
        <v>54.929577464788736</v>
      </c>
      <c r="N34" s="43">
        <v>14</v>
      </c>
      <c r="O34" s="44" t="s">
        <v>116</v>
      </c>
      <c r="P34" s="44">
        <v>12.6</v>
      </c>
      <c r="Q34" s="157">
        <v>132</v>
      </c>
      <c r="R34" s="157"/>
      <c r="S34" s="157">
        <v>93951652</v>
      </c>
      <c r="T34" s="45">
        <f t="shared" si="4"/>
        <v>4236</v>
      </c>
      <c r="U34" s="46">
        <f t="shared" si="5"/>
        <v>101.664</v>
      </c>
      <c r="V34" s="46">
        <f t="shared" si="6"/>
        <v>4.2359999999999998</v>
      </c>
      <c r="W34" s="96">
        <v>1.4</v>
      </c>
      <c r="X34" s="96">
        <f t="shared" si="1"/>
        <v>1.4</v>
      </c>
      <c r="Y34" s="97" t="s">
        <v>138</v>
      </c>
      <c r="Z34" s="158">
        <v>0</v>
      </c>
      <c r="AA34" s="158">
        <v>0</v>
      </c>
      <c r="AB34" s="158">
        <v>1187</v>
      </c>
      <c r="AC34" s="158">
        <v>1185</v>
      </c>
      <c r="AD34" s="158">
        <v>0</v>
      </c>
      <c r="AE34" s="158">
        <v>1185</v>
      </c>
      <c r="AF34" s="47" t="s">
        <v>90</v>
      </c>
      <c r="AG34" s="47" t="s">
        <v>90</v>
      </c>
      <c r="AH34" s="98" t="s">
        <v>90</v>
      </c>
      <c r="AI34" s="103">
        <v>15599630</v>
      </c>
      <c r="AJ34" s="45">
        <f t="shared" si="7"/>
        <v>1065</v>
      </c>
      <c r="AK34" s="48">
        <f t="shared" si="8"/>
        <v>251.41643059490087</v>
      </c>
      <c r="AL34" s="155">
        <v>0</v>
      </c>
      <c r="AM34" s="155">
        <v>0</v>
      </c>
      <c r="AN34" s="155">
        <v>1</v>
      </c>
      <c r="AO34" s="155">
        <v>1</v>
      </c>
      <c r="AP34" s="155">
        <v>0</v>
      </c>
      <c r="AQ34" s="155">
        <v>1</v>
      </c>
      <c r="AR34" s="155">
        <v>0</v>
      </c>
      <c r="AS34" s="158"/>
      <c r="AT34" s="158">
        <f>AS34-AS33</f>
        <v>0</v>
      </c>
      <c r="AU34" s="119">
        <v>0.92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357">
        <v>43229</v>
      </c>
      <c r="B35" s="40">
        <v>2.9166666666666701</v>
      </c>
      <c r="C35" s="40">
        <v>0.95833333333333803</v>
      </c>
      <c r="D35" s="156">
        <v>3</v>
      </c>
      <c r="E35" s="154">
        <f t="shared" si="2"/>
        <v>2.1126760563380285</v>
      </c>
      <c r="F35" s="154">
        <v>0</v>
      </c>
      <c r="G35" s="118">
        <v>71</v>
      </c>
      <c r="H35" s="154">
        <f t="shared" si="0"/>
        <v>50</v>
      </c>
      <c r="I35" s="154">
        <v>70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7">
        <v>145</v>
      </c>
      <c r="R35" s="157"/>
      <c r="S35" s="157">
        <v>93955537</v>
      </c>
      <c r="T35" s="45">
        <f t="shared" si="4"/>
        <v>3885</v>
      </c>
      <c r="U35" s="46">
        <f t="shared" si="5"/>
        <v>93.24</v>
      </c>
      <c r="V35" s="46">
        <f t="shared" si="6"/>
        <v>3.8849999999999998</v>
      </c>
      <c r="W35" s="96">
        <v>1.8</v>
      </c>
      <c r="X35" s="96">
        <v>1.8</v>
      </c>
      <c r="Y35" s="97" t="s">
        <v>138</v>
      </c>
      <c r="Z35" s="158">
        <v>0</v>
      </c>
      <c r="AA35" s="158">
        <v>0</v>
      </c>
      <c r="AB35" s="158">
        <v>1188</v>
      </c>
      <c r="AC35" s="158">
        <v>1185</v>
      </c>
      <c r="AD35" s="158">
        <v>0</v>
      </c>
      <c r="AE35" s="158">
        <v>1185</v>
      </c>
      <c r="AF35" s="47" t="s">
        <v>90</v>
      </c>
      <c r="AG35" s="47" t="s">
        <v>90</v>
      </c>
      <c r="AH35" s="98" t="s">
        <v>90</v>
      </c>
      <c r="AI35" s="103">
        <v>15600718</v>
      </c>
      <c r="AJ35" s="45">
        <f t="shared" si="7"/>
        <v>1088</v>
      </c>
      <c r="AK35" s="48">
        <f t="shared" si="8"/>
        <v>280.05148005148004</v>
      </c>
      <c r="AL35" s="155">
        <v>0</v>
      </c>
      <c r="AM35" s="155">
        <v>0</v>
      </c>
      <c r="AN35" s="155">
        <v>1</v>
      </c>
      <c r="AO35" s="155">
        <v>1</v>
      </c>
      <c r="AP35" s="155">
        <v>0</v>
      </c>
      <c r="AQ35" s="155">
        <v>1</v>
      </c>
      <c r="AR35" s="155">
        <v>0.3</v>
      </c>
      <c r="AS35" s="158"/>
      <c r="AT35" s="158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357">
        <v>43229</v>
      </c>
      <c r="B36" s="40">
        <v>2.9583333333333299</v>
      </c>
      <c r="C36" s="40">
        <v>1</v>
      </c>
      <c r="D36" s="156">
        <v>3</v>
      </c>
      <c r="E36" s="154">
        <f t="shared" si="2"/>
        <v>2.1126760563380285</v>
      </c>
      <c r="F36" s="154">
        <v>2</v>
      </c>
      <c r="G36" s="118">
        <v>73</v>
      </c>
      <c r="H36" s="154">
        <f t="shared" si="0"/>
        <v>51.408450704225352</v>
      </c>
      <c r="I36" s="154">
        <v>70</v>
      </c>
      <c r="J36" s="41" t="s">
        <v>88</v>
      </c>
      <c r="K36" s="41">
        <f t="shared" si="3"/>
        <v>46.478873239436624</v>
      </c>
      <c r="L36" s="42">
        <f>(G36-5)/1.42</f>
        <v>47.887323943661976</v>
      </c>
      <c r="M36" s="41">
        <f t="shared" si="12"/>
        <v>52.112676056338032</v>
      </c>
      <c r="N36" s="43">
        <v>14</v>
      </c>
      <c r="O36" s="44" t="s">
        <v>116</v>
      </c>
      <c r="P36" s="58">
        <v>11.5</v>
      </c>
      <c r="Q36" s="157">
        <v>143</v>
      </c>
      <c r="R36" s="157"/>
      <c r="S36" s="157">
        <v>93959413</v>
      </c>
      <c r="T36" s="45">
        <f t="shared" si="4"/>
        <v>3876</v>
      </c>
      <c r="U36" s="46">
        <f t="shared" si="5"/>
        <v>93.024000000000001</v>
      </c>
      <c r="V36" s="46">
        <f t="shared" si="6"/>
        <v>3.8759999999999999</v>
      </c>
      <c r="W36" s="96">
        <v>2.9</v>
      </c>
      <c r="X36" s="96">
        <f t="shared" si="1"/>
        <v>2.9</v>
      </c>
      <c r="Y36" s="97" t="s">
        <v>138</v>
      </c>
      <c r="Z36" s="158">
        <v>0</v>
      </c>
      <c r="AA36" s="158">
        <v>0</v>
      </c>
      <c r="AB36" s="158">
        <v>1187</v>
      </c>
      <c r="AC36" s="158">
        <v>1185</v>
      </c>
      <c r="AD36" s="158">
        <v>0</v>
      </c>
      <c r="AE36" s="158">
        <v>1185</v>
      </c>
      <c r="AF36" s="47" t="s">
        <v>90</v>
      </c>
      <c r="AG36" s="47" t="s">
        <v>90</v>
      </c>
      <c r="AH36" s="98" t="s">
        <v>90</v>
      </c>
      <c r="AI36" s="103">
        <v>15601845</v>
      </c>
      <c r="AJ36" s="45">
        <f t="shared" si="7"/>
        <v>1127</v>
      </c>
      <c r="AK36" s="48">
        <f t="shared" si="8"/>
        <v>290.76367389060886</v>
      </c>
      <c r="AL36" s="155">
        <v>0</v>
      </c>
      <c r="AM36" s="155">
        <v>0</v>
      </c>
      <c r="AN36" s="155">
        <v>1</v>
      </c>
      <c r="AO36" s="155">
        <v>1</v>
      </c>
      <c r="AP36" s="155">
        <v>0</v>
      </c>
      <c r="AQ36" s="155">
        <v>1</v>
      </c>
      <c r="AR36" s="155">
        <v>0.3</v>
      </c>
      <c r="AS36" s="158"/>
      <c r="AT36" s="158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73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09" t="s">
        <v>118</v>
      </c>
      <c r="O37" s="310"/>
      <c r="P37" s="311"/>
      <c r="Q37" s="101"/>
      <c r="R37" s="101"/>
      <c r="S37" s="101"/>
      <c r="T37" s="60">
        <f>SUM(T13:T36)</f>
        <v>97486</v>
      </c>
      <c r="U37" s="46">
        <f t="shared" si="5"/>
        <v>2339.6640000000002</v>
      </c>
      <c r="V37" s="46">
        <f t="shared" si="6"/>
        <v>97.486000000000004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27648</v>
      </c>
      <c r="AK37" s="61">
        <f>$AJ$37/$V37</f>
        <v>283.609954249841</v>
      </c>
      <c r="AL37" s="155"/>
      <c r="AM37" s="155"/>
      <c r="AN37" s="155"/>
      <c r="AO37" s="155"/>
      <c r="AP37" s="155"/>
      <c r="AQ37" s="155"/>
      <c r="AR37" s="62"/>
      <c r="AS37" s="63">
        <f>AS36-AS11</f>
        <v>0</v>
      </c>
      <c r="AT37" s="64">
        <f>SUM(AT13:AT36)</f>
        <v>0</v>
      </c>
      <c r="AU37" s="65">
        <f>AVERAGE(AU13:AU36)</f>
        <v>0.97166666666666668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7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8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8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4"/>
      <c r="D47" s="164"/>
      <c r="E47" s="164"/>
      <c r="F47" s="164"/>
      <c r="G47" s="164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71" t="s">
        <v>209</v>
      </c>
      <c r="C48" s="172"/>
      <c r="D48" s="172"/>
      <c r="E48" s="172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70"/>
      <c r="D49" s="170"/>
      <c r="E49" s="170"/>
      <c r="F49" s="161"/>
      <c r="G49" s="161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15" t="s">
        <v>182</v>
      </c>
      <c r="C50" s="143"/>
      <c r="D50" s="143"/>
      <c r="E50" s="143"/>
      <c r="F50" s="130"/>
      <c r="G50" s="130"/>
      <c r="H50" s="160"/>
      <c r="I50" s="160"/>
      <c r="J50" s="160"/>
      <c r="K50" s="160"/>
      <c r="L50" s="160"/>
      <c r="M50" s="160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210</v>
      </c>
      <c r="B51" s="132" t="s">
        <v>163</v>
      </c>
      <c r="C51" s="143"/>
      <c r="D51" s="143"/>
      <c r="E51" s="143"/>
      <c r="F51" s="130"/>
      <c r="G51" s="130"/>
      <c r="H51" s="160"/>
      <c r="I51" s="160"/>
      <c r="J51" s="160"/>
      <c r="K51" s="160"/>
      <c r="L51" s="160"/>
      <c r="M51" s="160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207</v>
      </c>
      <c r="C52" s="120"/>
      <c r="D52" s="115"/>
      <c r="E52" s="115"/>
      <c r="F52" s="115"/>
      <c r="G52" s="115"/>
      <c r="H52" s="160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70"/>
      <c r="D53" s="170"/>
      <c r="E53" s="170"/>
      <c r="F53" s="170"/>
      <c r="G53" s="115"/>
      <c r="H53" s="115"/>
      <c r="I53" s="115"/>
      <c r="J53" s="115"/>
      <c r="K53" s="115"/>
      <c r="L53" s="115"/>
      <c r="M53" s="115"/>
      <c r="N53" s="163"/>
      <c r="O53" s="163"/>
      <c r="P53" s="163"/>
      <c r="Q53" s="163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32" t="s">
        <v>170</v>
      </c>
      <c r="C54" s="153"/>
      <c r="D54" s="170"/>
      <c r="E54" s="170"/>
      <c r="F54" s="170"/>
      <c r="G54" s="170"/>
      <c r="H54" s="170"/>
      <c r="I54" s="170"/>
      <c r="J54" s="169"/>
      <c r="K54" s="166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70"/>
      <c r="E55" s="153"/>
      <c r="F55" s="153"/>
      <c r="G55" s="153"/>
      <c r="H55" s="153"/>
      <c r="I55" s="153"/>
      <c r="J55" s="169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172</v>
      </c>
      <c r="C56" s="115"/>
      <c r="D56" s="170"/>
      <c r="E56" s="153"/>
      <c r="F56" s="153"/>
      <c r="G56" s="153"/>
      <c r="H56" s="153"/>
      <c r="I56" s="153"/>
      <c r="J56" s="153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53" t="s">
        <v>211</v>
      </c>
      <c r="C57" s="170"/>
      <c r="D57" s="170"/>
      <c r="E57" s="153"/>
      <c r="F57" s="153"/>
      <c r="G57" s="153"/>
      <c r="H57" s="153"/>
      <c r="I57" s="153"/>
      <c r="J57" s="153"/>
      <c r="K57" s="166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174</v>
      </c>
      <c r="C58" s="170"/>
      <c r="D58" s="170"/>
      <c r="E58" s="115"/>
      <c r="F58" s="115"/>
      <c r="G58" s="115"/>
      <c r="H58" s="115"/>
      <c r="I58" s="153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62" t="s">
        <v>195</v>
      </c>
      <c r="C59" s="170"/>
      <c r="D59" s="170"/>
      <c r="E59" s="153"/>
      <c r="F59" s="153"/>
      <c r="G59" s="153"/>
      <c r="H59" s="153"/>
      <c r="I59" s="153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32"/>
      <c r="C60" s="170"/>
      <c r="D60" s="223"/>
      <c r="E60" s="223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62"/>
      <c r="C61" s="153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32"/>
      <c r="C62" s="115"/>
      <c r="D62" s="100"/>
      <c r="E62" s="100"/>
      <c r="F62" s="115"/>
      <c r="G62" s="115"/>
      <c r="H62" s="92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6"/>
      <c r="E63" s="166"/>
      <c r="F63" s="166"/>
      <c r="G63" s="166"/>
      <c r="H63" s="166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53"/>
      <c r="C64" s="115"/>
      <c r="D64" s="100"/>
      <c r="E64" s="100"/>
      <c r="F64" s="115"/>
      <c r="G64" s="115"/>
      <c r="H64" s="92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6"/>
      <c r="E65" s="166"/>
      <c r="F65" s="166"/>
      <c r="G65" s="166"/>
      <c r="H65" s="166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AV65" s="86"/>
      <c r="AW65" s="86"/>
      <c r="AX65" s="86"/>
      <c r="AY65" s="86"/>
      <c r="AZ65" s="86"/>
      <c r="BA65" s="86"/>
      <c r="BB65" s="86"/>
    </row>
    <row r="66" spans="2:54" x14ac:dyDescent="0.35">
      <c r="B66" s="162"/>
      <c r="C66" s="115"/>
      <c r="D66" s="166"/>
      <c r="E66" s="166"/>
      <c r="F66" s="166"/>
      <c r="G66" s="166"/>
      <c r="H66" s="166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6"/>
      <c r="E67" s="166"/>
      <c r="F67" s="166"/>
      <c r="G67" s="166"/>
      <c r="H67" s="166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AF13:AH36 T13:V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Q13:Q36 S13:S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4:W4" name="Range1_16_1_1_1_1_1_1_2_2_2_2_2_2_2_2_2_2_2_2_2_2_2_2_2_2_2_2_2_2_2_1_2_2_2_2_2_2_2_2_2_2_3_2_2_2_2_2_2_2_2_2_2_1_1_1_1_2_2_1_1_1_1_1_1_1_1_1_1_1_1_1_1_2"/>
    <protectedRange sqref="R3:W3" name="Range1_16_1_1_1_1_1_1_2_2_2_2_2_2_2_2_2_2_2_2_2_2_2_2_2_2_2_2_2_2_2_1_2_2_2_2_2_2_2_2_2_2_3_2_2_2_2_2_2_2_2_2_2_1_1_1_1_2_2_1_1_1_1_1_1_1_1_1_1_1_1_1_1_3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R5:W5" name="Range1_16_1_1_1_1_1_1_2_2_2_2_2_2_2_2_2_2_2_2_2_2_2_2_2_2_2_2_2_2_2_1_2_2_2_2_2_2_2_2_2_2_3_2_2_2_2_2_2_2_2_2_2_1_1_1_1_2_2_1_1_1_1_1_1_1_1_1_1_3_1_3_2_1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390" priority="5" operator="containsText" text="N/A">
      <formula>NOT(ISERROR(SEARCH("N/A",Z13)))</formula>
    </cfRule>
    <cfRule type="cellIs" dxfId="389" priority="17" operator="equal">
      <formula>0</formula>
    </cfRule>
  </conditionalFormatting>
  <conditionalFormatting sqref="Z13:AG36">
    <cfRule type="cellIs" dxfId="388" priority="16" operator="greaterThanOrEqual">
      <formula>1185</formula>
    </cfRule>
  </conditionalFormatting>
  <conditionalFormatting sqref="Z13:AG36">
    <cfRule type="cellIs" dxfId="387" priority="15" operator="between">
      <formula>0.1</formula>
      <formula>1184</formula>
    </cfRule>
  </conditionalFormatting>
  <conditionalFormatting sqref="Z8:Z9 AT13:AT36 AL37:AQ37 AL13:AR36">
    <cfRule type="cellIs" dxfId="386" priority="14" operator="equal">
      <formula>0</formula>
    </cfRule>
  </conditionalFormatting>
  <conditionalFormatting sqref="Z8:Z9 AT13:AT36 AL37:AQ37 AL13:AR36">
    <cfRule type="cellIs" dxfId="385" priority="13" operator="greaterThan">
      <formula>1179</formula>
    </cfRule>
  </conditionalFormatting>
  <conditionalFormatting sqref="Z8:Z9 AT13:AT36 AL37:AQ37 AL13:AR36">
    <cfRule type="cellIs" dxfId="384" priority="12" operator="greaterThan">
      <formula>99</formula>
    </cfRule>
  </conditionalFormatting>
  <conditionalFormatting sqref="Z8:Z9 AT13:AT36 AL37:AQ37 AL13:AR36">
    <cfRule type="cellIs" dxfId="383" priority="11" operator="greaterThan">
      <formula>0.99</formula>
    </cfRule>
  </conditionalFormatting>
  <conditionalFormatting sqref="AD8:AD9">
    <cfRule type="cellIs" dxfId="382" priority="10" operator="equal">
      <formula>0</formula>
    </cfRule>
  </conditionalFormatting>
  <conditionalFormatting sqref="AD8:AD9">
    <cfRule type="cellIs" dxfId="381" priority="9" operator="greaterThan">
      <formula>1179</formula>
    </cfRule>
  </conditionalFormatting>
  <conditionalFormatting sqref="AD8:AD9">
    <cfRule type="cellIs" dxfId="380" priority="8" operator="greaterThan">
      <formula>99</formula>
    </cfRule>
  </conditionalFormatting>
  <conditionalFormatting sqref="AD8:AD9">
    <cfRule type="cellIs" dxfId="379" priority="7" operator="greaterThan">
      <formula>0.99</formula>
    </cfRule>
  </conditionalFormatting>
  <conditionalFormatting sqref="AK13:AK36">
    <cfRule type="cellIs" dxfId="378" priority="6" operator="greaterThan">
      <formula>$AK$8</formula>
    </cfRule>
  </conditionalFormatting>
  <conditionalFormatting sqref="AS13:AS36">
    <cfRule type="containsText" dxfId="377" priority="1" operator="containsText" text="N/A">
      <formula>NOT(ISERROR(SEARCH("N/A",AS13)))</formula>
    </cfRule>
    <cfRule type="cellIs" dxfId="376" priority="4" operator="equal">
      <formula>0</formula>
    </cfRule>
  </conditionalFormatting>
  <conditionalFormatting sqref="AS13:AS36">
    <cfRule type="cellIs" dxfId="375" priority="3" operator="greaterThanOrEqual">
      <formula>1185</formula>
    </cfRule>
  </conditionalFormatting>
  <conditionalFormatting sqref="AS13:AS36">
    <cfRule type="cellIs" dxfId="374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800-000000000000}">
      <formula1>$BB$11:$BB$42</formula1>
    </dataValidation>
    <dataValidation type="list" allowBlank="1" showInputMessage="1" showErrorMessage="1" sqref="AY33:AZ33" xr:uid="{00000000-0002-0000-0800-000001000000}">
      <formula1>$AY$26:$AY$30</formula1>
    </dataValidation>
    <dataValidation type="list" allowBlank="1" showInputMessage="1" showErrorMessage="1" sqref="AS8:AT9 P11:P12 N11:N12 D8:E9 Q8:V9" xr:uid="{00000000-0002-0000-0800-000002000000}">
      <formula1>#REF!</formula1>
    </dataValidation>
    <dataValidation type="list" allowBlank="1" showInputMessage="1" showErrorMessage="1" sqref="J13:J36" xr:uid="{00000000-0002-0000-0800-000003000000}">
      <formula1>$AY$11:$AY$21</formula1>
    </dataValidation>
  </dataValidations>
  <hyperlinks>
    <hyperlink ref="J10:J11" location="'1'!AH8" display="Plant Status" xr:uid="{00000000-0004-0000-0800-000000000000}"/>
  </hyperlinks>
  <pageMargins left="0.7" right="0.7" top="0.75" bottom="0.75" header="0.3" footer="0.3"/>
  <pageSetup paperSize="9" orientation="portrait" horizont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7030A0"/>
  </sheetPr>
  <dimension ref="A2:BB88"/>
  <sheetViews>
    <sheetView zoomScaleNormal="100" workbookViewId="0">
      <selection activeCell="B56" sqref="B56:B5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47" t="s">
        <v>142</v>
      </c>
      <c r="S3" s="348"/>
      <c r="T3" s="348"/>
      <c r="U3" s="348"/>
      <c r="V3" s="348"/>
      <c r="W3" s="34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47" t="s">
        <v>134</v>
      </c>
      <c r="S4" s="348"/>
      <c r="T4" s="348"/>
      <c r="U4" s="348"/>
      <c r="V4" s="348"/>
      <c r="W4" s="34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47" t="s">
        <v>158</v>
      </c>
      <c r="S5" s="348"/>
      <c r="T5" s="348"/>
      <c r="U5" s="348"/>
      <c r="V5" s="348"/>
      <c r="W5" s="34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50" t="s">
        <v>6</v>
      </c>
      <c r="C6" s="351"/>
      <c r="D6" s="352" t="s">
        <v>7</v>
      </c>
      <c r="E6" s="353"/>
      <c r="F6" s="353"/>
      <c r="G6" s="353"/>
      <c r="H6" s="353"/>
      <c r="I6" s="353"/>
      <c r="J6" s="354"/>
      <c r="K6" s="87"/>
      <c r="L6" s="87"/>
      <c r="M6" s="211"/>
      <c r="N6" s="355">
        <v>41686</v>
      </c>
      <c r="O6" s="356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37" t="s">
        <v>8</v>
      </c>
      <c r="C7" s="338"/>
      <c r="D7" s="337" t="s">
        <v>9</v>
      </c>
      <c r="E7" s="339"/>
      <c r="F7" s="339"/>
      <c r="G7" s="339"/>
      <c r="H7" s="339"/>
      <c r="I7" s="338"/>
      <c r="J7" s="21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16" t="s">
        <v>14</v>
      </c>
      <c r="R7" s="337" t="s">
        <v>15</v>
      </c>
      <c r="S7" s="339"/>
      <c r="T7" s="339"/>
      <c r="U7" s="339"/>
      <c r="V7" s="338"/>
      <c r="W7" s="337" t="s">
        <v>16</v>
      </c>
      <c r="X7" s="338"/>
      <c r="Y7" s="99" t="s">
        <v>17</v>
      </c>
      <c r="Z7" s="337" t="s">
        <v>18</v>
      </c>
      <c r="AA7" s="338"/>
      <c r="AB7" s="337" t="s">
        <v>19</v>
      </c>
      <c r="AC7" s="338"/>
      <c r="AD7" s="337" t="s">
        <v>20</v>
      </c>
      <c r="AE7" s="338"/>
      <c r="AF7" s="337" t="s">
        <v>21</v>
      </c>
      <c r="AG7" s="338"/>
      <c r="AH7" s="99" t="s">
        <v>22</v>
      </c>
      <c r="AI7" s="99" t="s">
        <v>23</v>
      </c>
      <c r="AJ7" s="99" t="s">
        <v>24</v>
      </c>
      <c r="AK7" s="99" t="s">
        <v>25</v>
      </c>
      <c r="AL7" s="337" t="s">
        <v>26</v>
      </c>
      <c r="AM7" s="339"/>
      <c r="AN7" s="339"/>
      <c r="AO7" s="339"/>
      <c r="AP7" s="339"/>
      <c r="AQ7" s="338"/>
      <c r="AR7" s="337" t="s">
        <v>27</v>
      </c>
      <c r="AS7" s="339"/>
      <c r="AT7" s="33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40">
        <v>43230</v>
      </c>
      <c r="C8" s="341"/>
      <c r="D8" s="342" t="s">
        <v>29</v>
      </c>
      <c r="E8" s="343"/>
      <c r="F8" s="343"/>
      <c r="G8" s="343"/>
      <c r="H8" s="343"/>
      <c r="I8" s="344"/>
      <c r="J8" s="28"/>
      <c r="K8" s="342" t="s">
        <v>29</v>
      </c>
      <c r="L8" s="343"/>
      <c r="M8" s="34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42" t="s">
        <v>33</v>
      </c>
      <c r="X8" s="344"/>
      <c r="Y8" s="30" t="s">
        <v>34</v>
      </c>
      <c r="Z8" s="326">
        <v>0</v>
      </c>
      <c r="AA8" s="327"/>
      <c r="AB8" s="345" t="s">
        <v>35</v>
      </c>
      <c r="AC8" s="346"/>
      <c r="AD8" s="326">
        <v>1185</v>
      </c>
      <c r="AE8" s="327"/>
      <c r="AF8" s="328">
        <v>800</v>
      </c>
      <c r="AG8" s="329"/>
      <c r="AH8" s="28"/>
      <c r="AI8" s="30">
        <f>AI36-AI11</f>
        <v>27719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17"/>
      <c r="C9" s="218"/>
      <c r="D9" s="219"/>
      <c r="E9" s="220"/>
      <c r="F9" s="220"/>
      <c r="G9" s="220"/>
      <c r="H9" s="220"/>
      <c r="I9" s="221"/>
      <c r="J9" s="121"/>
      <c r="K9" s="219"/>
      <c r="L9" s="220"/>
      <c r="M9" s="221"/>
      <c r="N9" s="29"/>
      <c r="O9" s="29"/>
      <c r="P9" s="29"/>
      <c r="Q9" s="121"/>
      <c r="R9" s="121"/>
      <c r="S9" s="121"/>
      <c r="T9" s="122"/>
      <c r="U9" s="123"/>
      <c r="V9" s="124"/>
      <c r="W9" s="219"/>
      <c r="X9" s="221"/>
      <c r="Y9" s="30"/>
      <c r="Z9" s="214"/>
      <c r="AA9" s="125"/>
      <c r="AB9" s="126"/>
      <c r="AC9" s="126"/>
      <c r="AD9" s="125"/>
      <c r="AE9" s="125"/>
      <c r="AF9" s="127"/>
      <c r="AG9" s="215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30" t="s">
        <v>39</v>
      </c>
      <c r="C10" s="331"/>
      <c r="D10" s="330" t="s">
        <v>40</v>
      </c>
      <c r="E10" s="332"/>
      <c r="F10" s="331"/>
      <c r="G10" s="330" t="s">
        <v>41</v>
      </c>
      <c r="H10" s="332"/>
      <c r="I10" s="331"/>
      <c r="J10" s="333" t="s">
        <v>42</v>
      </c>
      <c r="K10" s="330" t="s">
        <v>43</v>
      </c>
      <c r="L10" s="332"/>
      <c r="M10" s="331"/>
      <c r="N10" s="99" t="s">
        <v>44</v>
      </c>
      <c r="O10" s="335" t="s">
        <v>45</v>
      </c>
      <c r="P10" s="33" t="s">
        <v>46</v>
      </c>
      <c r="Q10" s="324" t="s">
        <v>47</v>
      </c>
      <c r="R10" s="324" t="s">
        <v>48</v>
      </c>
      <c r="S10" s="34" t="s">
        <v>49</v>
      </c>
      <c r="T10" s="312" t="s">
        <v>50</v>
      </c>
      <c r="U10" s="313"/>
      <c r="V10" s="314"/>
      <c r="W10" s="212" t="s">
        <v>51</v>
      </c>
      <c r="X10" s="212" t="s">
        <v>52</v>
      </c>
      <c r="Y10" s="318" t="s">
        <v>53</v>
      </c>
      <c r="Z10" s="319" t="s">
        <v>54</v>
      </c>
      <c r="AA10" s="320"/>
      <c r="AB10" s="320"/>
      <c r="AC10" s="320"/>
      <c r="AD10" s="320"/>
      <c r="AE10" s="320"/>
      <c r="AF10" s="320"/>
      <c r="AG10" s="321"/>
      <c r="AH10" s="210" t="s">
        <v>55</v>
      </c>
      <c r="AI10" s="210" t="s">
        <v>56</v>
      </c>
      <c r="AJ10" s="307" t="s">
        <v>57</v>
      </c>
      <c r="AK10" s="322" t="s">
        <v>58</v>
      </c>
      <c r="AL10" s="212" t="s">
        <v>59</v>
      </c>
      <c r="AM10" s="212" t="s">
        <v>60</v>
      </c>
      <c r="AN10" s="212" t="s">
        <v>61</v>
      </c>
      <c r="AO10" s="212" t="s">
        <v>62</v>
      </c>
      <c r="AP10" s="212" t="s">
        <v>63</v>
      </c>
      <c r="AQ10" s="212" t="s">
        <v>123</v>
      </c>
      <c r="AR10" s="212" t="s">
        <v>64</v>
      </c>
      <c r="AS10" s="212" t="s">
        <v>65</v>
      </c>
      <c r="AT10" s="324" t="s">
        <v>66</v>
      </c>
      <c r="AU10" s="212" t="s">
        <v>67</v>
      </c>
      <c r="AV10" s="30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12" t="s">
        <v>72</v>
      </c>
      <c r="C11" s="212" t="s">
        <v>73</v>
      </c>
      <c r="D11" s="212" t="s">
        <v>74</v>
      </c>
      <c r="E11" s="212" t="s">
        <v>75</v>
      </c>
      <c r="F11" s="212" t="s">
        <v>126</v>
      </c>
      <c r="G11" s="212" t="s">
        <v>74</v>
      </c>
      <c r="H11" s="212" t="s">
        <v>75</v>
      </c>
      <c r="I11" s="212" t="s">
        <v>126</v>
      </c>
      <c r="J11" s="334"/>
      <c r="K11" s="212" t="s">
        <v>75</v>
      </c>
      <c r="L11" s="212" t="s">
        <v>75</v>
      </c>
      <c r="M11" s="212" t="s">
        <v>75</v>
      </c>
      <c r="N11" s="28" t="s">
        <v>29</v>
      </c>
      <c r="O11" s="336"/>
      <c r="P11" s="28" t="s">
        <v>29</v>
      </c>
      <c r="Q11" s="325"/>
      <c r="R11" s="325"/>
      <c r="S11" s="1">
        <f>'MAY 9'!S36</f>
        <v>93959413</v>
      </c>
      <c r="T11" s="315"/>
      <c r="U11" s="316"/>
      <c r="V11" s="317"/>
      <c r="W11" s="212" t="s">
        <v>75</v>
      </c>
      <c r="X11" s="212" t="s">
        <v>75</v>
      </c>
      <c r="Y11" s="31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'MAY 9'!AI36</f>
        <v>15601845</v>
      </c>
      <c r="AJ11" s="307"/>
      <c r="AK11" s="323"/>
      <c r="AL11" s="212" t="s">
        <v>84</v>
      </c>
      <c r="AM11" s="212" t="s">
        <v>84</v>
      </c>
      <c r="AN11" s="212" t="s">
        <v>84</v>
      </c>
      <c r="AO11" s="212" t="s">
        <v>84</v>
      </c>
      <c r="AP11" s="212" t="s">
        <v>84</v>
      </c>
      <c r="AQ11" s="212" t="s">
        <v>84</v>
      </c>
      <c r="AR11" s="212" t="s">
        <v>84</v>
      </c>
      <c r="AS11" s="1"/>
      <c r="AT11" s="325"/>
      <c r="AU11" s="213" t="s">
        <v>85</v>
      </c>
      <c r="AV11" s="307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283</v>
      </c>
      <c r="B12" s="305" t="s">
        <v>284</v>
      </c>
      <c r="C12" s="305" t="s">
        <v>285</v>
      </c>
      <c r="D12" s="305" t="s">
        <v>286</v>
      </c>
      <c r="E12" s="305" t="s">
        <v>287</v>
      </c>
      <c r="F12" s="305" t="s">
        <v>288</v>
      </c>
      <c r="G12" s="305" t="s">
        <v>289</v>
      </c>
      <c r="H12" s="305" t="s">
        <v>290</v>
      </c>
      <c r="I12" s="305" t="s">
        <v>291</v>
      </c>
      <c r="J12" s="297" t="s">
        <v>292</v>
      </c>
      <c r="K12" s="305" t="s">
        <v>293</v>
      </c>
      <c r="L12" s="305" t="s">
        <v>294</v>
      </c>
      <c r="M12" s="305" t="s">
        <v>295</v>
      </c>
      <c r="N12" s="28" t="s">
        <v>296</v>
      </c>
      <c r="O12" s="298" t="s">
        <v>297</v>
      </c>
      <c r="P12" s="28" t="s">
        <v>298</v>
      </c>
      <c r="Q12" s="300" t="s">
        <v>299</v>
      </c>
      <c r="R12" s="300" t="s">
        <v>300</v>
      </c>
      <c r="S12" s="1" t="s">
        <v>301</v>
      </c>
      <c r="T12" s="302" t="s">
        <v>302</v>
      </c>
      <c r="U12" s="303" t="s">
        <v>303</v>
      </c>
      <c r="V12" s="304" t="s">
        <v>304</v>
      </c>
      <c r="W12" s="305" t="s">
        <v>305</v>
      </c>
      <c r="X12" s="305" t="s">
        <v>306</v>
      </c>
      <c r="Y12" s="305" t="s">
        <v>307</v>
      </c>
      <c r="Z12" s="37" t="s">
        <v>308</v>
      </c>
      <c r="AA12" s="37" t="s">
        <v>309</v>
      </c>
      <c r="AB12" s="37" t="s">
        <v>310</v>
      </c>
      <c r="AC12" s="37" t="s">
        <v>311</v>
      </c>
      <c r="AD12" s="37" t="s">
        <v>312</v>
      </c>
      <c r="AE12" s="37" t="s">
        <v>313</v>
      </c>
      <c r="AF12" s="37" t="s">
        <v>314</v>
      </c>
      <c r="AG12" s="37" t="s">
        <v>315</v>
      </c>
      <c r="AH12" s="38" t="s">
        <v>316</v>
      </c>
      <c r="AI12" s="1" t="s">
        <v>317</v>
      </c>
      <c r="AJ12" s="301" t="s">
        <v>318</v>
      </c>
      <c r="AK12" s="306" t="s">
        <v>319</v>
      </c>
      <c r="AL12" s="305" t="s">
        <v>320</v>
      </c>
      <c r="AM12" s="305" t="s">
        <v>321</v>
      </c>
      <c r="AN12" s="305" t="s">
        <v>322</v>
      </c>
      <c r="AO12" s="305" t="s">
        <v>323</v>
      </c>
      <c r="AP12" s="305" t="s">
        <v>324</v>
      </c>
      <c r="AQ12" s="305" t="s">
        <v>325</v>
      </c>
      <c r="AR12" s="305" t="s">
        <v>326</v>
      </c>
      <c r="AS12" s="1" t="s">
        <v>327</v>
      </c>
      <c r="AT12" s="300" t="s">
        <v>328</v>
      </c>
      <c r="AU12" s="299" t="s">
        <v>329</v>
      </c>
      <c r="AV12" s="301"/>
      <c r="AY12" s="39"/>
      <c r="AZ12" s="39"/>
      <c r="BB12" s="136"/>
    </row>
    <row r="13" spans="1:54" x14ac:dyDescent="0.35">
      <c r="A13" s="357">
        <v>43230</v>
      </c>
      <c r="B13" s="40">
        <v>2</v>
      </c>
      <c r="C13" s="40">
        <v>4.1666666666666664E-2</v>
      </c>
      <c r="D13" s="156">
        <v>3</v>
      </c>
      <c r="E13" s="154">
        <f>D13/1.42</f>
        <v>2.1126760563380285</v>
      </c>
      <c r="F13" s="154">
        <v>3</v>
      </c>
      <c r="G13" s="118">
        <v>71</v>
      </c>
      <c r="H13" s="154">
        <f t="shared" ref="H13:H36" si="0">G13/1.42</f>
        <v>50</v>
      </c>
      <c r="I13" s="154">
        <v>70</v>
      </c>
      <c r="J13" s="41" t="s">
        <v>88</v>
      </c>
      <c r="K13" s="41">
        <f>L13-(2/1.42)</f>
        <v>45.070422535211272</v>
      </c>
      <c r="L13" s="42">
        <f>(G13-5)/1.42</f>
        <v>46.478873239436624</v>
      </c>
      <c r="M13" s="41">
        <f>L13+(6/1.42)</f>
        <v>50.70422535211268</v>
      </c>
      <c r="N13" s="43">
        <v>14</v>
      </c>
      <c r="O13" s="44" t="s">
        <v>89</v>
      </c>
      <c r="P13" s="44">
        <v>11.4</v>
      </c>
      <c r="Q13" s="157">
        <v>148</v>
      </c>
      <c r="R13" s="157"/>
      <c r="S13" s="157">
        <v>93963518</v>
      </c>
      <c r="T13" s="45">
        <f>IF(ISBLANK(S13),"-",S13-S11)</f>
        <v>4105</v>
      </c>
      <c r="U13" s="46">
        <f>T13*24/1000</f>
        <v>98.52</v>
      </c>
      <c r="V13" s="46">
        <f>T13/1000</f>
        <v>4.1050000000000004</v>
      </c>
      <c r="W13" s="96">
        <v>4.4000000000000004</v>
      </c>
      <c r="X13" s="96">
        <f t="shared" ref="X13:X36" si="1">W13</f>
        <v>4.4000000000000004</v>
      </c>
      <c r="Y13" s="97" t="s">
        <v>138</v>
      </c>
      <c r="Z13" s="158">
        <v>0</v>
      </c>
      <c r="AA13" s="158">
        <v>0</v>
      </c>
      <c r="AB13" s="158">
        <v>1188</v>
      </c>
      <c r="AC13" s="158">
        <v>1185</v>
      </c>
      <c r="AD13" s="158">
        <v>0</v>
      </c>
      <c r="AE13" s="158">
        <v>1185</v>
      </c>
      <c r="AF13" s="47" t="s">
        <v>90</v>
      </c>
      <c r="AG13" s="47" t="s">
        <v>90</v>
      </c>
      <c r="AH13" s="98" t="s">
        <v>90</v>
      </c>
      <c r="AI13" s="103">
        <v>15602976</v>
      </c>
      <c r="AJ13" s="45">
        <f>IF(ISBLANK(AI13),"-",AI13-AI11)</f>
        <v>1131</v>
      </c>
      <c r="AK13" s="48">
        <f>AJ13/V13</f>
        <v>275.51766138855049</v>
      </c>
      <c r="AL13" s="155">
        <v>0</v>
      </c>
      <c r="AM13" s="155">
        <v>0</v>
      </c>
      <c r="AN13" s="155">
        <v>1</v>
      </c>
      <c r="AO13" s="155">
        <v>1</v>
      </c>
      <c r="AP13" s="155">
        <v>0</v>
      </c>
      <c r="AQ13" s="155">
        <v>1</v>
      </c>
      <c r="AR13" s="155">
        <v>0.8</v>
      </c>
      <c r="AS13" s="158"/>
      <c r="AT13" s="158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357">
        <v>43230</v>
      </c>
      <c r="B14" s="40">
        <v>2.0416666666666701</v>
      </c>
      <c r="C14" s="40">
        <v>8.3333333333333329E-2</v>
      </c>
      <c r="D14" s="156">
        <v>3</v>
      </c>
      <c r="E14" s="154">
        <f t="shared" ref="E14:E36" si="2">D14/1.42</f>
        <v>2.1126760563380285</v>
      </c>
      <c r="F14" s="154">
        <v>4</v>
      </c>
      <c r="G14" s="118">
        <v>72</v>
      </c>
      <c r="H14" s="154">
        <f t="shared" si="0"/>
        <v>50.70422535211268</v>
      </c>
      <c r="I14" s="154">
        <v>71</v>
      </c>
      <c r="J14" s="41" t="s">
        <v>88</v>
      </c>
      <c r="K14" s="41">
        <f t="shared" ref="K14:K36" si="3">L14-(2/1.42)</f>
        <v>45.774647887323944</v>
      </c>
      <c r="L14" s="42">
        <f>(G14-5)/1.42</f>
        <v>47.183098591549296</v>
      </c>
      <c r="M14" s="41">
        <f>L14+(6/1.42)</f>
        <v>51.408450704225352</v>
      </c>
      <c r="N14" s="43">
        <v>14</v>
      </c>
      <c r="O14" s="44" t="s">
        <v>89</v>
      </c>
      <c r="P14" s="44">
        <v>11.2</v>
      </c>
      <c r="Q14" s="157">
        <v>143</v>
      </c>
      <c r="R14" s="157"/>
      <c r="S14" s="157">
        <v>93967396</v>
      </c>
      <c r="T14" s="45">
        <f t="shared" ref="T14:T36" si="4">IF(ISBLANK(S14),"-",S14-S13)</f>
        <v>3878</v>
      </c>
      <c r="U14" s="46">
        <f t="shared" ref="U14:U37" si="5">T14*24/1000</f>
        <v>93.072000000000003</v>
      </c>
      <c r="V14" s="46">
        <f t="shared" ref="V14:V37" si="6">T14/1000</f>
        <v>3.8780000000000001</v>
      </c>
      <c r="W14" s="96">
        <v>6</v>
      </c>
      <c r="X14" s="96">
        <f t="shared" si="1"/>
        <v>6</v>
      </c>
      <c r="Y14" s="97" t="s">
        <v>138</v>
      </c>
      <c r="Z14" s="158">
        <v>0</v>
      </c>
      <c r="AA14" s="158">
        <v>0</v>
      </c>
      <c r="AB14" s="158">
        <v>1187</v>
      </c>
      <c r="AC14" s="158">
        <v>1185</v>
      </c>
      <c r="AD14" s="158">
        <v>0</v>
      </c>
      <c r="AE14" s="158">
        <v>1185</v>
      </c>
      <c r="AF14" s="47" t="s">
        <v>90</v>
      </c>
      <c r="AG14" s="47" t="s">
        <v>90</v>
      </c>
      <c r="AH14" s="98" t="s">
        <v>90</v>
      </c>
      <c r="AI14" s="103">
        <v>15604104</v>
      </c>
      <c r="AJ14" s="45">
        <f t="shared" ref="AJ14:AJ36" si="7">IF(ISBLANK(AI14),"-",AI14-AI13)</f>
        <v>1128</v>
      </c>
      <c r="AK14" s="48">
        <f t="shared" ref="AK14:AK36" si="8">AJ14/V14</f>
        <v>290.87158329035583</v>
      </c>
      <c r="AL14" s="155">
        <v>0</v>
      </c>
      <c r="AM14" s="155">
        <v>0</v>
      </c>
      <c r="AN14" s="155">
        <v>1</v>
      </c>
      <c r="AO14" s="155">
        <v>1</v>
      </c>
      <c r="AP14" s="155">
        <v>0</v>
      </c>
      <c r="AQ14" s="155">
        <v>1</v>
      </c>
      <c r="AR14" s="155">
        <v>0.8</v>
      </c>
      <c r="AS14" s="158"/>
      <c r="AT14" s="158">
        <f t="shared" ref="AT14:AT35" si="9">AS14-AS13</f>
        <v>0</v>
      </c>
      <c r="AU14" s="119">
        <v>0.97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57">
        <v>43230</v>
      </c>
      <c r="B15" s="40">
        <v>2.0833333333333299</v>
      </c>
      <c r="C15" s="40">
        <v>0.125</v>
      </c>
      <c r="D15" s="156">
        <v>3</v>
      </c>
      <c r="E15" s="154">
        <f t="shared" si="2"/>
        <v>2.1126760563380285</v>
      </c>
      <c r="F15" s="154">
        <v>5</v>
      </c>
      <c r="G15" s="118">
        <v>73</v>
      </c>
      <c r="H15" s="154">
        <f t="shared" si="0"/>
        <v>51.408450704225352</v>
      </c>
      <c r="I15" s="154">
        <v>71</v>
      </c>
      <c r="J15" s="41" t="s">
        <v>88</v>
      </c>
      <c r="K15" s="41">
        <f t="shared" si="3"/>
        <v>46.478873239436624</v>
      </c>
      <c r="L15" s="42">
        <f>(G15-5)/1.42</f>
        <v>47.887323943661976</v>
      </c>
      <c r="M15" s="41">
        <f>L15+(6/1.42)</f>
        <v>52.112676056338032</v>
      </c>
      <c r="N15" s="43">
        <v>14</v>
      </c>
      <c r="O15" s="44" t="s">
        <v>89</v>
      </c>
      <c r="P15" s="44">
        <v>11.2</v>
      </c>
      <c r="Q15" s="157">
        <v>146</v>
      </c>
      <c r="R15" s="157"/>
      <c r="S15" s="157">
        <v>93971364</v>
      </c>
      <c r="T15" s="45">
        <f>IF(ISBLANK(S15),"-",S15-S14)</f>
        <v>3968</v>
      </c>
      <c r="U15" s="46">
        <f t="shared" si="5"/>
        <v>95.231999999999999</v>
      </c>
      <c r="V15" s="46">
        <f t="shared" si="6"/>
        <v>3.968</v>
      </c>
      <c r="W15" s="96">
        <v>7.5</v>
      </c>
      <c r="X15" s="96">
        <f t="shared" si="1"/>
        <v>7.5</v>
      </c>
      <c r="Y15" s="97" t="s">
        <v>138</v>
      </c>
      <c r="Z15" s="158">
        <v>0</v>
      </c>
      <c r="AA15" s="158">
        <v>0</v>
      </c>
      <c r="AB15" s="158">
        <v>1187</v>
      </c>
      <c r="AC15" s="158">
        <v>1185</v>
      </c>
      <c r="AD15" s="158">
        <v>0</v>
      </c>
      <c r="AE15" s="158">
        <v>1185</v>
      </c>
      <c r="AF15" s="47" t="s">
        <v>90</v>
      </c>
      <c r="AG15" s="47" t="s">
        <v>90</v>
      </c>
      <c r="AH15" s="98" t="s">
        <v>90</v>
      </c>
      <c r="AI15" s="103">
        <v>15605262</v>
      </c>
      <c r="AJ15" s="45">
        <f t="shared" si="7"/>
        <v>1158</v>
      </c>
      <c r="AK15" s="48">
        <f t="shared" si="8"/>
        <v>291.83467741935482</v>
      </c>
      <c r="AL15" s="155">
        <v>0</v>
      </c>
      <c r="AM15" s="155">
        <v>0</v>
      </c>
      <c r="AN15" s="155">
        <v>1</v>
      </c>
      <c r="AO15" s="155">
        <v>1</v>
      </c>
      <c r="AP15" s="155">
        <v>0</v>
      </c>
      <c r="AQ15" s="155">
        <v>1</v>
      </c>
      <c r="AR15" s="155">
        <v>0.8</v>
      </c>
      <c r="AS15" s="158"/>
      <c r="AT15" s="158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357">
        <v>43230</v>
      </c>
      <c r="B16" s="40">
        <v>2.125</v>
      </c>
      <c r="C16" s="40">
        <v>0.16666666666666699</v>
      </c>
      <c r="D16" s="156">
        <v>3</v>
      </c>
      <c r="E16" s="154">
        <f t="shared" si="2"/>
        <v>2.1126760563380285</v>
      </c>
      <c r="F16" s="154">
        <v>6</v>
      </c>
      <c r="G16" s="118">
        <v>71</v>
      </c>
      <c r="H16" s="154">
        <f t="shared" si="0"/>
        <v>50</v>
      </c>
      <c r="I16" s="154">
        <v>72</v>
      </c>
      <c r="J16" s="41" t="s">
        <v>88</v>
      </c>
      <c r="K16" s="41">
        <f t="shared" si="3"/>
        <v>45.070422535211272</v>
      </c>
      <c r="L16" s="42">
        <f>(G16-5)/1.42</f>
        <v>46.478873239436624</v>
      </c>
      <c r="M16" s="41">
        <f>L16+(6/1.42)</f>
        <v>50.70422535211268</v>
      </c>
      <c r="N16" s="43">
        <v>14</v>
      </c>
      <c r="O16" s="44" t="s">
        <v>89</v>
      </c>
      <c r="P16" s="44">
        <v>12.8</v>
      </c>
      <c r="Q16" s="157">
        <v>145</v>
      </c>
      <c r="R16" s="157"/>
      <c r="S16" s="157">
        <v>93975113</v>
      </c>
      <c r="T16" s="45">
        <f t="shared" si="4"/>
        <v>3749</v>
      </c>
      <c r="U16" s="46">
        <f t="shared" si="5"/>
        <v>89.975999999999999</v>
      </c>
      <c r="V16" s="46">
        <f t="shared" si="6"/>
        <v>3.7490000000000001</v>
      </c>
      <c r="W16" s="96">
        <v>9</v>
      </c>
      <c r="X16" s="96">
        <f t="shared" si="1"/>
        <v>9</v>
      </c>
      <c r="Y16" s="97" t="s">
        <v>138</v>
      </c>
      <c r="Z16" s="158">
        <v>0</v>
      </c>
      <c r="AA16" s="158">
        <v>0</v>
      </c>
      <c r="AB16" s="158">
        <v>1187</v>
      </c>
      <c r="AC16" s="158">
        <v>1185</v>
      </c>
      <c r="AD16" s="158">
        <v>0</v>
      </c>
      <c r="AE16" s="158">
        <v>1185</v>
      </c>
      <c r="AF16" s="47" t="s">
        <v>90</v>
      </c>
      <c r="AG16" s="47" t="s">
        <v>90</v>
      </c>
      <c r="AH16" s="98" t="s">
        <v>90</v>
      </c>
      <c r="AI16" s="103">
        <v>15606346</v>
      </c>
      <c r="AJ16" s="45">
        <f t="shared" si="7"/>
        <v>1084</v>
      </c>
      <c r="AK16" s="48">
        <f t="shared" si="8"/>
        <v>289.14377167244595</v>
      </c>
      <c r="AL16" s="155">
        <v>0</v>
      </c>
      <c r="AM16" s="155">
        <v>0</v>
      </c>
      <c r="AN16" s="155">
        <v>1</v>
      </c>
      <c r="AO16" s="155">
        <v>1</v>
      </c>
      <c r="AP16" s="155">
        <v>0</v>
      </c>
      <c r="AQ16" s="155">
        <v>1</v>
      </c>
      <c r="AR16" s="155">
        <v>0.8</v>
      </c>
      <c r="AS16" s="158"/>
      <c r="AT16" s="158">
        <f t="shared" si="9"/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357">
        <v>43230</v>
      </c>
      <c r="B17" s="40">
        <v>2.1666666666666701</v>
      </c>
      <c r="C17" s="40">
        <v>0.20833333333333301</v>
      </c>
      <c r="D17" s="156">
        <v>3</v>
      </c>
      <c r="E17" s="154">
        <f t="shared" si="2"/>
        <v>2.1126760563380285</v>
      </c>
      <c r="F17" s="154">
        <v>7</v>
      </c>
      <c r="G17" s="118">
        <v>82</v>
      </c>
      <c r="H17" s="154">
        <f t="shared" si="0"/>
        <v>57.74647887323944</v>
      </c>
      <c r="I17" s="154">
        <v>78</v>
      </c>
      <c r="J17" s="41" t="s">
        <v>88</v>
      </c>
      <c r="K17" s="41">
        <f t="shared" si="3"/>
        <v>52.816901408450704</v>
      </c>
      <c r="L17" s="42">
        <f>(G17-5)/1.42</f>
        <v>54.225352112676056</v>
      </c>
      <c r="M17" s="41">
        <f>L17+(6/1.42)</f>
        <v>58.450704225352112</v>
      </c>
      <c r="N17" s="43">
        <v>18</v>
      </c>
      <c r="O17" s="44" t="s">
        <v>89</v>
      </c>
      <c r="P17" s="44">
        <v>13.1</v>
      </c>
      <c r="Q17" s="157">
        <v>127</v>
      </c>
      <c r="R17" s="157"/>
      <c r="S17" s="157">
        <v>93978987</v>
      </c>
      <c r="T17" s="45">
        <f t="shared" si="4"/>
        <v>3874</v>
      </c>
      <c r="U17" s="46">
        <f t="shared" si="5"/>
        <v>92.975999999999999</v>
      </c>
      <c r="V17" s="46">
        <f t="shared" si="6"/>
        <v>3.8740000000000001</v>
      </c>
      <c r="W17" s="96">
        <v>9.5</v>
      </c>
      <c r="X17" s="96">
        <f t="shared" si="1"/>
        <v>9.5</v>
      </c>
      <c r="Y17" s="97" t="s">
        <v>138</v>
      </c>
      <c r="Z17" s="158">
        <v>0</v>
      </c>
      <c r="AA17" s="158">
        <v>0</v>
      </c>
      <c r="AB17" s="158">
        <v>1187</v>
      </c>
      <c r="AC17" s="158">
        <v>1185</v>
      </c>
      <c r="AD17" s="158">
        <v>0</v>
      </c>
      <c r="AE17" s="158">
        <v>1185</v>
      </c>
      <c r="AF17" s="47" t="s">
        <v>90</v>
      </c>
      <c r="AG17" s="47" t="s">
        <v>90</v>
      </c>
      <c r="AH17" s="98" t="s">
        <v>90</v>
      </c>
      <c r="AI17" s="103">
        <v>15607423</v>
      </c>
      <c r="AJ17" s="45">
        <f t="shared" si="7"/>
        <v>1077</v>
      </c>
      <c r="AK17" s="48">
        <f t="shared" si="8"/>
        <v>278.00722767165718</v>
      </c>
      <c r="AL17" s="155">
        <v>0</v>
      </c>
      <c r="AM17" s="155">
        <v>0</v>
      </c>
      <c r="AN17" s="155">
        <v>1</v>
      </c>
      <c r="AO17" s="155">
        <v>1</v>
      </c>
      <c r="AP17" s="155">
        <v>0</v>
      </c>
      <c r="AQ17" s="155">
        <v>1</v>
      </c>
      <c r="AR17" s="155">
        <v>0</v>
      </c>
      <c r="AS17" s="158"/>
      <c r="AT17" s="158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57">
        <v>43230</v>
      </c>
      <c r="B18" s="40">
        <v>2.2083333333333299</v>
      </c>
      <c r="C18" s="40">
        <v>0.25</v>
      </c>
      <c r="D18" s="156">
        <v>3</v>
      </c>
      <c r="E18" s="154">
        <f t="shared" si="2"/>
        <v>2.1126760563380285</v>
      </c>
      <c r="F18" s="154">
        <v>8</v>
      </c>
      <c r="G18" s="118">
        <v>81</v>
      </c>
      <c r="H18" s="154">
        <f t="shared" si="0"/>
        <v>57.04225352112676</v>
      </c>
      <c r="I18" s="154">
        <v>79</v>
      </c>
      <c r="J18" s="41" t="s">
        <v>88</v>
      </c>
      <c r="K18" s="41">
        <f t="shared" si="3"/>
        <v>55.633802816901408</v>
      </c>
      <c r="L18" s="42">
        <f t="shared" ref="L18:L27" si="10">G18/1.42</f>
        <v>57.04225352112676</v>
      </c>
      <c r="M18" s="41">
        <f>L18+1.42</f>
        <v>58.462253521126762</v>
      </c>
      <c r="N18" s="43">
        <v>19</v>
      </c>
      <c r="O18" s="44" t="s">
        <v>100</v>
      </c>
      <c r="P18" s="44">
        <v>13.1</v>
      </c>
      <c r="Q18" s="157">
        <v>137</v>
      </c>
      <c r="R18" s="157"/>
      <c r="S18" s="157">
        <v>93983530</v>
      </c>
      <c r="T18" s="45">
        <f t="shared" si="4"/>
        <v>4543</v>
      </c>
      <c r="U18" s="46">
        <f t="shared" si="5"/>
        <v>109.032</v>
      </c>
      <c r="V18" s="46">
        <f t="shared" si="6"/>
        <v>4.5430000000000001</v>
      </c>
      <c r="W18" s="96">
        <v>9.5</v>
      </c>
      <c r="X18" s="96">
        <f t="shared" si="1"/>
        <v>9.5</v>
      </c>
      <c r="Y18" s="97" t="s">
        <v>138</v>
      </c>
      <c r="Z18" s="158">
        <v>0</v>
      </c>
      <c r="AA18" s="158">
        <v>0</v>
      </c>
      <c r="AB18" s="158">
        <v>1187</v>
      </c>
      <c r="AC18" s="158">
        <v>1185</v>
      </c>
      <c r="AD18" s="158">
        <v>0</v>
      </c>
      <c r="AE18" s="158">
        <v>1185</v>
      </c>
      <c r="AF18" s="47" t="s">
        <v>90</v>
      </c>
      <c r="AG18" s="47" t="s">
        <v>90</v>
      </c>
      <c r="AH18" s="98" t="s">
        <v>90</v>
      </c>
      <c r="AI18" s="103">
        <v>15608518</v>
      </c>
      <c r="AJ18" s="45">
        <f t="shared" si="7"/>
        <v>1095</v>
      </c>
      <c r="AK18" s="48">
        <f t="shared" si="8"/>
        <v>241.03015628439357</v>
      </c>
      <c r="AL18" s="155">
        <v>0</v>
      </c>
      <c r="AM18" s="155">
        <v>0</v>
      </c>
      <c r="AN18" s="155">
        <v>1</v>
      </c>
      <c r="AO18" s="155">
        <v>1</v>
      </c>
      <c r="AP18" s="155">
        <v>0</v>
      </c>
      <c r="AQ18" s="155">
        <v>1</v>
      </c>
      <c r="AR18" s="155">
        <v>0</v>
      </c>
      <c r="AS18" s="158"/>
      <c r="AT18" s="158">
        <f t="shared" si="9"/>
        <v>0</v>
      </c>
      <c r="AU18" s="119">
        <v>1.08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57">
        <v>43230</v>
      </c>
      <c r="B19" s="40">
        <v>2.25</v>
      </c>
      <c r="C19" s="40">
        <v>0.29166666666666669</v>
      </c>
      <c r="D19" s="156">
        <v>3</v>
      </c>
      <c r="E19" s="154">
        <f t="shared" si="2"/>
        <v>2.1126760563380285</v>
      </c>
      <c r="F19" s="154">
        <v>7</v>
      </c>
      <c r="G19" s="118">
        <v>78</v>
      </c>
      <c r="H19" s="154">
        <f t="shared" si="0"/>
        <v>54.929577464788736</v>
      </c>
      <c r="I19" s="154">
        <v>77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7">
        <v>132</v>
      </c>
      <c r="R19" s="157"/>
      <c r="S19" s="157">
        <v>93988303</v>
      </c>
      <c r="T19" s="45">
        <f t="shared" si="4"/>
        <v>4773</v>
      </c>
      <c r="U19" s="46">
        <f t="shared" si="5"/>
        <v>114.55200000000001</v>
      </c>
      <c r="V19" s="46">
        <f t="shared" si="6"/>
        <v>4.7729999999999997</v>
      </c>
      <c r="W19" s="96">
        <v>9</v>
      </c>
      <c r="X19" s="96">
        <f t="shared" si="1"/>
        <v>9</v>
      </c>
      <c r="Y19" s="97" t="s">
        <v>169</v>
      </c>
      <c r="Z19" s="158">
        <v>0</v>
      </c>
      <c r="AA19" s="158">
        <v>1017</v>
      </c>
      <c r="AB19" s="158">
        <v>1187</v>
      </c>
      <c r="AC19" s="158">
        <v>1185</v>
      </c>
      <c r="AD19" s="158">
        <v>0</v>
      </c>
      <c r="AE19" s="158">
        <v>1185</v>
      </c>
      <c r="AF19" s="47" t="s">
        <v>90</v>
      </c>
      <c r="AG19" s="47" t="s">
        <v>90</v>
      </c>
      <c r="AH19" s="98" t="s">
        <v>90</v>
      </c>
      <c r="AI19" s="103">
        <v>15609711</v>
      </c>
      <c r="AJ19" s="45">
        <f t="shared" si="7"/>
        <v>1193</v>
      </c>
      <c r="AK19" s="48">
        <f t="shared" si="8"/>
        <v>249.94762204064531</v>
      </c>
      <c r="AL19" s="155">
        <v>0</v>
      </c>
      <c r="AM19" s="155">
        <v>1</v>
      </c>
      <c r="AN19" s="155">
        <v>1</v>
      </c>
      <c r="AO19" s="155">
        <v>1</v>
      </c>
      <c r="AP19" s="155">
        <v>0</v>
      </c>
      <c r="AQ19" s="155">
        <v>1</v>
      </c>
      <c r="AR19" s="155">
        <v>0</v>
      </c>
      <c r="AS19" s="158"/>
      <c r="AT19" s="158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57">
        <v>43230</v>
      </c>
      <c r="B20" s="40">
        <v>2.2916666666666701</v>
      </c>
      <c r="C20" s="40">
        <v>0.33333333333333298</v>
      </c>
      <c r="D20" s="156">
        <v>3</v>
      </c>
      <c r="E20" s="154">
        <f t="shared" si="2"/>
        <v>2.1126760563380285</v>
      </c>
      <c r="F20" s="154">
        <v>6</v>
      </c>
      <c r="G20" s="118">
        <v>77</v>
      </c>
      <c r="H20" s="154">
        <f t="shared" si="0"/>
        <v>54.225352112676056</v>
      </c>
      <c r="I20" s="154">
        <v>75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7">
        <v>129</v>
      </c>
      <c r="R20" s="157"/>
      <c r="S20" s="157">
        <v>93993062</v>
      </c>
      <c r="T20" s="45">
        <f t="shared" si="4"/>
        <v>4759</v>
      </c>
      <c r="U20" s="46">
        <f>T20*24/1000</f>
        <v>114.21599999999999</v>
      </c>
      <c r="V20" s="46">
        <f t="shared" si="6"/>
        <v>4.7590000000000003</v>
      </c>
      <c r="W20" s="96">
        <v>8.4</v>
      </c>
      <c r="X20" s="96">
        <f t="shared" si="1"/>
        <v>8.4</v>
      </c>
      <c r="Y20" s="97" t="s">
        <v>169</v>
      </c>
      <c r="Z20" s="158">
        <v>0</v>
      </c>
      <c r="AA20" s="158">
        <v>1037</v>
      </c>
      <c r="AB20" s="158">
        <v>1187</v>
      </c>
      <c r="AC20" s="158">
        <v>1185</v>
      </c>
      <c r="AD20" s="158">
        <v>0</v>
      </c>
      <c r="AE20" s="158">
        <v>1185</v>
      </c>
      <c r="AF20" s="47" t="s">
        <v>90</v>
      </c>
      <c r="AG20" s="47" t="s">
        <v>90</v>
      </c>
      <c r="AH20" s="98" t="s">
        <v>90</v>
      </c>
      <c r="AI20" s="103">
        <v>15610906</v>
      </c>
      <c r="AJ20" s="45">
        <f t="shared" si="7"/>
        <v>1195</v>
      </c>
      <c r="AK20" s="48">
        <f t="shared" si="8"/>
        <v>251.10317293549062</v>
      </c>
      <c r="AL20" s="155">
        <v>0</v>
      </c>
      <c r="AM20" s="155">
        <v>1</v>
      </c>
      <c r="AN20" s="155">
        <v>1</v>
      </c>
      <c r="AO20" s="155">
        <v>1</v>
      </c>
      <c r="AP20" s="155">
        <v>0</v>
      </c>
      <c r="AQ20" s="155">
        <v>1</v>
      </c>
      <c r="AR20" s="155">
        <v>0</v>
      </c>
      <c r="AS20" s="158"/>
      <c r="AT20" s="158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357">
        <v>43230</v>
      </c>
      <c r="B21" s="40">
        <v>2.3333333333333299</v>
      </c>
      <c r="C21" s="40">
        <v>0.375</v>
      </c>
      <c r="D21" s="156">
        <v>3</v>
      </c>
      <c r="E21" s="154">
        <f t="shared" si="2"/>
        <v>2.1126760563380285</v>
      </c>
      <c r="F21" s="154">
        <v>5</v>
      </c>
      <c r="G21" s="118">
        <v>76</v>
      </c>
      <c r="H21" s="154">
        <f t="shared" si="0"/>
        <v>53.521126760563384</v>
      </c>
      <c r="I21" s="154">
        <v>74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7">
        <v>128</v>
      </c>
      <c r="R21" s="157"/>
      <c r="S21" s="157">
        <v>93997510</v>
      </c>
      <c r="T21" s="45">
        <f t="shared" si="4"/>
        <v>4448</v>
      </c>
      <c r="U21" s="46">
        <f t="shared" si="5"/>
        <v>106.752</v>
      </c>
      <c r="V21" s="46">
        <f t="shared" si="6"/>
        <v>4.4480000000000004</v>
      </c>
      <c r="W21" s="96">
        <v>8.1</v>
      </c>
      <c r="X21" s="96">
        <f t="shared" si="1"/>
        <v>8.1</v>
      </c>
      <c r="Y21" s="97" t="s">
        <v>169</v>
      </c>
      <c r="Z21" s="158">
        <v>0</v>
      </c>
      <c r="AA21" s="158">
        <v>1037</v>
      </c>
      <c r="AB21" s="158">
        <v>1187</v>
      </c>
      <c r="AC21" s="158">
        <v>1185</v>
      </c>
      <c r="AD21" s="158">
        <v>0</v>
      </c>
      <c r="AE21" s="158">
        <v>1185</v>
      </c>
      <c r="AF21" s="47" t="s">
        <v>90</v>
      </c>
      <c r="AG21" s="47" t="s">
        <v>90</v>
      </c>
      <c r="AH21" s="98" t="s">
        <v>90</v>
      </c>
      <c r="AI21" s="103">
        <v>15612106</v>
      </c>
      <c r="AJ21" s="45">
        <f t="shared" si="7"/>
        <v>1200</v>
      </c>
      <c r="AK21" s="48">
        <f t="shared" si="8"/>
        <v>269.78417266187046</v>
      </c>
      <c r="AL21" s="155">
        <v>0</v>
      </c>
      <c r="AM21" s="155">
        <v>1</v>
      </c>
      <c r="AN21" s="155">
        <v>1</v>
      </c>
      <c r="AO21" s="155">
        <v>1</v>
      </c>
      <c r="AP21" s="155">
        <v>0</v>
      </c>
      <c r="AQ21" s="155">
        <v>1</v>
      </c>
      <c r="AR21" s="155">
        <v>0</v>
      </c>
      <c r="AS21" s="158"/>
      <c r="AT21" s="158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205</v>
      </c>
    </row>
    <row r="22" spans="1:54" x14ac:dyDescent="0.35">
      <c r="A22" s="357">
        <v>43230</v>
      </c>
      <c r="B22" s="40">
        <v>2.375</v>
      </c>
      <c r="C22" s="40">
        <v>0.41666666666666669</v>
      </c>
      <c r="D22" s="156">
        <v>3</v>
      </c>
      <c r="E22" s="154">
        <f t="shared" si="2"/>
        <v>2.1126760563380285</v>
      </c>
      <c r="F22" s="154">
        <v>4</v>
      </c>
      <c r="G22" s="118">
        <v>76</v>
      </c>
      <c r="H22" s="154">
        <f t="shared" si="0"/>
        <v>53.521126760563384</v>
      </c>
      <c r="I22" s="154">
        <v>74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7">
        <v>129</v>
      </c>
      <c r="R22" s="157"/>
      <c r="S22" s="157">
        <v>94001787</v>
      </c>
      <c r="T22" s="45">
        <f t="shared" si="4"/>
        <v>4277</v>
      </c>
      <c r="U22" s="46">
        <f t="shared" si="5"/>
        <v>102.648</v>
      </c>
      <c r="V22" s="46">
        <f t="shared" si="6"/>
        <v>4.2770000000000001</v>
      </c>
      <c r="W22" s="96">
        <v>7.1</v>
      </c>
      <c r="X22" s="96">
        <f t="shared" si="1"/>
        <v>7.1</v>
      </c>
      <c r="Y22" s="97" t="s">
        <v>169</v>
      </c>
      <c r="Z22" s="158">
        <v>0</v>
      </c>
      <c r="AA22" s="158">
        <v>1037</v>
      </c>
      <c r="AB22" s="158">
        <v>1187</v>
      </c>
      <c r="AC22" s="158">
        <v>1185</v>
      </c>
      <c r="AD22" s="158">
        <v>0</v>
      </c>
      <c r="AE22" s="158">
        <v>1185</v>
      </c>
      <c r="AF22" s="47" t="s">
        <v>90</v>
      </c>
      <c r="AG22" s="47" t="s">
        <v>90</v>
      </c>
      <c r="AH22" s="98" t="s">
        <v>90</v>
      </c>
      <c r="AI22" s="103">
        <v>15613310</v>
      </c>
      <c r="AJ22" s="45">
        <f t="shared" si="7"/>
        <v>1204</v>
      </c>
      <c r="AK22" s="48">
        <f t="shared" si="8"/>
        <v>281.50572831423892</v>
      </c>
      <c r="AL22" s="155">
        <v>0</v>
      </c>
      <c r="AM22" s="155">
        <v>1</v>
      </c>
      <c r="AN22" s="155">
        <v>1</v>
      </c>
      <c r="AO22" s="155">
        <v>1</v>
      </c>
      <c r="AP22" s="155">
        <v>0</v>
      </c>
      <c r="AQ22" s="155">
        <v>1</v>
      </c>
      <c r="AR22" s="155">
        <v>0</v>
      </c>
      <c r="AS22" s="158"/>
      <c r="AT22" s="158">
        <f t="shared" si="9"/>
        <v>0</v>
      </c>
      <c r="AU22" s="119">
        <v>0.94</v>
      </c>
      <c r="AV22" s="50" t="s">
        <v>125</v>
      </c>
      <c r="BB22" s="136" t="s">
        <v>157</v>
      </c>
    </row>
    <row r="23" spans="1:54" x14ac:dyDescent="0.35">
      <c r="A23" s="357">
        <v>43230</v>
      </c>
      <c r="B23" s="40">
        <v>2.4166666666666701</v>
      </c>
      <c r="C23" s="40">
        <v>0.45833333333333298</v>
      </c>
      <c r="D23" s="156">
        <v>3</v>
      </c>
      <c r="E23" s="154">
        <f t="shared" si="2"/>
        <v>2.1126760563380285</v>
      </c>
      <c r="F23" s="154">
        <v>4</v>
      </c>
      <c r="G23" s="118">
        <v>76</v>
      </c>
      <c r="H23" s="154">
        <f t="shared" si="0"/>
        <v>53.521126760563384</v>
      </c>
      <c r="I23" s="154">
        <v>74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7">
        <v>128</v>
      </c>
      <c r="R23" s="157"/>
      <c r="S23" s="157">
        <v>94005941</v>
      </c>
      <c r="T23" s="45">
        <f t="shared" si="4"/>
        <v>4154</v>
      </c>
      <c r="U23" s="46">
        <f t="shared" si="5"/>
        <v>99.695999999999998</v>
      </c>
      <c r="V23" s="46">
        <f t="shared" si="6"/>
        <v>4.1539999999999999</v>
      </c>
      <c r="W23" s="96">
        <v>6.5</v>
      </c>
      <c r="X23" s="96">
        <f>W23</f>
        <v>6.5</v>
      </c>
      <c r="Y23" s="97" t="s">
        <v>169</v>
      </c>
      <c r="Z23" s="158">
        <v>0</v>
      </c>
      <c r="AA23" s="158">
        <v>1037</v>
      </c>
      <c r="AB23" s="158">
        <v>1187</v>
      </c>
      <c r="AC23" s="158">
        <v>1185</v>
      </c>
      <c r="AD23" s="158">
        <v>0</v>
      </c>
      <c r="AE23" s="158">
        <v>1185</v>
      </c>
      <c r="AF23" s="47" t="s">
        <v>90</v>
      </c>
      <c r="AG23" s="47" t="s">
        <v>90</v>
      </c>
      <c r="AH23" s="98" t="s">
        <v>90</v>
      </c>
      <c r="AI23" s="103">
        <v>15614498</v>
      </c>
      <c r="AJ23" s="45">
        <f t="shared" si="7"/>
        <v>1188</v>
      </c>
      <c r="AK23" s="48">
        <f t="shared" si="8"/>
        <v>285.9894077997111</v>
      </c>
      <c r="AL23" s="155">
        <v>0</v>
      </c>
      <c r="AM23" s="155">
        <v>1</v>
      </c>
      <c r="AN23" s="155">
        <v>1</v>
      </c>
      <c r="AO23" s="155">
        <v>1</v>
      </c>
      <c r="AP23" s="155">
        <v>0</v>
      </c>
      <c r="AQ23" s="155">
        <v>1</v>
      </c>
      <c r="AR23" s="155">
        <v>0</v>
      </c>
      <c r="AS23" s="158"/>
      <c r="AT23" s="158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357">
        <v>43230</v>
      </c>
      <c r="B24" s="40">
        <v>2.4583333333333299</v>
      </c>
      <c r="C24" s="40">
        <v>0.5</v>
      </c>
      <c r="D24" s="156">
        <v>3</v>
      </c>
      <c r="E24" s="154">
        <f t="shared" si="2"/>
        <v>2.1126760563380285</v>
      </c>
      <c r="F24" s="154">
        <v>3</v>
      </c>
      <c r="G24" s="118">
        <v>75</v>
      </c>
      <c r="H24" s="154">
        <f t="shared" si="0"/>
        <v>52.816901408450704</v>
      </c>
      <c r="I24" s="154">
        <v>73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7">
        <v>127</v>
      </c>
      <c r="R24" s="157"/>
      <c r="S24" s="157">
        <v>94009928</v>
      </c>
      <c r="T24" s="45">
        <f t="shared" si="4"/>
        <v>3987</v>
      </c>
      <c r="U24" s="46">
        <f>T24*24/1000</f>
        <v>95.688000000000002</v>
      </c>
      <c r="V24" s="46">
        <f t="shared" si="6"/>
        <v>3.9870000000000001</v>
      </c>
      <c r="W24" s="96">
        <v>5.8</v>
      </c>
      <c r="X24" s="96">
        <f t="shared" si="1"/>
        <v>5.8</v>
      </c>
      <c r="Y24" s="97" t="s">
        <v>169</v>
      </c>
      <c r="Z24" s="158">
        <v>0</v>
      </c>
      <c r="AA24" s="158">
        <v>1037</v>
      </c>
      <c r="AB24" s="158">
        <v>1187</v>
      </c>
      <c r="AC24" s="158">
        <v>1185</v>
      </c>
      <c r="AD24" s="158">
        <v>0</v>
      </c>
      <c r="AE24" s="158">
        <v>1185</v>
      </c>
      <c r="AF24" s="47" t="s">
        <v>90</v>
      </c>
      <c r="AG24" s="47" t="s">
        <v>90</v>
      </c>
      <c r="AH24" s="98" t="s">
        <v>90</v>
      </c>
      <c r="AI24" s="103">
        <v>15615691</v>
      </c>
      <c r="AJ24" s="45">
        <f t="shared" si="7"/>
        <v>1193</v>
      </c>
      <c r="AK24" s="48">
        <f t="shared" si="8"/>
        <v>299.22247303737146</v>
      </c>
      <c r="AL24" s="155">
        <v>0</v>
      </c>
      <c r="AM24" s="155">
        <v>1</v>
      </c>
      <c r="AN24" s="155">
        <v>1</v>
      </c>
      <c r="AO24" s="155">
        <v>1</v>
      </c>
      <c r="AP24" s="155">
        <v>0</v>
      </c>
      <c r="AQ24" s="155">
        <v>1</v>
      </c>
      <c r="AR24" s="155">
        <v>0</v>
      </c>
      <c r="AS24" s="158"/>
      <c r="AT24" s="158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357">
        <v>43230</v>
      </c>
      <c r="B25" s="40">
        <v>2.5</v>
      </c>
      <c r="C25" s="40">
        <v>0.54166666666666696</v>
      </c>
      <c r="D25" s="156">
        <v>3</v>
      </c>
      <c r="E25" s="154">
        <f t="shared" si="2"/>
        <v>2.1126760563380285</v>
      </c>
      <c r="F25" s="154">
        <v>2</v>
      </c>
      <c r="G25" s="118">
        <v>75</v>
      </c>
      <c r="H25" s="154">
        <f t="shared" si="0"/>
        <v>52.816901408450704</v>
      </c>
      <c r="I25" s="154">
        <v>73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7">
        <v>125</v>
      </c>
      <c r="R25" s="157"/>
      <c r="S25" s="157">
        <v>94014160</v>
      </c>
      <c r="T25" s="45">
        <f t="shared" si="4"/>
        <v>4232</v>
      </c>
      <c r="U25" s="46">
        <f>T25*24/1000</f>
        <v>101.568</v>
      </c>
      <c r="V25" s="46">
        <f t="shared" si="6"/>
        <v>4.2320000000000002</v>
      </c>
      <c r="W25" s="96">
        <v>5.2</v>
      </c>
      <c r="X25" s="96">
        <f t="shared" si="1"/>
        <v>5.2</v>
      </c>
      <c r="Y25" s="97" t="s">
        <v>169</v>
      </c>
      <c r="Z25" s="158">
        <v>0</v>
      </c>
      <c r="AA25" s="158">
        <v>1037</v>
      </c>
      <c r="AB25" s="158">
        <v>1187</v>
      </c>
      <c r="AC25" s="158">
        <v>1185</v>
      </c>
      <c r="AD25" s="158">
        <v>0</v>
      </c>
      <c r="AE25" s="158">
        <v>1185</v>
      </c>
      <c r="AF25" s="47" t="s">
        <v>90</v>
      </c>
      <c r="AG25" s="47" t="s">
        <v>90</v>
      </c>
      <c r="AH25" s="98" t="s">
        <v>90</v>
      </c>
      <c r="AI25" s="103">
        <v>15616878</v>
      </c>
      <c r="AJ25" s="45">
        <f t="shared" si="7"/>
        <v>1187</v>
      </c>
      <c r="AK25" s="48">
        <f t="shared" si="8"/>
        <v>280.48204158790168</v>
      </c>
      <c r="AL25" s="155">
        <v>0</v>
      </c>
      <c r="AM25" s="155">
        <v>1</v>
      </c>
      <c r="AN25" s="155">
        <v>1</v>
      </c>
      <c r="AO25" s="155">
        <v>1</v>
      </c>
      <c r="AP25" s="155">
        <v>0</v>
      </c>
      <c r="AQ25" s="155">
        <v>1</v>
      </c>
      <c r="AR25" s="155">
        <v>0</v>
      </c>
      <c r="AS25" s="158"/>
      <c r="AT25" s="158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57">
        <v>43230</v>
      </c>
      <c r="B26" s="40">
        <v>2.5416666666666701</v>
      </c>
      <c r="C26" s="40">
        <v>0.58333333333333404</v>
      </c>
      <c r="D26" s="156">
        <v>3</v>
      </c>
      <c r="E26" s="154">
        <f t="shared" si="2"/>
        <v>2.1126760563380285</v>
      </c>
      <c r="F26" s="154">
        <v>2</v>
      </c>
      <c r="G26" s="118">
        <v>75</v>
      </c>
      <c r="H26" s="154">
        <f>G26/1.42</f>
        <v>52.816901408450704</v>
      </c>
      <c r="I26" s="154">
        <v>73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7">
        <v>126</v>
      </c>
      <c r="R26" s="157"/>
      <c r="S26" s="157">
        <v>94018392</v>
      </c>
      <c r="T26" s="45">
        <f t="shared" si="4"/>
        <v>4232</v>
      </c>
      <c r="U26" s="46">
        <f t="shared" si="5"/>
        <v>101.568</v>
      </c>
      <c r="V26" s="46">
        <f t="shared" si="6"/>
        <v>4.2320000000000002</v>
      </c>
      <c r="W26" s="96">
        <v>4.7</v>
      </c>
      <c r="X26" s="96">
        <f t="shared" si="1"/>
        <v>4.7</v>
      </c>
      <c r="Y26" s="97" t="s">
        <v>169</v>
      </c>
      <c r="Z26" s="158">
        <v>0</v>
      </c>
      <c r="AA26" s="158">
        <v>1026</v>
      </c>
      <c r="AB26" s="158">
        <v>1187</v>
      </c>
      <c r="AC26" s="158">
        <v>1185</v>
      </c>
      <c r="AD26" s="158">
        <v>0</v>
      </c>
      <c r="AE26" s="158">
        <v>1185</v>
      </c>
      <c r="AF26" s="47" t="s">
        <v>90</v>
      </c>
      <c r="AG26" s="47" t="s">
        <v>90</v>
      </c>
      <c r="AH26" s="98" t="s">
        <v>90</v>
      </c>
      <c r="AI26" s="103">
        <v>15618042</v>
      </c>
      <c r="AJ26" s="45">
        <f t="shared" si="7"/>
        <v>1164</v>
      </c>
      <c r="AK26" s="48">
        <f t="shared" si="8"/>
        <v>275.04725897920605</v>
      </c>
      <c r="AL26" s="155">
        <v>0</v>
      </c>
      <c r="AM26" s="155">
        <v>1</v>
      </c>
      <c r="AN26" s="155">
        <v>1</v>
      </c>
      <c r="AO26" s="155">
        <v>1</v>
      </c>
      <c r="AP26" s="155">
        <v>0</v>
      </c>
      <c r="AQ26" s="155">
        <v>1</v>
      </c>
      <c r="AR26" s="155">
        <v>0</v>
      </c>
      <c r="AS26" s="158"/>
      <c r="AT26" s="158">
        <f t="shared" si="9"/>
        <v>0</v>
      </c>
      <c r="AU26" s="119">
        <v>1.05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57">
        <v>43230</v>
      </c>
      <c r="B27" s="40">
        <v>2.5833333333333299</v>
      </c>
      <c r="C27" s="40">
        <v>0.625</v>
      </c>
      <c r="D27" s="156">
        <v>3</v>
      </c>
      <c r="E27" s="154">
        <f t="shared" si="2"/>
        <v>2.1126760563380285</v>
      </c>
      <c r="F27" s="154">
        <v>2</v>
      </c>
      <c r="G27" s="118">
        <v>75</v>
      </c>
      <c r="H27" s="154">
        <f>G27/1.42</f>
        <v>52.816901408450704</v>
      </c>
      <c r="I27" s="154">
        <v>72</v>
      </c>
      <c r="J27" s="41" t="s">
        <v>88</v>
      </c>
      <c r="K27" s="41">
        <f t="shared" si="3"/>
        <v>51.408450704225352</v>
      </c>
      <c r="L27" s="42">
        <f t="shared" si="10"/>
        <v>52.816901408450704</v>
      </c>
      <c r="M27" s="41">
        <f t="shared" si="12"/>
        <v>57.04225352112676</v>
      </c>
      <c r="N27" s="43">
        <v>18</v>
      </c>
      <c r="O27" s="44" t="s">
        <v>100</v>
      </c>
      <c r="P27" s="44">
        <v>16.899999999999999</v>
      </c>
      <c r="Q27" s="157">
        <v>129</v>
      </c>
      <c r="R27" s="157"/>
      <c r="S27" s="157">
        <v>94022858</v>
      </c>
      <c r="T27" s="45">
        <f t="shared" si="4"/>
        <v>4466</v>
      </c>
      <c r="U27" s="46">
        <f t="shared" si="5"/>
        <v>107.184</v>
      </c>
      <c r="V27" s="46">
        <f t="shared" si="6"/>
        <v>4.4660000000000002</v>
      </c>
      <c r="W27" s="96">
        <v>4.2</v>
      </c>
      <c r="X27" s="96">
        <f t="shared" si="1"/>
        <v>4.2</v>
      </c>
      <c r="Y27" s="97" t="s">
        <v>169</v>
      </c>
      <c r="Z27" s="158">
        <v>0</v>
      </c>
      <c r="AA27" s="158">
        <v>1015</v>
      </c>
      <c r="AB27" s="158">
        <v>1187</v>
      </c>
      <c r="AC27" s="158">
        <v>1185</v>
      </c>
      <c r="AD27" s="158">
        <v>0</v>
      </c>
      <c r="AE27" s="158">
        <v>1185</v>
      </c>
      <c r="AF27" s="47" t="s">
        <v>90</v>
      </c>
      <c r="AG27" s="47" t="s">
        <v>90</v>
      </c>
      <c r="AH27" s="98" t="s">
        <v>90</v>
      </c>
      <c r="AI27" s="103">
        <v>15619247</v>
      </c>
      <c r="AJ27" s="45">
        <f t="shared" si="7"/>
        <v>1205</v>
      </c>
      <c r="AK27" s="48">
        <f t="shared" si="8"/>
        <v>269.81639050604565</v>
      </c>
      <c r="AL27" s="155">
        <v>0</v>
      </c>
      <c r="AM27" s="155">
        <v>1</v>
      </c>
      <c r="AN27" s="155">
        <v>1</v>
      </c>
      <c r="AO27" s="155">
        <v>1</v>
      </c>
      <c r="AP27" s="155">
        <v>0</v>
      </c>
      <c r="AQ27" s="155">
        <v>1</v>
      </c>
      <c r="AR27" s="155">
        <v>0</v>
      </c>
      <c r="AS27" s="158"/>
      <c r="AT27" s="158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57">
        <v>43230</v>
      </c>
      <c r="B28" s="40">
        <v>2.625</v>
      </c>
      <c r="C28" s="40">
        <v>0.66666666666666696</v>
      </c>
      <c r="D28" s="156">
        <v>3</v>
      </c>
      <c r="E28" s="154">
        <f t="shared" si="2"/>
        <v>2.1126760563380285</v>
      </c>
      <c r="F28" s="154">
        <v>1</v>
      </c>
      <c r="G28" s="118">
        <v>76</v>
      </c>
      <c r="H28" s="154">
        <f t="shared" si="0"/>
        <v>53.521126760563384</v>
      </c>
      <c r="I28" s="154">
        <v>72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7">
        <v>132</v>
      </c>
      <c r="R28" s="157"/>
      <c r="S28" s="157">
        <v>94027303</v>
      </c>
      <c r="T28" s="45">
        <f t="shared" si="4"/>
        <v>4445</v>
      </c>
      <c r="U28" s="46">
        <f t="shared" si="5"/>
        <v>106.68</v>
      </c>
      <c r="V28" s="46">
        <f t="shared" si="6"/>
        <v>4.4450000000000003</v>
      </c>
      <c r="W28" s="96">
        <v>3.7</v>
      </c>
      <c r="X28" s="96">
        <f t="shared" si="1"/>
        <v>3.7</v>
      </c>
      <c r="Y28" s="97" t="s">
        <v>169</v>
      </c>
      <c r="Z28" s="158">
        <v>0</v>
      </c>
      <c r="AA28" s="158">
        <v>1015</v>
      </c>
      <c r="AB28" s="158">
        <v>1187</v>
      </c>
      <c r="AC28" s="158">
        <v>1185</v>
      </c>
      <c r="AD28" s="158">
        <v>0</v>
      </c>
      <c r="AE28" s="158">
        <v>1185</v>
      </c>
      <c r="AF28" s="47" t="s">
        <v>90</v>
      </c>
      <c r="AG28" s="47" t="s">
        <v>90</v>
      </c>
      <c r="AH28" s="98" t="s">
        <v>90</v>
      </c>
      <c r="AI28" s="103">
        <v>15620424</v>
      </c>
      <c r="AJ28" s="45">
        <f>IF(ISBLANK(AI28),"-",AI28-AI27)</f>
        <v>1177</v>
      </c>
      <c r="AK28" s="48">
        <f t="shared" si="8"/>
        <v>264.79190101237344</v>
      </c>
      <c r="AL28" s="155">
        <v>0</v>
      </c>
      <c r="AM28" s="155">
        <v>1</v>
      </c>
      <c r="AN28" s="155">
        <v>1</v>
      </c>
      <c r="AO28" s="155">
        <v>1</v>
      </c>
      <c r="AP28" s="155">
        <v>0</v>
      </c>
      <c r="AQ28" s="155">
        <v>1</v>
      </c>
      <c r="AR28" s="155">
        <v>0</v>
      </c>
      <c r="AS28" s="158"/>
      <c r="AT28" s="158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357">
        <v>43230</v>
      </c>
      <c r="B29" s="40">
        <v>2.6666666666666701</v>
      </c>
      <c r="C29" s="40">
        <v>0.70833333333333404</v>
      </c>
      <c r="D29" s="156">
        <v>3</v>
      </c>
      <c r="E29" s="154">
        <f t="shared" si="2"/>
        <v>2.1126760563380285</v>
      </c>
      <c r="F29" s="154">
        <v>1</v>
      </c>
      <c r="G29" s="118">
        <v>74</v>
      </c>
      <c r="H29" s="154">
        <f t="shared" si="0"/>
        <v>52.112676056338032</v>
      </c>
      <c r="I29" s="154">
        <v>71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7">
        <v>129</v>
      </c>
      <c r="R29" s="157"/>
      <c r="S29" s="157">
        <v>94031593</v>
      </c>
      <c r="T29" s="45">
        <f t="shared" si="4"/>
        <v>4290</v>
      </c>
      <c r="U29" s="46">
        <f t="shared" si="5"/>
        <v>102.96</v>
      </c>
      <c r="V29" s="46">
        <f t="shared" si="6"/>
        <v>4.29</v>
      </c>
      <c r="W29" s="96">
        <v>3.3</v>
      </c>
      <c r="X29" s="96">
        <f t="shared" si="1"/>
        <v>3.3</v>
      </c>
      <c r="Y29" s="97" t="s">
        <v>169</v>
      </c>
      <c r="Z29" s="158">
        <v>0</v>
      </c>
      <c r="AA29" s="158">
        <v>1015</v>
      </c>
      <c r="AB29" s="158">
        <v>1187</v>
      </c>
      <c r="AC29" s="158">
        <v>1185</v>
      </c>
      <c r="AD29" s="158">
        <v>0</v>
      </c>
      <c r="AE29" s="158">
        <v>1185</v>
      </c>
      <c r="AF29" s="47" t="s">
        <v>90</v>
      </c>
      <c r="AG29" s="47" t="s">
        <v>90</v>
      </c>
      <c r="AH29" s="98" t="s">
        <v>90</v>
      </c>
      <c r="AI29" s="103">
        <v>15621568</v>
      </c>
      <c r="AJ29" s="45">
        <f t="shared" si="7"/>
        <v>1144</v>
      </c>
      <c r="AK29" s="48">
        <f>AJ28/V29</f>
        <v>274.35897435897436</v>
      </c>
      <c r="AL29" s="155">
        <v>0</v>
      </c>
      <c r="AM29" s="155">
        <v>1</v>
      </c>
      <c r="AN29" s="155">
        <v>1</v>
      </c>
      <c r="AO29" s="155">
        <v>1</v>
      </c>
      <c r="AP29" s="155">
        <v>0</v>
      </c>
      <c r="AQ29" s="155">
        <v>1</v>
      </c>
      <c r="AR29" s="155">
        <v>0</v>
      </c>
      <c r="AS29" s="158"/>
      <c r="AT29" s="158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357">
        <v>43230</v>
      </c>
      <c r="B30" s="40">
        <v>2.7083333333333299</v>
      </c>
      <c r="C30" s="40">
        <v>0.750000000000002</v>
      </c>
      <c r="D30" s="156">
        <v>3</v>
      </c>
      <c r="E30" s="154">
        <f t="shared" si="2"/>
        <v>2.1126760563380285</v>
      </c>
      <c r="F30" s="154">
        <v>1</v>
      </c>
      <c r="G30" s="118">
        <v>74</v>
      </c>
      <c r="H30" s="154">
        <f t="shared" si="0"/>
        <v>52.112676056338032</v>
      </c>
      <c r="I30" s="154">
        <v>71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7">
        <v>129</v>
      </c>
      <c r="R30" s="157"/>
      <c r="S30" s="157">
        <v>94036424</v>
      </c>
      <c r="T30" s="45">
        <f t="shared" si="4"/>
        <v>4831</v>
      </c>
      <c r="U30" s="46">
        <f t="shared" si="5"/>
        <v>115.944</v>
      </c>
      <c r="V30" s="46">
        <f t="shared" si="6"/>
        <v>4.8310000000000004</v>
      </c>
      <c r="W30" s="96">
        <v>2.9</v>
      </c>
      <c r="X30" s="96">
        <f t="shared" si="1"/>
        <v>2.9</v>
      </c>
      <c r="Y30" s="97" t="s">
        <v>169</v>
      </c>
      <c r="Z30" s="158">
        <v>0</v>
      </c>
      <c r="AA30" s="158">
        <v>1015</v>
      </c>
      <c r="AB30" s="158">
        <v>1187</v>
      </c>
      <c r="AC30" s="158">
        <v>1185</v>
      </c>
      <c r="AD30" s="158">
        <v>0</v>
      </c>
      <c r="AE30" s="158">
        <v>1185</v>
      </c>
      <c r="AF30" s="47" t="s">
        <v>90</v>
      </c>
      <c r="AG30" s="47" t="s">
        <v>90</v>
      </c>
      <c r="AH30" s="98" t="s">
        <v>90</v>
      </c>
      <c r="AI30" s="103">
        <v>15622770</v>
      </c>
      <c r="AJ30" s="45">
        <f t="shared" si="7"/>
        <v>1202</v>
      </c>
      <c r="AK30" s="48">
        <f>AJ29/V30</f>
        <v>236.80397433243633</v>
      </c>
      <c r="AL30" s="155">
        <v>0</v>
      </c>
      <c r="AM30" s="155">
        <v>1</v>
      </c>
      <c r="AN30" s="155">
        <v>1</v>
      </c>
      <c r="AO30" s="155">
        <v>1</v>
      </c>
      <c r="AP30" s="155">
        <v>0</v>
      </c>
      <c r="AQ30" s="155">
        <v>1</v>
      </c>
      <c r="AR30" s="155">
        <v>0</v>
      </c>
      <c r="AS30" s="158"/>
      <c r="AT30" s="158">
        <f t="shared" si="9"/>
        <v>0</v>
      </c>
      <c r="AU30" s="159">
        <v>1</v>
      </c>
      <c r="AV30" s="50" t="s">
        <v>124</v>
      </c>
      <c r="AY30" s="55" t="s">
        <v>114</v>
      </c>
      <c r="AZ30" s="55">
        <v>101.325</v>
      </c>
      <c r="BB30" s="74" t="s">
        <v>143</v>
      </c>
    </row>
    <row r="31" spans="1:54" x14ac:dyDescent="0.35">
      <c r="A31" s="357">
        <v>43230</v>
      </c>
      <c r="B31" s="40">
        <v>2.75</v>
      </c>
      <c r="C31" s="40">
        <v>0.79166666666666896</v>
      </c>
      <c r="D31" s="156">
        <v>3</v>
      </c>
      <c r="E31" s="154">
        <f t="shared" si="2"/>
        <v>2.1126760563380285</v>
      </c>
      <c r="F31" s="154">
        <v>0</v>
      </c>
      <c r="G31" s="118">
        <v>74</v>
      </c>
      <c r="H31" s="154">
        <f t="shared" si="0"/>
        <v>52.112676056338032</v>
      </c>
      <c r="I31" s="154">
        <v>70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7">
        <v>129</v>
      </c>
      <c r="R31" s="157"/>
      <c r="S31" s="157">
        <v>94041127</v>
      </c>
      <c r="T31" s="45">
        <f t="shared" si="4"/>
        <v>4703</v>
      </c>
      <c r="U31" s="46">
        <f t="shared" si="5"/>
        <v>112.872</v>
      </c>
      <c r="V31" s="46">
        <f t="shared" si="6"/>
        <v>4.7030000000000003</v>
      </c>
      <c r="W31" s="96">
        <v>2.6</v>
      </c>
      <c r="X31" s="96">
        <f t="shared" si="1"/>
        <v>2.6</v>
      </c>
      <c r="Y31" s="97" t="s">
        <v>169</v>
      </c>
      <c r="Z31" s="158">
        <v>0</v>
      </c>
      <c r="AA31" s="158">
        <v>1015</v>
      </c>
      <c r="AB31" s="158">
        <v>1187</v>
      </c>
      <c r="AC31" s="158">
        <v>1185</v>
      </c>
      <c r="AD31" s="158">
        <v>0</v>
      </c>
      <c r="AE31" s="158">
        <v>1185</v>
      </c>
      <c r="AF31" s="47" t="s">
        <v>90</v>
      </c>
      <c r="AG31" s="47" t="s">
        <v>90</v>
      </c>
      <c r="AH31" s="98" t="s">
        <v>90</v>
      </c>
      <c r="AI31" s="103">
        <v>15623911</v>
      </c>
      <c r="AJ31" s="45">
        <f t="shared" si="7"/>
        <v>1141</v>
      </c>
      <c r="AK31" s="48">
        <f t="shared" si="8"/>
        <v>242.6110992983202</v>
      </c>
      <c r="AL31" s="155">
        <v>0</v>
      </c>
      <c r="AM31" s="155">
        <v>1</v>
      </c>
      <c r="AN31" s="155">
        <v>1</v>
      </c>
      <c r="AO31" s="155">
        <v>1</v>
      </c>
      <c r="AP31" s="155">
        <v>0</v>
      </c>
      <c r="AQ31" s="155">
        <v>1</v>
      </c>
      <c r="AR31" s="155">
        <v>0</v>
      </c>
      <c r="AS31" s="158"/>
      <c r="AT31" s="158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357">
        <v>43230</v>
      </c>
      <c r="B32" s="40">
        <v>2.7916666666666701</v>
      </c>
      <c r="C32" s="40">
        <v>0.83333333333333703</v>
      </c>
      <c r="D32" s="156">
        <v>3</v>
      </c>
      <c r="E32" s="154">
        <f t="shared" si="2"/>
        <v>2.1126760563380285</v>
      </c>
      <c r="F32" s="154">
        <v>0</v>
      </c>
      <c r="G32" s="118">
        <v>74</v>
      </c>
      <c r="H32" s="154">
        <f t="shared" si="0"/>
        <v>52.112676056338032</v>
      </c>
      <c r="I32" s="154">
        <v>70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7">
        <v>129</v>
      </c>
      <c r="R32" s="157"/>
      <c r="S32" s="157">
        <v>94045713</v>
      </c>
      <c r="T32" s="45">
        <f t="shared" si="4"/>
        <v>4586</v>
      </c>
      <c r="U32" s="46">
        <f t="shared" si="5"/>
        <v>110.06399999999999</v>
      </c>
      <c r="V32" s="46">
        <f t="shared" si="6"/>
        <v>4.5860000000000003</v>
      </c>
      <c r="W32" s="96">
        <v>2.2000000000000002</v>
      </c>
      <c r="X32" s="96">
        <f t="shared" si="1"/>
        <v>2.2000000000000002</v>
      </c>
      <c r="Y32" s="97" t="s">
        <v>169</v>
      </c>
      <c r="Z32" s="158">
        <v>0</v>
      </c>
      <c r="AA32" s="158">
        <v>1015</v>
      </c>
      <c r="AB32" s="158">
        <v>1187</v>
      </c>
      <c r="AC32" s="158">
        <v>1185</v>
      </c>
      <c r="AD32" s="158">
        <v>0</v>
      </c>
      <c r="AE32" s="158">
        <v>1185</v>
      </c>
      <c r="AF32" s="47" t="s">
        <v>90</v>
      </c>
      <c r="AG32" s="47" t="s">
        <v>90</v>
      </c>
      <c r="AH32" s="98" t="s">
        <v>90</v>
      </c>
      <c r="AI32" s="103">
        <v>15625011</v>
      </c>
      <c r="AJ32" s="45">
        <f t="shared" si="7"/>
        <v>1100</v>
      </c>
      <c r="AK32" s="48">
        <f t="shared" si="8"/>
        <v>239.86044483209767</v>
      </c>
      <c r="AL32" s="155">
        <v>0</v>
      </c>
      <c r="AM32" s="155">
        <v>1</v>
      </c>
      <c r="AN32" s="155">
        <v>1</v>
      </c>
      <c r="AO32" s="155">
        <v>1</v>
      </c>
      <c r="AP32" s="155">
        <v>0</v>
      </c>
      <c r="AQ32" s="155">
        <v>1</v>
      </c>
      <c r="AR32" s="155">
        <v>0</v>
      </c>
      <c r="AS32" s="158"/>
      <c r="AT32" s="158">
        <v>0</v>
      </c>
      <c r="AU32" s="49"/>
      <c r="AV32" s="50" t="s">
        <v>124</v>
      </c>
      <c r="AY32" s="308" t="s">
        <v>115</v>
      </c>
      <c r="AZ32" s="308"/>
      <c r="BB32" s="74" t="s">
        <v>156</v>
      </c>
    </row>
    <row r="33" spans="1:54" x14ac:dyDescent="0.35">
      <c r="A33" s="357">
        <v>43230</v>
      </c>
      <c r="B33" s="40">
        <v>2.8333333333333299</v>
      </c>
      <c r="C33" s="40">
        <v>0.875</v>
      </c>
      <c r="D33" s="156">
        <v>3</v>
      </c>
      <c r="E33" s="154">
        <f t="shared" si="2"/>
        <v>2.1126760563380285</v>
      </c>
      <c r="F33" s="154">
        <v>-1</v>
      </c>
      <c r="G33" s="118">
        <v>74</v>
      </c>
      <c r="H33" s="154">
        <f t="shared" si="0"/>
        <v>52.112676056338032</v>
      </c>
      <c r="I33" s="154">
        <v>69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7">
        <v>128</v>
      </c>
      <c r="R33" s="157"/>
      <c r="S33" s="157">
        <v>94050202</v>
      </c>
      <c r="T33" s="45">
        <f t="shared" si="4"/>
        <v>4489</v>
      </c>
      <c r="U33" s="46">
        <f t="shared" si="5"/>
        <v>107.736</v>
      </c>
      <c r="V33" s="46">
        <f t="shared" si="6"/>
        <v>4.4889999999999999</v>
      </c>
      <c r="W33" s="96">
        <v>1.9</v>
      </c>
      <c r="X33" s="96">
        <f t="shared" si="1"/>
        <v>1.9</v>
      </c>
      <c r="Y33" s="97" t="s">
        <v>169</v>
      </c>
      <c r="Z33" s="158">
        <v>0</v>
      </c>
      <c r="AA33" s="158">
        <v>1015</v>
      </c>
      <c r="AB33" s="158">
        <v>1187</v>
      </c>
      <c r="AC33" s="158">
        <v>1185</v>
      </c>
      <c r="AD33" s="158">
        <v>0</v>
      </c>
      <c r="AE33" s="158">
        <v>1185</v>
      </c>
      <c r="AF33" s="47" t="s">
        <v>90</v>
      </c>
      <c r="AG33" s="47" t="s">
        <v>90</v>
      </c>
      <c r="AH33" s="98" t="s">
        <v>90</v>
      </c>
      <c r="AI33" s="103">
        <v>15626260</v>
      </c>
      <c r="AJ33" s="45">
        <f t="shared" si="7"/>
        <v>1249</v>
      </c>
      <c r="AK33" s="48">
        <f t="shared" si="8"/>
        <v>278.23568723546447</v>
      </c>
      <c r="AL33" s="155">
        <v>0</v>
      </c>
      <c r="AM33" s="155">
        <v>1</v>
      </c>
      <c r="AN33" s="155">
        <v>1</v>
      </c>
      <c r="AO33" s="155">
        <v>1</v>
      </c>
      <c r="AP33" s="155">
        <v>0</v>
      </c>
      <c r="AQ33" s="155">
        <v>1</v>
      </c>
      <c r="AR33" s="155">
        <v>0</v>
      </c>
      <c r="AS33" s="158"/>
      <c r="AT33" s="158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57">
        <v>43230</v>
      </c>
      <c r="B34" s="40">
        <v>2.875</v>
      </c>
      <c r="C34" s="40">
        <v>0.91666666666667096</v>
      </c>
      <c r="D34" s="156">
        <v>3</v>
      </c>
      <c r="E34" s="154">
        <f t="shared" si="2"/>
        <v>2.1126760563380285</v>
      </c>
      <c r="F34" s="154">
        <v>0</v>
      </c>
      <c r="G34" s="118">
        <v>76</v>
      </c>
      <c r="H34" s="154">
        <f t="shared" si="0"/>
        <v>53.521126760563384</v>
      </c>
      <c r="I34" s="154">
        <v>71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7">
        <v>128</v>
      </c>
      <c r="R34" s="157"/>
      <c r="S34" s="157">
        <v>94054641</v>
      </c>
      <c r="T34" s="45">
        <f t="shared" si="4"/>
        <v>4439</v>
      </c>
      <c r="U34" s="46">
        <f t="shared" si="5"/>
        <v>106.536</v>
      </c>
      <c r="V34" s="46">
        <f t="shared" si="6"/>
        <v>4.4390000000000001</v>
      </c>
      <c r="W34" s="96">
        <v>1.7</v>
      </c>
      <c r="X34" s="96">
        <f t="shared" si="1"/>
        <v>1.7</v>
      </c>
      <c r="Y34" s="97" t="s">
        <v>169</v>
      </c>
      <c r="Z34" s="158">
        <v>0</v>
      </c>
      <c r="AA34" s="158">
        <v>1015</v>
      </c>
      <c r="AB34" s="158">
        <v>1188</v>
      </c>
      <c r="AC34" s="158">
        <v>1185</v>
      </c>
      <c r="AD34" s="158">
        <v>0</v>
      </c>
      <c r="AE34" s="158">
        <v>1185</v>
      </c>
      <c r="AF34" s="47" t="s">
        <v>90</v>
      </c>
      <c r="AG34" s="47" t="s">
        <v>90</v>
      </c>
      <c r="AH34" s="98" t="s">
        <v>90</v>
      </c>
      <c r="AI34" s="103">
        <v>15627356</v>
      </c>
      <c r="AJ34" s="45">
        <f t="shared" si="7"/>
        <v>1096</v>
      </c>
      <c r="AK34" s="48">
        <f t="shared" si="8"/>
        <v>246.9024555079973</v>
      </c>
      <c r="AL34" s="155">
        <v>0</v>
      </c>
      <c r="AM34" s="155">
        <v>1</v>
      </c>
      <c r="AN34" s="155">
        <v>1</v>
      </c>
      <c r="AO34" s="155">
        <v>1</v>
      </c>
      <c r="AP34" s="155">
        <v>0</v>
      </c>
      <c r="AQ34" s="155">
        <v>1</v>
      </c>
      <c r="AR34" s="155">
        <v>0</v>
      </c>
      <c r="AS34" s="158"/>
      <c r="AT34" s="158">
        <f>AS34-AS33</f>
        <v>0</v>
      </c>
      <c r="AU34" s="119">
        <v>0.96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357">
        <v>43230</v>
      </c>
      <c r="B35" s="40">
        <v>2.9166666666666701</v>
      </c>
      <c r="C35" s="40">
        <v>0.95833333333333803</v>
      </c>
      <c r="D35" s="156">
        <v>3</v>
      </c>
      <c r="E35" s="154">
        <f t="shared" si="2"/>
        <v>2.1126760563380285</v>
      </c>
      <c r="F35" s="154">
        <v>1</v>
      </c>
      <c r="G35" s="118">
        <v>71</v>
      </c>
      <c r="H35" s="154">
        <f t="shared" si="0"/>
        <v>50</v>
      </c>
      <c r="I35" s="154">
        <v>70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7">
        <v>137</v>
      </c>
      <c r="R35" s="157"/>
      <c r="S35" s="157">
        <v>94058896</v>
      </c>
      <c r="T35" s="45">
        <f t="shared" si="4"/>
        <v>4255</v>
      </c>
      <c r="U35" s="46">
        <f t="shared" si="5"/>
        <v>102.12</v>
      </c>
      <c r="V35" s="46">
        <f t="shared" si="6"/>
        <v>4.2549999999999999</v>
      </c>
      <c r="W35" s="96">
        <v>2</v>
      </c>
      <c r="X35" s="96">
        <f t="shared" si="1"/>
        <v>2</v>
      </c>
      <c r="Y35" s="97" t="s">
        <v>138</v>
      </c>
      <c r="Z35" s="158">
        <v>0</v>
      </c>
      <c r="AA35" s="158">
        <v>0</v>
      </c>
      <c r="AB35" s="158">
        <v>1187</v>
      </c>
      <c r="AC35" s="158">
        <v>1185</v>
      </c>
      <c r="AD35" s="158">
        <v>0</v>
      </c>
      <c r="AE35" s="158">
        <v>1185</v>
      </c>
      <c r="AF35" s="47" t="s">
        <v>90</v>
      </c>
      <c r="AG35" s="47" t="s">
        <v>90</v>
      </c>
      <c r="AH35" s="98" t="s">
        <v>90</v>
      </c>
      <c r="AI35" s="103">
        <v>15628464</v>
      </c>
      <c r="AJ35" s="45">
        <f t="shared" si="7"/>
        <v>1108</v>
      </c>
      <c r="AK35" s="48">
        <f t="shared" si="8"/>
        <v>260.39952996474739</v>
      </c>
      <c r="AL35" s="155">
        <v>0</v>
      </c>
      <c r="AM35" s="155">
        <v>0</v>
      </c>
      <c r="AN35" s="155">
        <v>1</v>
      </c>
      <c r="AO35" s="155">
        <v>1</v>
      </c>
      <c r="AP35" s="155">
        <v>0</v>
      </c>
      <c r="AQ35" s="155">
        <v>1</v>
      </c>
      <c r="AR35" s="155">
        <v>0.3</v>
      </c>
      <c r="AS35" s="158"/>
      <c r="AT35" s="158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357">
        <v>43230</v>
      </c>
      <c r="B36" s="40">
        <v>2.9583333333333299</v>
      </c>
      <c r="C36" s="40">
        <v>1</v>
      </c>
      <c r="D36" s="156" t="s">
        <v>179</v>
      </c>
      <c r="E36" s="154" t="e">
        <f t="shared" si="2"/>
        <v>#VALUE!</v>
      </c>
      <c r="F36" s="154">
        <v>2</v>
      </c>
      <c r="G36" s="118">
        <v>75</v>
      </c>
      <c r="H36" s="154">
        <f t="shared" si="0"/>
        <v>52.816901408450704</v>
      </c>
      <c r="I36" s="154">
        <v>72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7" t="s">
        <v>179</v>
      </c>
      <c r="R36" s="157"/>
      <c r="S36" s="157">
        <v>94062963</v>
      </c>
      <c r="T36" s="45">
        <f t="shared" si="4"/>
        <v>4067</v>
      </c>
      <c r="U36" s="46">
        <f t="shared" si="5"/>
        <v>97.608000000000004</v>
      </c>
      <c r="V36" s="46">
        <f t="shared" si="6"/>
        <v>4.0670000000000002</v>
      </c>
      <c r="W36" s="96">
        <v>2.8</v>
      </c>
      <c r="X36" s="96">
        <f t="shared" si="1"/>
        <v>2.8</v>
      </c>
      <c r="Y36" s="97" t="s">
        <v>138</v>
      </c>
      <c r="Z36" s="158">
        <v>0</v>
      </c>
      <c r="AA36" s="158">
        <v>0</v>
      </c>
      <c r="AB36" s="158">
        <v>1187</v>
      </c>
      <c r="AC36" s="158">
        <v>1185</v>
      </c>
      <c r="AD36" s="158">
        <v>0</v>
      </c>
      <c r="AE36" s="158">
        <v>1185</v>
      </c>
      <c r="AF36" s="47" t="s">
        <v>90</v>
      </c>
      <c r="AG36" s="47" t="s">
        <v>90</v>
      </c>
      <c r="AH36" s="98" t="s">
        <v>90</v>
      </c>
      <c r="AI36" s="103">
        <v>15629564</v>
      </c>
      <c r="AJ36" s="45">
        <f t="shared" si="7"/>
        <v>1100</v>
      </c>
      <c r="AK36" s="48">
        <f t="shared" si="8"/>
        <v>270.46963363658716</v>
      </c>
      <c r="AL36" s="155">
        <v>0</v>
      </c>
      <c r="AM36" s="155">
        <v>0</v>
      </c>
      <c r="AN36" s="155">
        <v>1</v>
      </c>
      <c r="AO36" s="155">
        <v>1</v>
      </c>
      <c r="AP36" s="155">
        <v>0</v>
      </c>
      <c r="AQ36" s="155">
        <v>1</v>
      </c>
      <c r="AR36" s="155">
        <v>0.3</v>
      </c>
      <c r="AS36" s="158"/>
      <c r="AT36" s="158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73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09" t="s">
        <v>118</v>
      </c>
      <c r="O37" s="310"/>
      <c r="P37" s="311"/>
      <c r="Q37" s="101"/>
      <c r="R37" s="101"/>
      <c r="S37" s="101"/>
      <c r="T37" s="60">
        <f>SUM(T13:T36)</f>
        <v>103550</v>
      </c>
      <c r="U37" s="46">
        <f t="shared" si="5"/>
        <v>2485.1999999999998</v>
      </c>
      <c r="V37" s="46">
        <f t="shared" si="6"/>
        <v>103.55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27719</v>
      </c>
      <c r="AK37" s="61">
        <f>$AJ$37/$V37</f>
        <v>267.68710767745051</v>
      </c>
      <c r="AL37" s="155"/>
      <c r="AM37" s="155"/>
      <c r="AN37" s="155"/>
      <c r="AO37" s="155"/>
      <c r="AP37" s="155"/>
      <c r="AQ37" s="155"/>
      <c r="AR37" s="62"/>
      <c r="AS37" s="63">
        <f>AS36-AS11</f>
        <v>0</v>
      </c>
      <c r="AT37" s="64">
        <f>SUM(AT13:AT36)</f>
        <v>0</v>
      </c>
      <c r="AU37" s="65">
        <f>AVERAGE(AU13:AU36)</f>
        <v>1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7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8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8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4"/>
      <c r="D47" s="164"/>
      <c r="E47" s="164"/>
      <c r="F47" s="164"/>
      <c r="G47" s="164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71" t="s">
        <v>212</v>
      </c>
      <c r="C48" s="172"/>
      <c r="D48" s="172"/>
      <c r="E48" s="172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70"/>
      <c r="D49" s="170"/>
      <c r="E49" s="170"/>
      <c r="F49" s="161"/>
      <c r="G49" s="161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15" t="s">
        <v>164</v>
      </c>
      <c r="C50" s="143"/>
      <c r="D50" s="143"/>
      <c r="E50" s="143"/>
      <c r="F50" s="130"/>
      <c r="G50" s="130"/>
      <c r="H50" s="160"/>
      <c r="I50" s="160"/>
      <c r="J50" s="160"/>
      <c r="K50" s="160"/>
      <c r="L50" s="160"/>
      <c r="M50" s="160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210</v>
      </c>
      <c r="B51" s="132" t="s">
        <v>163</v>
      </c>
      <c r="C51" s="143"/>
      <c r="D51" s="143"/>
      <c r="E51" s="143"/>
      <c r="F51" s="130"/>
      <c r="G51" s="130"/>
      <c r="H51" s="160"/>
      <c r="I51" s="160"/>
      <c r="J51" s="160"/>
      <c r="K51" s="160"/>
      <c r="L51" s="160"/>
      <c r="M51" s="160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213</v>
      </c>
      <c r="C52" s="120"/>
      <c r="D52" s="115"/>
      <c r="E52" s="115"/>
      <c r="F52" s="115"/>
      <c r="G52" s="115"/>
      <c r="H52" s="160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70"/>
      <c r="D53" s="170"/>
      <c r="E53" s="170"/>
      <c r="F53" s="170"/>
      <c r="G53" s="115"/>
      <c r="H53" s="115"/>
      <c r="I53" s="115"/>
      <c r="J53" s="115"/>
      <c r="K53" s="115"/>
      <c r="L53" s="115"/>
      <c r="M53" s="115"/>
      <c r="N53" s="163"/>
      <c r="O53" s="163"/>
      <c r="P53" s="163"/>
      <c r="Q53" s="163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C54" s="153"/>
      <c r="D54" s="170"/>
      <c r="E54" s="170"/>
      <c r="F54" s="170"/>
      <c r="G54" s="170"/>
      <c r="H54" s="170"/>
      <c r="I54" s="170"/>
      <c r="J54" s="169"/>
      <c r="K54" s="166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70"/>
      <c r="E55" s="153"/>
      <c r="F55" s="153"/>
      <c r="G55" s="153"/>
      <c r="H55" s="153"/>
      <c r="I55" s="153"/>
      <c r="J55" s="169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172</v>
      </c>
      <c r="C56" s="115"/>
      <c r="D56" s="170"/>
      <c r="E56" s="153"/>
      <c r="F56" s="153"/>
      <c r="G56" s="153"/>
      <c r="H56" s="153"/>
      <c r="I56" s="153"/>
      <c r="J56" s="153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53" t="s">
        <v>214</v>
      </c>
      <c r="C57" s="170"/>
      <c r="D57" s="170"/>
      <c r="E57" s="153"/>
      <c r="F57" s="153"/>
      <c r="G57" s="153"/>
      <c r="H57" s="153"/>
      <c r="I57" s="153"/>
      <c r="J57" s="153"/>
      <c r="K57" s="166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174</v>
      </c>
      <c r="C58" s="170"/>
      <c r="D58" s="170"/>
      <c r="E58" s="115"/>
      <c r="F58" s="115"/>
      <c r="G58" s="115"/>
      <c r="H58" s="115"/>
      <c r="I58" s="153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62" t="s">
        <v>195</v>
      </c>
      <c r="C59" s="170"/>
      <c r="D59" s="170"/>
      <c r="E59" s="153"/>
      <c r="F59" s="153"/>
      <c r="G59" s="153"/>
      <c r="H59" s="153"/>
      <c r="I59" s="153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32"/>
      <c r="C60" s="170"/>
      <c r="D60" s="223"/>
      <c r="E60" s="223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62"/>
      <c r="C61" s="153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32"/>
      <c r="C62" s="115"/>
      <c r="D62" s="100"/>
      <c r="E62" s="100"/>
      <c r="F62" s="115"/>
      <c r="G62" s="115"/>
      <c r="H62" s="92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6"/>
      <c r="E63" s="166"/>
      <c r="F63" s="166"/>
      <c r="G63" s="166"/>
      <c r="H63" s="166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53"/>
      <c r="C64" s="115"/>
      <c r="D64" s="100"/>
      <c r="E64" s="100"/>
      <c r="F64" s="115"/>
      <c r="G64" s="115"/>
      <c r="H64" s="92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6"/>
      <c r="E65" s="166"/>
      <c r="F65" s="166"/>
      <c r="G65" s="166"/>
      <c r="H65" s="166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AV65" s="86"/>
      <c r="AW65" s="86"/>
      <c r="AX65" s="86"/>
      <c r="AY65" s="86"/>
      <c r="AZ65" s="86"/>
      <c r="BA65" s="86"/>
      <c r="BB65" s="86"/>
    </row>
    <row r="66" spans="2:54" x14ac:dyDescent="0.35">
      <c r="B66" s="162"/>
      <c r="C66" s="115"/>
      <c r="D66" s="166"/>
      <c r="E66" s="166"/>
      <c r="F66" s="166"/>
      <c r="G66" s="166"/>
      <c r="H66" s="166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6"/>
      <c r="E67" s="166"/>
      <c r="F67" s="166"/>
      <c r="G67" s="166"/>
      <c r="H67" s="166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AF13:AH36 T13:V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Q13:Q36 S13:S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4:W4" name="Range1_16_1_1_1_1_1_1_2_2_2_2_2_2_2_2_2_2_2_2_2_2_2_2_2_2_2_2_2_2_2_1_2_2_2_2_2_2_2_2_2_2_3_2_2_2_2_2_2_2_2_2_2_1_1_1_1_2_2_1_1_1_1_1_1_1_1_1_1_1_1_1_1_2"/>
    <protectedRange sqref="R3:W3" name="Range1_16_1_1_1_1_1_1_2_2_2_2_2_2_2_2_2_2_2_2_2_2_2_2_2_2_2_2_2_2_2_1_2_2_2_2_2_2_2_2_2_2_3_2_2_2_2_2_2_2_2_2_2_1_1_1_1_2_2_1_1_1_1_1_1_1_1_1_1_1_1_1_1_3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R5:W5" name="Range1_16_1_1_1_1_1_1_2_2_2_2_2_2_2_2_2_2_2_2_2_2_2_2_2_2_2_2_2_2_2_1_2_2_2_2_2_2_2_2_2_2_3_2_2_2_2_2_2_2_2_2_2_1_1_1_1_2_2_1_1_1_1_1_1_1_1_1_1_3_1_3_2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373" priority="5" operator="containsText" text="N/A">
      <formula>NOT(ISERROR(SEARCH("N/A",Z13)))</formula>
    </cfRule>
    <cfRule type="cellIs" dxfId="372" priority="17" operator="equal">
      <formula>0</formula>
    </cfRule>
  </conditionalFormatting>
  <conditionalFormatting sqref="Z13:AG36">
    <cfRule type="cellIs" dxfId="371" priority="16" operator="greaterThanOrEqual">
      <formula>1185</formula>
    </cfRule>
  </conditionalFormatting>
  <conditionalFormatting sqref="Z13:AG36">
    <cfRule type="cellIs" dxfId="370" priority="15" operator="between">
      <formula>0.1</formula>
      <formula>1184</formula>
    </cfRule>
  </conditionalFormatting>
  <conditionalFormatting sqref="Z8:Z9 AT13:AT36 AL37:AQ37 AL13:AR36">
    <cfRule type="cellIs" dxfId="369" priority="14" operator="equal">
      <formula>0</formula>
    </cfRule>
  </conditionalFormatting>
  <conditionalFormatting sqref="Z8:Z9 AT13:AT36 AL37:AQ37 AL13:AR36">
    <cfRule type="cellIs" dxfId="368" priority="13" operator="greaterThan">
      <formula>1179</formula>
    </cfRule>
  </conditionalFormatting>
  <conditionalFormatting sqref="Z8:Z9 AT13:AT36 AL37:AQ37 AL13:AR36">
    <cfRule type="cellIs" dxfId="367" priority="12" operator="greaterThan">
      <formula>99</formula>
    </cfRule>
  </conditionalFormatting>
  <conditionalFormatting sqref="Z8:Z9 AT13:AT36 AL37:AQ37 AL13:AR36">
    <cfRule type="cellIs" dxfId="366" priority="11" operator="greaterThan">
      <formula>0.99</formula>
    </cfRule>
  </conditionalFormatting>
  <conditionalFormatting sqref="AD8:AD9">
    <cfRule type="cellIs" dxfId="365" priority="10" operator="equal">
      <formula>0</formula>
    </cfRule>
  </conditionalFormatting>
  <conditionalFormatting sqref="AD8:AD9">
    <cfRule type="cellIs" dxfId="364" priority="9" operator="greaterThan">
      <formula>1179</formula>
    </cfRule>
  </conditionalFormatting>
  <conditionalFormatting sqref="AD8:AD9">
    <cfRule type="cellIs" dxfId="363" priority="8" operator="greaterThan">
      <formula>99</formula>
    </cfRule>
  </conditionalFormatting>
  <conditionalFormatting sqref="AD8:AD9">
    <cfRule type="cellIs" dxfId="362" priority="7" operator="greaterThan">
      <formula>0.99</formula>
    </cfRule>
  </conditionalFormatting>
  <conditionalFormatting sqref="AK13:AK36">
    <cfRule type="cellIs" dxfId="361" priority="6" operator="greaterThan">
      <formula>$AK$8</formula>
    </cfRule>
  </conditionalFormatting>
  <conditionalFormatting sqref="AS13:AS36">
    <cfRule type="containsText" dxfId="360" priority="1" operator="containsText" text="N/A">
      <formula>NOT(ISERROR(SEARCH("N/A",AS13)))</formula>
    </cfRule>
    <cfRule type="cellIs" dxfId="359" priority="4" operator="equal">
      <formula>0</formula>
    </cfRule>
  </conditionalFormatting>
  <conditionalFormatting sqref="AS13:AS36">
    <cfRule type="cellIs" dxfId="358" priority="3" operator="greaterThanOrEqual">
      <formula>1185</formula>
    </cfRule>
  </conditionalFormatting>
  <conditionalFormatting sqref="AS13:AS36">
    <cfRule type="cellIs" dxfId="357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900-000000000000}">
      <formula1>$AY$11:$AY$21</formula1>
    </dataValidation>
    <dataValidation type="list" allowBlank="1" showInputMessage="1" showErrorMessage="1" sqref="AS8:AT9 P11:P12 N11:N12 D8:E9 Q8:V9" xr:uid="{00000000-0002-0000-0900-000001000000}">
      <formula1>#REF!</formula1>
    </dataValidation>
    <dataValidation type="list" allowBlank="1" showInputMessage="1" showErrorMessage="1" sqref="AY33:AZ33" xr:uid="{00000000-0002-0000-0900-000002000000}">
      <formula1>$AY$26:$AY$30</formula1>
    </dataValidation>
    <dataValidation type="list" allowBlank="1" showInputMessage="1" showErrorMessage="1" sqref="R3:R5" xr:uid="{00000000-0002-0000-0900-000003000000}">
      <formula1>$BB$11:$BB$42</formula1>
    </dataValidation>
  </dataValidations>
  <hyperlinks>
    <hyperlink ref="J10:J11" location="'1'!AH8" display="Plant Status" xr:uid="{00000000-0004-0000-0900-000000000000}"/>
  </hyperlinks>
  <pageMargins left="0.7" right="0.7" top="0.75" bottom="0.75" header="0.3" footer="0.3"/>
  <pageSetup paperSize="9" orientation="portrait" horizontalDpi="429496729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rgb="FF7030A0"/>
  </sheetPr>
  <dimension ref="A2:BB88"/>
  <sheetViews>
    <sheetView zoomScaleNormal="100" workbookViewId="0">
      <selection activeCell="R5" sqref="R5:W5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47" t="s">
        <v>157</v>
      </c>
      <c r="S3" s="348"/>
      <c r="T3" s="348"/>
      <c r="U3" s="348"/>
      <c r="V3" s="348"/>
      <c r="W3" s="34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47" t="s">
        <v>143</v>
      </c>
      <c r="S4" s="348"/>
      <c r="T4" s="348"/>
      <c r="U4" s="348"/>
      <c r="V4" s="348"/>
      <c r="W4" s="34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47" t="s">
        <v>158</v>
      </c>
      <c r="S5" s="348"/>
      <c r="T5" s="348"/>
      <c r="U5" s="348"/>
      <c r="V5" s="348"/>
      <c r="W5" s="34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50" t="s">
        <v>6</v>
      </c>
      <c r="C6" s="351"/>
      <c r="D6" s="352" t="s">
        <v>7</v>
      </c>
      <c r="E6" s="353"/>
      <c r="F6" s="353"/>
      <c r="G6" s="353"/>
      <c r="H6" s="353"/>
      <c r="I6" s="353"/>
      <c r="J6" s="354"/>
      <c r="K6" s="87"/>
      <c r="L6" s="87"/>
      <c r="M6" s="211"/>
      <c r="N6" s="355">
        <v>41686</v>
      </c>
      <c r="O6" s="356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37" t="s">
        <v>8</v>
      </c>
      <c r="C7" s="338"/>
      <c r="D7" s="337" t="s">
        <v>9</v>
      </c>
      <c r="E7" s="339"/>
      <c r="F7" s="339"/>
      <c r="G7" s="339"/>
      <c r="H7" s="339"/>
      <c r="I7" s="338"/>
      <c r="J7" s="21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16" t="s">
        <v>14</v>
      </c>
      <c r="R7" s="337" t="s">
        <v>15</v>
      </c>
      <c r="S7" s="339"/>
      <c r="T7" s="339"/>
      <c r="U7" s="339"/>
      <c r="V7" s="338"/>
      <c r="W7" s="337" t="s">
        <v>16</v>
      </c>
      <c r="X7" s="338"/>
      <c r="Y7" s="99" t="s">
        <v>17</v>
      </c>
      <c r="Z7" s="337" t="s">
        <v>18</v>
      </c>
      <c r="AA7" s="338"/>
      <c r="AB7" s="337" t="s">
        <v>19</v>
      </c>
      <c r="AC7" s="338"/>
      <c r="AD7" s="337" t="s">
        <v>20</v>
      </c>
      <c r="AE7" s="338"/>
      <c r="AF7" s="337" t="s">
        <v>21</v>
      </c>
      <c r="AG7" s="338"/>
      <c r="AH7" s="99" t="s">
        <v>22</v>
      </c>
      <c r="AI7" s="99" t="s">
        <v>23</v>
      </c>
      <c r="AJ7" s="99" t="s">
        <v>24</v>
      </c>
      <c r="AK7" s="99" t="s">
        <v>25</v>
      </c>
      <c r="AL7" s="337" t="s">
        <v>26</v>
      </c>
      <c r="AM7" s="339"/>
      <c r="AN7" s="339"/>
      <c r="AO7" s="339"/>
      <c r="AP7" s="339"/>
      <c r="AQ7" s="338"/>
      <c r="AR7" s="337" t="s">
        <v>27</v>
      </c>
      <c r="AS7" s="339"/>
      <c r="AT7" s="33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40">
        <v>43231</v>
      </c>
      <c r="C8" s="341"/>
      <c r="D8" s="342" t="s">
        <v>29</v>
      </c>
      <c r="E8" s="343"/>
      <c r="F8" s="343"/>
      <c r="G8" s="343"/>
      <c r="H8" s="343"/>
      <c r="I8" s="344"/>
      <c r="J8" s="28"/>
      <c r="K8" s="342" t="s">
        <v>29</v>
      </c>
      <c r="L8" s="343"/>
      <c r="M8" s="34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42" t="s">
        <v>33</v>
      </c>
      <c r="X8" s="344"/>
      <c r="Y8" s="30" t="s">
        <v>34</v>
      </c>
      <c r="Z8" s="326">
        <v>0</v>
      </c>
      <c r="AA8" s="327"/>
      <c r="AB8" s="345" t="s">
        <v>35</v>
      </c>
      <c r="AC8" s="346"/>
      <c r="AD8" s="326">
        <v>1185</v>
      </c>
      <c r="AE8" s="327"/>
      <c r="AF8" s="328">
        <v>800</v>
      </c>
      <c r="AG8" s="329"/>
      <c r="AH8" s="28"/>
      <c r="AI8" s="30">
        <f>AI36-AI11</f>
        <v>27640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17"/>
      <c r="C9" s="218"/>
      <c r="D9" s="219"/>
      <c r="E9" s="220"/>
      <c r="F9" s="220"/>
      <c r="G9" s="220"/>
      <c r="H9" s="220"/>
      <c r="I9" s="221"/>
      <c r="J9" s="121"/>
      <c r="K9" s="219"/>
      <c r="L9" s="220"/>
      <c r="M9" s="221"/>
      <c r="N9" s="29"/>
      <c r="O9" s="29"/>
      <c r="P9" s="29"/>
      <c r="Q9" s="121"/>
      <c r="R9" s="121"/>
      <c r="S9" s="121"/>
      <c r="T9" s="122"/>
      <c r="U9" s="123"/>
      <c r="V9" s="124"/>
      <c r="W9" s="219"/>
      <c r="X9" s="221"/>
      <c r="Y9" s="30"/>
      <c r="Z9" s="214"/>
      <c r="AA9" s="125"/>
      <c r="AB9" s="126"/>
      <c r="AC9" s="126"/>
      <c r="AD9" s="125"/>
      <c r="AE9" s="125"/>
      <c r="AF9" s="127"/>
      <c r="AG9" s="215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30" t="s">
        <v>39</v>
      </c>
      <c r="C10" s="331"/>
      <c r="D10" s="330" t="s">
        <v>40</v>
      </c>
      <c r="E10" s="332"/>
      <c r="F10" s="331"/>
      <c r="G10" s="330" t="s">
        <v>41</v>
      </c>
      <c r="H10" s="332"/>
      <c r="I10" s="331"/>
      <c r="J10" s="333" t="s">
        <v>42</v>
      </c>
      <c r="K10" s="330" t="s">
        <v>43</v>
      </c>
      <c r="L10" s="332"/>
      <c r="M10" s="331"/>
      <c r="N10" s="99" t="s">
        <v>44</v>
      </c>
      <c r="O10" s="335" t="s">
        <v>45</v>
      </c>
      <c r="P10" s="33" t="s">
        <v>46</v>
      </c>
      <c r="Q10" s="324" t="s">
        <v>47</v>
      </c>
      <c r="R10" s="324" t="s">
        <v>48</v>
      </c>
      <c r="S10" s="34" t="s">
        <v>49</v>
      </c>
      <c r="T10" s="312" t="s">
        <v>50</v>
      </c>
      <c r="U10" s="313"/>
      <c r="V10" s="314"/>
      <c r="W10" s="212" t="s">
        <v>51</v>
      </c>
      <c r="X10" s="212" t="s">
        <v>52</v>
      </c>
      <c r="Y10" s="318" t="s">
        <v>53</v>
      </c>
      <c r="Z10" s="319" t="s">
        <v>54</v>
      </c>
      <c r="AA10" s="320"/>
      <c r="AB10" s="320"/>
      <c r="AC10" s="320"/>
      <c r="AD10" s="320"/>
      <c r="AE10" s="320"/>
      <c r="AF10" s="320"/>
      <c r="AG10" s="321"/>
      <c r="AH10" s="210" t="s">
        <v>55</v>
      </c>
      <c r="AI10" s="210" t="s">
        <v>56</v>
      </c>
      <c r="AJ10" s="307" t="s">
        <v>57</v>
      </c>
      <c r="AK10" s="322" t="s">
        <v>58</v>
      </c>
      <c r="AL10" s="212" t="s">
        <v>59</v>
      </c>
      <c r="AM10" s="212" t="s">
        <v>60</v>
      </c>
      <c r="AN10" s="212" t="s">
        <v>61</v>
      </c>
      <c r="AO10" s="212" t="s">
        <v>62</v>
      </c>
      <c r="AP10" s="212" t="s">
        <v>63</v>
      </c>
      <c r="AQ10" s="212" t="s">
        <v>123</v>
      </c>
      <c r="AR10" s="212" t="s">
        <v>64</v>
      </c>
      <c r="AS10" s="212" t="s">
        <v>65</v>
      </c>
      <c r="AT10" s="324" t="s">
        <v>66</v>
      </c>
      <c r="AU10" s="212" t="s">
        <v>67</v>
      </c>
      <c r="AV10" s="30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12" t="s">
        <v>72</v>
      </c>
      <c r="C11" s="212" t="s">
        <v>73</v>
      </c>
      <c r="D11" s="212" t="s">
        <v>74</v>
      </c>
      <c r="E11" s="212" t="s">
        <v>75</v>
      </c>
      <c r="F11" s="212" t="s">
        <v>126</v>
      </c>
      <c r="G11" s="212" t="s">
        <v>74</v>
      </c>
      <c r="H11" s="212" t="s">
        <v>75</v>
      </c>
      <c r="I11" s="212" t="s">
        <v>126</v>
      </c>
      <c r="J11" s="334"/>
      <c r="K11" s="212" t="s">
        <v>75</v>
      </c>
      <c r="L11" s="212" t="s">
        <v>75</v>
      </c>
      <c r="M11" s="212" t="s">
        <v>75</v>
      </c>
      <c r="N11" s="28" t="s">
        <v>29</v>
      </c>
      <c r="O11" s="336"/>
      <c r="P11" s="28" t="s">
        <v>29</v>
      </c>
      <c r="Q11" s="325"/>
      <c r="R11" s="325"/>
      <c r="S11" s="1">
        <f>'MAY 10'!S36</f>
        <v>94062963</v>
      </c>
      <c r="T11" s="315"/>
      <c r="U11" s="316"/>
      <c r="V11" s="317"/>
      <c r="W11" s="212" t="s">
        <v>75</v>
      </c>
      <c r="X11" s="212" t="s">
        <v>75</v>
      </c>
      <c r="Y11" s="31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'MAY 10'!AI36</f>
        <v>15629564</v>
      </c>
      <c r="AJ11" s="307"/>
      <c r="AK11" s="323"/>
      <c r="AL11" s="212" t="s">
        <v>84</v>
      </c>
      <c r="AM11" s="212" t="s">
        <v>84</v>
      </c>
      <c r="AN11" s="212" t="s">
        <v>84</v>
      </c>
      <c r="AO11" s="212" t="s">
        <v>84</v>
      </c>
      <c r="AP11" s="212" t="s">
        <v>84</v>
      </c>
      <c r="AQ11" s="212" t="s">
        <v>84</v>
      </c>
      <c r="AR11" s="212" t="s">
        <v>84</v>
      </c>
      <c r="AS11" s="1"/>
      <c r="AT11" s="325"/>
      <c r="AU11" s="213" t="s">
        <v>85</v>
      </c>
      <c r="AV11" s="307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283</v>
      </c>
      <c r="B12" s="305" t="s">
        <v>284</v>
      </c>
      <c r="C12" s="305" t="s">
        <v>285</v>
      </c>
      <c r="D12" s="305" t="s">
        <v>286</v>
      </c>
      <c r="E12" s="305" t="s">
        <v>287</v>
      </c>
      <c r="F12" s="305" t="s">
        <v>288</v>
      </c>
      <c r="G12" s="305" t="s">
        <v>289</v>
      </c>
      <c r="H12" s="305" t="s">
        <v>290</v>
      </c>
      <c r="I12" s="305" t="s">
        <v>291</v>
      </c>
      <c r="J12" s="297" t="s">
        <v>292</v>
      </c>
      <c r="K12" s="305" t="s">
        <v>293</v>
      </c>
      <c r="L12" s="305" t="s">
        <v>294</v>
      </c>
      <c r="M12" s="305" t="s">
        <v>295</v>
      </c>
      <c r="N12" s="28" t="s">
        <v>296</v>
      </c>
      <c r="O12" s="298" t="s">
        <v>297</v>
      </c>
      <c r="P12" s="28" t="s">
        <v>298</v>
      </c>
      <c r="Q12" s="300" t="s">
        <v>299</v>
      </c>
      <c r="R12" s="300" t="s">
        <v>300</v>
      </c>
      <c r="S12" s="1" t="s">
        <v>301</v>
      </c>
      <c r="T12" s="302" t="s">
        <v>302</v>
      </c>
      <c r="U12" s="303" t="s">
        <v>303</v>
      </c>
      <c r="V12" s="304" t="s">
        <v>304</v>
      </c>
      <c r="W12" s="305" t="s">
        <v>305</v>
      </c>
      <c r="X12" s="305" t="s">
        <v>306</v>
      </c>
      <c r="Y12" s="305" t="s">
        <v>307</v>
      </c>
      <c r="Z12" s="37" t="s">
        <v>308</v>
      </c>
      <c r="AA12" s="37" t="s">
        <v>309</v>
      </c>
      <c r="AB12" s="37" t="s">
        <v>310</v>
      </c>
      <c r="AC12" s="37" t="s">
        <v>311</v>
      </c>
      <c r="AD12" s="37" t="s">
        <v>312</v>
      </c>
      <c r="AE12" s="37" t="s">
        <v>313</v>
      </c>
      <c r="AF12" s="37" t="s">
        <v>314</v>
      </c>
      <c r="AG12" s="37" t="s">
        <v>315</v>
      </c>
      <c r="AH12" s="38" t="s">
        <v>316</v>
      </c>
      <c r="AI12" s="1" t="s">
        <v>317</v>
      </c>
      <c r="AJ12" s="301" t="s">
        <v>318</v>
      </c>
      <c r="AK12" s="306" t="s">
        <v>319</v>
      </c>
      <c r="AL12" s="305" t="s">
        <v>320</v>
      </c>
      <c r="AM12" s="305" t="s">
        <v>321</v>
      </c>
      <c r="AN12" s="305" t="s">
        <v>322</v>
      </c>
      <c r="AO12" s="305" t="s">
        <v>323</v>
      </c>
      <c r="AP12" s="305" t="s">
        <v>324</v>
      </c>
      <c r="AQ12" s="305" t="s">
        <v>325</v>
      </c>
      <c r="AR12" s="305" t="s">
        <v>326</v>
      </c>
      <c r="AS12" s="1" t="s">
        <v>327</v>
      </c>
      <c r="AT12" s="300" t="s">
        <v>328</v>
      </c>
      <c r="AU12" s="299" t="s">
        <v>329</v>
      </c>
      <c r="AV12" s="301"/>
      <c r="AY12" s="39"/>
      <c r="AZ12" s="39"/>
      <c r="BB12" s="136"/>
    </row>
    <row r="13" spans="1:54" x14ac:dyDescent="0.35">
      <c r="A13" s="357">
        <v>43231</v>
      </c>
      <c r="B13" s="40">
        <v>2</v>
      </c>
      <c r="C13" s="40">
        <v>4.1666666666666664E-2</v>
      </c>
      <c r="D13" s="156" t="s">
        <v>179</v>
      </c>
      <c r="E13" s="154" t="e">
        <f>D13/1.42</f>
        <v>#VALUE!</v>
      </c>
      <c r="F13" s="154">
        <v>3</v>
      </c>
      <c r="G13" s="118">
        <v>70</v>
      </c>
      <c r="H13" s="154">
        <f t="shared" ref="H13:H36" si="0">G13/1.42</f>
        <v>49.295774647887328</v>
      </c>
      <c r="I13" s="154">
        <v>69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7" t="s">
        <v>179</v>
      </c>
      <c r="R13" s="157"/>
      <c r="S13" s="157">
        <v>94066755</v>
      </c>
      <c r="T13" s="45">
        <f>IF(ISBLANK(S13),"-",S13-S11)</f>
        <v>3792</v>
      </c>
      <c r="U13" s="46">
        <f>T13*24/1000</f>
        <v>91.007999999999996</v>
      </c>
      <c r="V13" s="46">
        <f>T13/1000</f>
        <v>3.7919999999999998</v>
      </c>
      <c r="W13" s="96">
        <v>4.3</v>
      </c>
      <c r="X13" s="96">
        <f t="shared" ref="X13:X36" si="1">W13</f>
        <v>4.3</v>
      </c>
      <c r="Y13" s="97" t="s">
        <v>138</v>
      </c>
      <c r="Z13" s="158">
        <v>0</v>
      </c>
      <c r="AA13" s="158">
        <v>0</v>
      </c>
      <c r="AB13" s="158">
        <v>1187</v>
      </c>
      <c r="AC13" s="158">
        <v>1185</v>
      </c>
      <c r="AD13" s="158">
        <v>0</v>
      </c>
      <c r="AE13" s="158">
        <v>1185</v>
      </c>
      <c r="AF13" s="47" t="s">
        <v>90</v>
      </c>
      <c r="AG13" s="47" t="s">
        <v>90</v>
      </c>
      <c r="AH13" s="98" t="s">
        <v>90</v>
      </c>
      <c r="AI13" s="103">
        <v>15630670</v>
      </c>
      <c r="AJ13" s="45">
        <f>IF(ISBLANK(AI13),"-",AI13-AI11)</f>
        <v>1106</v>
      </c>
      <c r="AK13" s="48">
        <f>AJ13/V13</f>
        <v>291.66666666666669</v>
      </c>
      <c r="AL13" s="155">
        <v>0</v>
      </c>
      <c r="AM13" s="155">
        <v>0</v>
      </c>
      <c r="AN13" s="155">
        <v>1</v>
      </c>
      <c r="AO13" s="155">
        <v>1</v>
      </c>
      <c r="AP13" s="155">
        <v>0</v>
      </c>
      <c r="AQ13" s="155">
        <v>1</v>
      </c>
      <c r="AR13" s="155">
        <v>0.8</v>
      </c>
      <c r="AS13" s="158"/>
      <c r="AT13" s="158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357">
        <v>43231</v>
      </c>
      <c r="B14" s="40">
        <v>2.0416666666666701</v>
      </c>
      <c r="C14" s="40">
        <v>8.3333333333333329E-2</v>
      </c>
      <c r="D14" s="156">
        <v>3</v>
      </c>
      <c r="E14" s="154">
        <f t="shared" ref="E14:E36" si="2">D14/1.42</f>
        <v>2.1126760563380285</v>
      </c>
      <c r="F14" s="154">
        <v>4</v>
      </c>
      <c r="G14" s="118">
        <v>69</v>
      </c>
      <c r="H14" s="154">
        <f t="shared" si="0"/>
        <v>48.591549295774648</v>
      </c>
      <c r="I14" s="154">
        <v>70</v>
      </c>
      <c r="J14" s="41" t="s">
        <v>88</v>
      </c>
      <c r="K14" s="41">
        <f t="shared" ref="K14:K36" si="3">L14-(2/1.42)</f>
        <v>43.661971830985919</v>
      </c>
      <c r="L14" s="42">
        <f>(G14-5)/1.42</f>
        <v>45.070422535211272</v>
      </c>
      <c r="M14" s="41">
        <f>L14+(6/1.42)</f>
        <v>49.295774647887328</v>
      </c>
      <c r="N14" s="43">
        <v>14</v>
      </c>
      <c r="O14" s="44" t="s">
        <v>89</v>
      </c>
      <c r="P14" s="44">
        <v>11.2</v>
      </c>
      <c r="Q14" s="157">
        <v>144</v>
      </c>
      <c r="R14" s="157"/>
      <c r="S14" s="157">
        <v>94070552</v>
      </c>
      <c r="T14" s="45">
        <f t="shared" ref="T14:T36" si="4">IF(ISBLANK(S14),"-",S14-S13)</f>
        <v>3797</v>
      </c>
      <c r="U14" s="46">
        <f t="shared" ref="U14:U37" si="5">T14*24/1000</f>
        <v>91.128</v>
      </c>
      <c r="V14" s="46">
        <f t="shared" ref="V14:V37" si="6">T14/1000</f>
        <v>3.7970000000000002</v>
      </c>
      <c r="W14" s="96">
        <v>5.9</v>
      </c>
      <c r="X14" s="96">
        <f t="shared" si="1"/>
        <v>5.9</v>
      </c>
      <c r="Y14" s="97" t="s">
        <v>138</v>
      </c>
      <c r="Z14" s="158">
        <v>0</v>
      </c>
      <c r="AA14" s="158">
        <v>0</v>
      </c>
      <c r="AB14" s="158">
        <v>1187</v>
      </c>
      <c r="AC14" s="158">
        <v>1185</v>
      </c>
      <c r="AD14" s="158">
        <v>0</v>
      </c>
      <c r="AE14" s="158">
        <v>1185</v>
      </c>
      <c r="AF14" s="47" t="s">
        <v>90</v>
      </c>
      <c r="AG14" s="47" t="s">
        <v>90</v>
      </c>
      <c r="AH14" s="98" t="s">
        <v>90</v>
      </c>
      <c r="AI14" s="103">
        <v>15631807</v>
      </c>
      <c r="AJ14" s="45">
        <f t="shared" ref="AJ14:AJ36" si="7">IF(ISBLANK(AI14),"-",AI14-AI13)</f>
        <v>1137</v>
      </c>
      <c r="AK14" s="48">
        <f t="shared" ref="AK14:AK36" si="8">AJ14/V14</f>
        <v>299.44693178825389</v>
      </c>
      <c r="AL14" s="155">
        <v>0</v>
      </c>
      <c r="AM14" s="155">
        <v>0</v>
      </c>
      <c r="AN14" s="155">
        <v>1</v>
      </c>
      <c r="AO14" s="155">
        <v>1</v>
      </c>
      <c r="AP14" s="155">
        <v>0</v>
      </c>
      <c r="AQ14" s="155">
        <v>1</v>
      </c>
      <c r="AR14" s="155">
        <v>0.8</v>
      </c>
      <c r="AS14" s="158"/>
      <c r="AT14" s="158">
        <f t="shared" ref="AT14:AT35" si="9">AS14-AS13</f>
        <v>0</v>
      </c>
      <c r="AU14" s="119">
        <v>1.01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57">
        <v>43231</v>
      </c>
      <c r="B15" s="40">
        <v>2.0833333333333299</v>
      </c>
      <c r="C15" s="40">
        <v>0.125</v>
      </c>
      <c r="D15" s="156">
        <v>3</v>
      </c>
      <c r="E15" s="154">
        <f t="shared" si="2"/>
        <v>2.1126760563380285</v>
      </c>
      <c r="F15" s="154">
        <v>5</v>
      </c>
      <c r="G15" s="118">
        <v>71</v>
      </c>
      <c r="H15" s="154">
        <f t="shared" si="0"/>
        <v>50</v>
      </c>
      <c r="I15" s="154">
        <v>71</v>
      </c>
      <c r="J15" s="41" t="s">
        <v>88</v>
      </c>
      <c r="K15" s="41">
        <f t="shared" si="3"/>
        <v>45.070422535211272</v>
      </c>
      <c r="L15" s="42">
        <f>(G15-5)/1.42</f>
        <v>46.478873239436624</v>
      </c>
      <c r="M15" s="41">
        <f>L15+(6/1.42)</f>
        <v>50.70422535211268</v>
      </c>
      <c r="N15" s="43">
        <v>14</v>
      </c>
      <c r="O15" s="44" t="s">
        <v>89</v>
      </c>
      <c r="P15" s="44">
        <v>11.2</v>
      </c>
      <c r="Q15" s="157">
        <v>143</v>
      </c>
      <c r="R15" s="157"/>
      <c r="S15" s="157">
        <v>94074394</v>
      </c>
      <c r="T15" s="45">
        <f>IF(ISBLANK(S15),"-",S15-S14)</f>
        <v>3842</v>
      </c>
      <c r="U15" s="46">
        <f t="shared" si="5"/>
        <v>92.207999999999998</v>
      </c>
      <c r="V15" s="46">
        <f t="shared" si="6"/>
        <v>3.8420000000000001</v>
      </c>
      <c r="W15" s="96">
        <v>7.4</v>
      </c>
      <c r="X15" s="96">
        <f t="shared" si="1"/>
        <v>7.4</v>
      </c>
      <c r="Y15" s="97" t="s">
        <v>138</v>
      </c>
      <c r="Z15" s="158">
        <v>0</v>
      </c>
      <c r="AA15" s="158">
        <v>0</v>
      </c>
      <c r="AB15" s="158">
        <v>1187</v>
      </c>
      <c r="AC15" s="158">
        <v>1185</v>
      </c>
      <c r="AD15" s="158">
        <v>0</v>
      </c>
      <c r="AE15" s="158">
        <v>1185</v>
      </c>
      <c r="AF15" s="47" t="s">
        <v>90</v>
      </c>
      <c r="AG15" s="47" t="s">
        <v>90</v>
      </c>
      <c r="AH15" s="98" t="s">
        <v>90</v>
      </c>
      <c r="AI15" s="103">
        <v>15632912</v>
      </c>
      <c r="AJ15" s="45">
        <f t="shared" si="7"/>
        <v>1105</v>
      </c>
      <c r="AK15" s="48">
        <f t="shared" si="8"/>
        <v>287.61061946902652</v>
      </c>
      <c r="AL15" s="155">
        <v>0</v>
      </c>
      <c r="AM15" s="155">
        <v>0</v>
      </c>
      <c r="AN15" s="155">
        <v>1</v>
      </c>
      <c r="AO15" s="155">
        <v>1</v>
      </c>
      <c r="AP15" s="155">
        <v>0</v>
      </c>
      <c r="AQ15" s="155">
        <v>1</v>
      </c>
      <c r="AR15" s="155">
        <v>0.8</v>
      </c>
      <c r="AS15" s="158"/>
      <c r="AT15" s="158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357">
        <v>43231</v>
      </c>
      <c r="B16" s="40">
        <v>2.125</v>
      </c>
      <c r="C16" s="40">
        <v>0.16666666666666699</v>
      </c>
      <c r="D16" s="156">
        <v>3</v>
      </c>
      <c r="E16" s="154">
        <f t="shared" si="2"/>
        <v>2.1126760563380285</v>
      </c>
      <c r="F16" s="154">
        <v>6</v>
      </c>
      <c r="G16" s="118">
        <v>70</v>
      </c>
      <c r="H16" s="154">
        <f t="shared" si="0"/>
        <v>49.295774647887328</v>
      </c>
      <c r="I16" s="154">
        <v>72</v>
      </c>
      <c r="J16" s="41" t="s">
        <v>88</v>
      </c>
      <c r="K16" s="41">
        <f t="shared" si="3"/>
        <v>44.366197183098592</v>
      </c>
      <c r="L16" s="42">
        <f>(G16-5)/1.42</f>
        <v>45.774647887323944</v>
      </c>
      <c r="M16" s="41">
        <f>L16+(6/1.42)</f>
        <v>50</v>
      </c>
      <c r="N16" s="43">
        <v>14</v>
      </c>
      <c r="O16" s="44" t="s">
        <v>89</v>
      </c>
      <c r="P16" s="44">
        <v>12.8</v>
      </c>
      <c r="Q16" s="157">
        <v>146</v>
      </c>
      <c r="R16" s="157"/>
      <c r="S16" s="157">
        <v>94078530</v>
      </c>
      <c r="T16" s="45">
        <f t="shared" si="4"/>
        <v>4136</v>
      </c>
      <c r="U16" s="46">
        <f t="shared" si="5"/>
        <v>99.263999999999996</v>
      </c>
      <c r="V16" s="46">
        <f t="shared" si="6"/>
        <v>4.1360000000000001</v>
      </c>
      <c r="W16" s="96">
        <v>9.1</v>
      </c>
      <c r="X16" s="96">
        <f t="shared" si="1"/>
        <v>9.1</v>
      </c>
      <c r="Y16" s="97" t="s">
        <v>138</v>
      </c>
      <c r="Z16" s="158">
        <v>0</v>
      </c>
      <c r="AA16" s="158">
        <v>0</v>
      </c>
      <c r="AB16" s="158">
        <v>1187</v>
      </c>
      <c r="AC16" s="158">
        <v>1185</v>
      </c>
      <c r="AD16" s="158">
        <v>0</v>
      </c>
      <c r="AE16" s="158">
        <v>1185</v>
      </c>
      <c r="AF16" s="47" t="s">
        <v>90</v>
      </c>
      <c r="AG16" s="47" t="s">
        <v>90</v>
      </c>
      <c r="AH16" s="98" t="s">
        <v>90</v>
      </c>
      <c r="AI16" s="103">
        <v>15634026</v>
      </c>
      <c r="AJ16" s="45">
        <f t="shared" si="7"/>
        <v>1114</v>
      </c>
      <c r="AK16" s="48">
        <f t="shared" si="8"/>
        <v>269.34235976789165</v>
      </c>
      <c r="AL16" s="155">
        <v>0</v>
      </c>
      <c r="AM16" s="155">
        <v>0</v>
      </c>
      <c r="AN16" s="155">
        <v>1</v>
      </c>
      <c r="AO16" s="155">
        <v>1</v>
      </c>
      <c r="AP16" s="155">
        <v>0</v>
      </c>
      <c r="AQ16" s="155">
        <v>1</v>
      </c>
      <c r="AR16" s="155">
        <v>0.8</v>
      </c>
      <c r="AS16" s="158"/>
      <c r="AT16" s="158">
        <f t="shared" si="9"/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357">
        <v>43231</v>
      </c>
      <c r="B17" s="40">
        <v>2.1666666666666701</v>
      </c>
      <c r="C17" s="40">
        <v>0.20833333333333301</v>
      </c>
      <c r="D17" s="156">
        <v>3</v>
      </c>
      <c r="E17" s="154">
        <f t="shared" si="2"/>
        <v>2.1126760563380285</v>
      </c>
      <c r="F17" s="154">
        <v>7</v>
      </c>
      <c r="G17" s="118">
        <v>80</v>
      </c>
      <c r="H17" s="154">
        <f t="shared" si="0"/>
        <v>56.338028169014088</v>
      </c>
      <c r="I17" s="154">
        <v>75</v>
      </c>
      <c r="J17" s="41" t="s">
        <v>88</v>
      </c>
      <c r="K17" s="41">
        <f t="shared" si="3"/>
        <v>51.408450704225352</v>
      </c>
      <c r="L17" s="42">
        <f>(G17-5)/1.42</f>
        <v>52.816901408450704</v>
      </c>
      <c r="M17" s="41">
        <f>L17+(6/1.42)</f>
        <v>57.04225352112676</v>
      </c>
      <c r="N17" s="43">
        <v>18</v>
      </c>
      <c r="O17" s="44" t="s">
        <v>89</v>
      </c>
      <c r="P17" s="44">
        <v>13.1</v>
      </c>
      <c r="Q17" s="157">
        <v>123</v>
      </c>
      <c r="R17" s="157"/>
      <c r="S17" s="157">
        <v>94083324</v>
      </c>
      <c r="T17" s="45">
        <f t="shared" si="4"/>
        <v>4794</v>
      </c>
      <c r="U17" s="46">
        <f t="shared" si="5"/>
        <v>115.056</v>
      </c>
      <c r="V17" s="46">
        <f t="shared" si="6"/>
        <v>4.7939999999999996</v>
      </c>
      <c r="W17" s="96">
        <v>9.5</v>
      </c>
      <c r="X17" s="96">
        <f t="shared" si="1"/>
        <v>9.5</v>
      </c>
      <c r="Y17" s="97" t="s">
        <v>138</v>
      </c>
      <c r="Z17" s="158">
        <v>0</v>
      </c>
      <c r="AA17" s="158">
        <v>0</v>
      </c>
      <c r="AB17" s="158">
        <v>1187</v>
      </c>
      <c r="AC17" s="158">
        <v>1185</v>
      </c>
      <c r="AD17" s="158">
        <v>0</v>
      </c>
      <c r="AE17" s="158">
        <v>1185</v>
      </c>
      <c r="AF17" s="47" t="s">
        <v>90</v>
      </c>
      <c r="AG17" s="47" t="s">
        <v>90</v>
      </c>
      <c r="AH17" s="98" t="s">
        <v>90</v>
      </c>
      <c r="AI17" s="103">
        <v>15635089</v>
      </c>
      <c r="AJ17" s="45">
        <f t="shared" si="7"/>
        <v>1063</v>
      </c>
      <c r="AK17" s="48">
        <f t="shared" si="8"/>
        <v>221.735502711723</v>
      </c>
      <c r="AL17" s="155">
        <v>0</v>
      </c>
      <c r="AM17" s="155">
        <v>0</v>
      </c>
      <c r="AN17" s="155">
        <v>1</v>
      </c>
      <c r="AO17" s="155">
        <v>1</v>
      </c>
      <c r="AP17" s="155">
        <v>0</v>
      </c>
      <c r="AQ17" s="155">
        <v>1</v>
      </c>
      <c r="AR17" s="155">
        <v>0</v>
      </c>
      <c r="AS17" s="158"/>
      <c r="AT17" s="158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57">
        <v>43231</v>
      </c>
      <c r="B18" s="40">
        <v>2.2083333333333299</v>
      </c>
      <c r="C18" s="40">
        <v>0.25</v>
      </c>
      <c r="D18" s="156">
        <v>3</v>
      </c>
      <c r="E18" s="154">
        <f t="shared" si="2"/>
        <v>2.1126760563380285</v>
      </c>
      <c r="F18" s="154">
        <v>7</v>
      </c>
      <c r="G18" s="118">
        <v>80</v>
      </c>
      <c r="H18" s="154">
        <f t="shared" si="0"/>
        <v>56.338028169014088</v>
      </c>
      <c r="I18" s="154">
        <v>78</v>
      </c>
      <c r="J18" s="41" t="s">
        <v>88</v>
      </c>
      <c r="K18" s="41">
        <f t="shared" si="3"/>
        <v>54.929577464788736</v>
      </c>
      <c r="L18" s="42">
        <f t="shared" ref="L18:L27" si="10">G18/1.42</f>
        <v>56.338028169014088</v>
      </c>
      <c r="M18" s="41">
        <f>L18+1.42</f>
        <v>57.758028169014089</v>
      </c>
      <c r="N18" s="43">
        <v>19</v>
      </c>
      <c r="O18" s="44" t="s">
        <v>100</v>
      </c>
      <c r="P18" s="44">
        <v>13.1</v>
      </c>
      <c r="Q18" s="157">
        <v>138</v>
      </c>
      <c r="R18" s="157"/>
      <c r="S18" s="157">
        <v>94086842</v>
      </c>
      <c r="T18" s="45">
        <f t="shared" si="4"/>
        <v>3518</v>
      </c>
      <c r="U18" s="46">
        <f t="shared" si="5"/>
        <v>84.432000000000002</v>
      </c>
      <c r="V18" s="46">
        <f t="shared" si="6"/>
        <v>3.5179999999999998</v>
      </c>
      <c r="W18" s="96">
        <v>9.5</v>
      </c>
      <c r="X18" s="96">
        <f t="shared" si="1"/>
        <v>9.5</v>
      </c>
      <c r="Y18" s="97" t="s">
        <v>138</v>
      </c>
      <c r="Z18" s="158">
        <v>0</v>
      </c>
      <c r="AA18" s="158">
        <v>0</v>
      </c>
      <c r="AB18" s="158">
        <v>1187</v>
      </c>
      <c r="AC18" s="158">
        <v>1185</v>
      </c>
      <c r="AD18" s="158">
        <v>0</v>
      </c>
      <c r="AE18" s="158">
        <v>1185</v>
      </c>
      <c r="AF18" s="47" t="s">
        <v>90</v>
      </c>
      <c r="AG18" s="47" t="s">
        <v>90</v>
      </c>
      <c r="AH18" s="98" t="s">
        <v>90</v>
      </c>
      <c r="AI18" s="103">
        <v>15636202</v>
      </c>
      <c r="AJ18" s="45">
        <f t="shared" si="7"/>
        <v>1113</v>
      </c>
      <c r="AK18" s="48">
        <f t="shared" si="8"/>
        <v>316.37293916998294</v>
      </c>
      <c r="AL18" s="155">
        <v>0</v>
      </c>
      <c r="AM18" s="155">
        <v>0</v>
      </c>
      <c r="AN18" s="155">
        <v>1</v>
      </c>
      <c r="AO18" s="155">
        <v>1</v>
      </c>
      <c r="AP18" s="155">
        <v>0</v>
      </c>
      <c r="AQ18" s="155">
        <v>1</v>
      </c>
      <c r="AR18" s="155">
        <v>0</v>
      </c>
      <c r="AS18" s="158"/>
      <c r="AT18" s="158">
        <f t="shared" si="9"/>
        <v>0</v>
      </c>
      <c r="AU18" s="119">
        <v>1.02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57">
        <v>43231</v>
      </c>
      <c r="B19" s="40">
        <v>2.25</v>
      </c>
      <c r="C19" s="40">
        <v>0.29166666666666669</v>
      </c>
      <c r="D19" s="156">
        <v>3</v>
      </c>
      <c r="E19" s="154">
        <f t="shared" si="2"/>
        <v>2.1126760563380285</v>
      </c>
      <c r="F19" s="154">
        <v>7</v>
      </c>
      <c r="G19" s="118">
        <v>78</v>
      </c>
      <c r="H19" s="154">
        <f t="shared" si="0"/>
        <v>54.929577464788736</v>
      </c>
      <c r="I19" s="154">
        <v>75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7">
        <v>130</v>
      </c>
      <c r="R19" s="157"/>
      <c r="S19" s="157">
        <v>94091750</v>
      </c>
      <c r="T19" s="45">
        <f t="shared" si="4"/>
        <v>4908</v>
      </c>
      <c r="U19" s="46">
        <f t="shared" si="5"/>
        <v>117.792</v>
      </c>
      <c r="V19" s="46">
        <f t="shared" si="6"/>
        <v>4.9080000000000004</v>
      </c>
      <c r="W19" s="96">
        <v>9.1999999999999993</v>
      </c>
      <c r="X19" s="96">
        <f t="shared" si="1"/>
        <v>9.1999999999999993</v>
      </c>
      <c r="Y19" s="97" t="s">
        <v>169</v>
      </c>
      <c r="Z19" s="158">
        <v>1027</v>
      </c>
      <c r="AA19" s="158">
        <v>0</v>
      </c>
      <c r="AB19" s="158">
        <v>1187</v>
      </c>
      <c r="AC19" s="158">
        <v>1185</v>
      </c>
      <c r="AD19" s="158">
        <v>0</v>
      </c>
      <c r="AE19" s="158">
        <v>1185</v>
      </c>
      <c r="AF19" s="47" t="s">
        <v>90</v>
      </c>
      <c r="AG19" s="47" t="s">
        <v>90</v>
      </c>
      <c r="AH19" s="98" t="s">
        <v>90</v>
      </c>
      <c r="AI19" s="103">
        <v>15637404</v>
      </c>
      <c r="AJ19" s="45">
        <f t="shared" si="7"/>
        <v>1202</v>
      </c>
      <c r="AK19" s="48">
        <f t="shared" si="8"/>
        <v>244.90627546862265</v>
      </c>
      <c r="AL19" s="155">
        <v>1</v>
      </c>
      <c r="AM19" s="155">
        <v>0</v>
      </c>
      <c r="AN19" s="155">
        <v>1</v>
      </c>
      <c r="AO19" s="155">
        <v>1</v>
      </c>
      <c r="AP19" s="155">
        <v>0</v>
      </c>
      <c r="AQ19" s="155">
        <v>1</v>
      </c>
      <c r="AR19" s="155">
        <v>0</v>
      </c>
      <c r="AS19" s="158"/>
      <c r="AT19" s="158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57">
        <v>43231</v>
      </c>
      <c r="B20" s="40">
        <v>2.2916666666666701</v>
      </c>
      <c r="C20" s="40">
        <v>0.33333333333333298</v>
      </c>
      <c r="D20" s="156">
        <v>3</v>
      </c>
      <c r="E20" s="154">
        <f t="shared" si="2"/>
        <v>2.1126760563380285</v>
      </c>
      <c r="F20" s="154">
        <v>6</v>
      </c>
      <c r="G20" s="118">
        <v>76</v>
      </c>
      <c r="H20" s="154">
        <f t="shared" si="0"/>
        <v>53.521126760563384</v>
      </c>
      <c r="I20" s="154">
        <v>74</v>
      </c>
      <c r="J20" s="41" t="s">
        <v>88</v>
      </c>
      <c r="K20" s="41">
        <f t="shared" si="3"/>
        <v>52.112676056338032</v>
      </c>
      <c r="L20" s="42">
        <f t="shared" si="10"/>
        <v>53.521126760563384</v>
      </c>
      <c r="M20" s="41">
        <f t="shared" ref="M20:M24" si="11">L20+1.42</f>
        <v>54.941126760563385</v>
      </c>
      <c r="N20" s="43">
        <v>19</v>
      </c>
      <c r="O20" s="44" t="s">
        <v>100</v>
      </c>
      <c r="P20" s="44">
        <v>17.3</v>
      </c>
      <c r="Q20" s="157">
        <v>129</v>
      </c>
      <c r="R20" s="157"/>
      <c r="S20" s="157">
        <v>94096456</v>
      </c>
      <c r="T20" s="45">
        <f t="shared" si="4"/>
        <v>4706</v>
      </c>
      <c r="U20" s="46">
        <f>T20*24/1000</f>
        <v>112.944</v>
      </c>
      <c r="V20" s="46">
        <f t="shared" si="6"/>
        <v>4.7060000000000004</v>
      </c>
      <c r="W20" s="96">
        <v>8.5</v>
      </c>
      <c r="X20" s="96">
        <f t="shared" si="1"/>
        <v>8.5</v>
      </c>
      <c r="Y20" s="97" t="s">
        <v>169</v>
      </c>
      <c r="Z20" s="158">
        <v>1026</v>
      </c>
      <c r="AA20" s="158">
        <v>0</v>
      </c>
      <c r="AB20" s="158">
        <v>1187</v>
      </c>
      <c r="AC20" s="158">
        <v>1185</v>
      </c>
      <c r="AD20" s="158">
        <v>0</v>
      </c>
      <c r="AE20" s="158">
        <v>1185</v>
      </c>
      <c r="AF20" s="47" t="s">
        <v>90</v>
      </c>
      <c r="AG20" s="47" t="s">
        <v>90</v>
      </c>
      <c r="AH20" s="98" t="s">
        <v>90</v>
      </c>
      <c r="AI20" s="103">
        <v>15638600</v>
      </c>
      <c r="AJ20" s="45">
        <f t="shared" si="7"/>
        <v>1196</v>
      </c>
      <c r="AK20" s="48">
        <f t="shared" si="8"/>
        <v>254.14364640883977</v>
      </c>
      <c r="AL20" s="155">
        <v>1</v>
      </c>
      <c r="AM20" s="155">
        <v>0</v>
      </c>
      <c r="AN20" s="155">
        <v>1</v>
      </c>
      <c r="AO20" s="155">
        <v>1</v>
      </c>
      <c r="AP20" s="155">
        <v>0</v>
      </c>
      <c r="AQ20" s="155">
        <v>1</v>
      </c>
      <c r="AR20" s="155">
        <v>0</v>
      </c>
      <c r="AS20" s="158"/>
      <c r="AT20" s="158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357">
        <v>43231</v>
      </c>
      <c r="B21" s="40">
        <v>2.3333333333333299</v>
      </c>
      <c r="C21" s="40">
        <v>0.375</v>
      </c>
      <c r="D21" s="156">
        <v>3</v>
      </c>
      <c r="E21" s="154">
        <f t="shared" si="2"/>
        <v>2.1126760563380285</v>
      </c>
      <c r="F21" s="154">
        <v>6</v>
      </c>
      <c r="G21" s="118">
        <v>76</v>
      </c>
      <c r="H21" s="154">
        <f t="shared" si="0"/>
        <v>53.521126760563384</v>
      </c>
      <c r="I21" s="154">
        <v>74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7">
        <v>128</v>
      </c>
      <c r="R21" s="157"/>
      <c r="S21" s="157">
        <v>94100773</v>
      </c>
      <c r="T21" s="45">
        <f t="shared" si="4"/>
        <v>4317</v>
      </c>
      <c r="U21" s="46">
        <f t="shared" si="5"/>
        <v>103.608</v>
      </c>
      <c r="V21" s="46">
        <f t="shared" si="6"/>
        <v>4.3170000000000002</v>
      </c>
      <c r="W21" s="96">
        <v>7.9</v>
      </c>
      <c r="X21" s="96">
        <f t="shared" si="1"/>
        <v>7.9</v>
      </c>
      <c r="Y21" s="97" t="s">
        <v>169</v>
      </c>
      <c r="Z21" s="158">
        <v>1046</v>
      </c>
      <c r="AA21" s="158">
        <v>0</v>
      </c>
      <c r="AB21" s="158">
        <v>1187</v>
      </c>
      <c r="AC21" s="158">
        <v>1185</v>
      </c>
      <c r="AD21" s="158">
        <v>0</v>
      </c>
      <c r="AE21" s="158">
        <v>1185</v>
      </c>
      <c r="AF21" s="47" t="s">
        <v>90</v>
      </c>
      <c r="AG21" s="47" t="s">
        <v>90</v>
      </c>
      <c r="AH21" s="98" t="s">
        <v>90</v>
      </c>
      <c r="AI21" s="103">
        <v>15639760</v>
      </c>
      <c r="AJ21" s="45">
        <f t="shared" si="7"/>
        <v>1160</v>
      </c>
      <c r="AK21" s="48">
        <f t="shared" si="8"/>
        <v>268.70511929580726</v>
      </c>
      <c r="AL21" s="155">
        <v>1</v>
      </c>
      <c r="AM21" s="155">
        <v>0</v>
      </c>
      <c r="AN21" s="155">
        <v>1</v>
      </c>
      <c r="AO21" s="155">
        <v>1</v>
      </c>
      <c r="AP21" s="155">
        <v>0</v>
      </c>
      <c r="AQ21" s="155">
        <v>1</v>
      </c>
      <c r="AR21" s="155">
        <v>0</v>
      </c>
      <c r="AS21" s="158"/>
      <c r="AT21" s="158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205</v>
      </c>
    </row>
    <row r="22" spans="1:54" x14ac:dyDescent="0.35">
      <c r="A22" s="357">
        <v>43231</v>
      </c>
      <c r="B22" s="40">
        <v>2.375</v>
      </c>
      <c r="C22" s="40">
        <v>0.41666666666666669</v>
      </c>
      <c r="D22" s="156">
        <v>3</v>
      </c>
      <c r="E22" s="154">
        <f t="shared" si="2"/>
        <v>2.1126760563380285</v>
      </c>
      <c r="F22" s="154">
        <v>4</v>
      </c>
      <c r="G22" s="118">
        <v>76</v>
      </c>
      <c r="H22" s="154">
        <f t="shared" si="0"/>
        <v>53.521126760563384</v>
      </c>
      <c r="I22" s="154">
        <v>74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7">
        <v>130</v>
      </c>
      <c r="R22" s="157"/>
      <c r="S22" s="157">
        <v>94105119</v>
      </c>
      <c r="T22" s="45">
        <f t="shared" si="4"/>
        <v>4346</v>
      </c>
      <c r="U22" s="46">
        <f t="shared" si="5"/>
        <v>104.304</v>
      </c>
      <c r="V22" s="46">
        <f t="shared" si="6"/>
        <v>4.3460000000000001</v>
      </c>
      <c r="W22" s="96">
        <v>7.3</v>
      </c>
      <c r="X22" s="96">
        <f t="shared" si="1"/>
        <v>7.3</v>
      </c>
      <c r="Y22" s="97" t="s">
        <v>169</v>
      </c>
      <c r="Z22" s="158">
        <v>1047</v>
      </c>
      <c r="AA22" s="158">
        <v>0</v>
      </c>
      <c r="AB22" s="158">
        <v>1187</v>
      </c>
      <c r="AC22" s="158">
        <v>1185</v>
      </c>
      <c r="AD22" s="158">
        <v>0</v>
      </c>
      <c r="AE22" s="158">
        <v>1185</v>
      </c>
      <c r="AF22" s="47" t="s">
        <v>90</v>
      </c>
      <c r="AG22" s="47" t="s">
        <v>90</v>
      </c>
      <c r="AH22" s="98" t="s">
        <v>90</v>
      </c>
      <c r="AI22" s="103">
        <v>15640975</v>
      </c>
      <c r="AJ22" s="45">
        <f t="shared" si="7"/>
        <v>1215</v>
      </c>
      <c r="AK22" s="48">
        <f t="shared" si="8"/>
        <v>279.56741831569258</v>
      </c>
      <c r="AL22" s="155">
        <v>1</v>
      </c>
      <c r="AM22" s="155">
        <v>0</v>
      </c>
      <c r="AN22" s="155">
        <v>1</v>
      </c>
      <c r="AO22" s="155">
        <v>1</v>
      </c>
      <c r="AP22" s="155">
        <v>0</v>
      </c>
      <c r="AQ22" s="155">
        <v>1</v>
      </c>
      <c r="AR22" s="155">
        <v>0</v>
      </c>
      <c r="AS22" s="158"/>
      <c r="AT22" s="158">
        <f t="shared" si="9"/>
        <v>0</v>
      </c>
      <c r="AU22" s="119">
        <v>0.87</v>
      </c>
      <c r="AV22" s="50" t="s">
        <v>125</v>
      </c>
      <c r="BB22" s="136" t="s">
        <v>157</v>
      </c>
    </row>
    <row r="23" spans="1:54" x14ac:dyDescent="0.35">
      <c r="A23" s="357">
        <v>43231</v>
      </c>
      <c r="B23" s="40">
        <v>2.4166666666666701</v>
      </c>
      <c r="C23" s="40">
        <v>0.45833333333333298</v>
      </c>
      <c r="D23" s="156">
        <v>3</v>
      </c>
      <c r="E23" s="154">
        <f t="shared" si="2"/>
        <v>2.1126760563380285</v>
      </c>
      <c r="F23" s="154">
        <v>2</v>
      </c>
      <c r="G23" s="118">
        <v>76</v>
      </c>
      <c r="H23" s="154">
        <f t="shared" si="0"/>
        <v>53.521126760563384</v>
      </c>
      <c r="I23" s="154">
        <v>74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7">
        <v>128</v>
      </c>
      <c r="R23" s="157"/>
      <c r="S23" s="157">
        <v>94109450</v>
      </c>
      <c r="T23" s="45">
        <f t="shared" si="4"/>
        <v>4331</v>
      </c>
      <c r="U23" s="46">
        <f t="shared" si="5"/>
        <v>103.944</v>
      </c>
      <c r="V23" s="46">
        <f t="shared" si="6"/>
        <v>4.3310000000000004</v>
      </c>
      <c r="W23" s="96">
        <v>6.6</v>
      </c>
      <c r="X23" s="96">
        <f>W23</f>
        <v>6.6</v>
      </c>
      <c r="Y23" s="97" t="s">
        <v>169</v>
      </c>
      <c r="Z23" s="158">
        <v>1047</v>
      </c>
      <c r="AA23" s="158">
        <v>0</v>
      </c>
      <c r="AB23" s="158">
        <v>1187</v>
      </c>
      <c r="AC23" s="158">
        <v>1185</v>
      </c>
      <c r="AD23" s="158">
        <v>0</v>
      </c>
      <c r="AE23" s="158">
        <v>1185</v>
      </c>
      <c r="AF23" s="47" t="s">
        <v>90</v>
      </c>
      <c r="AG23" s="47" t="s">
        <v>90</v>
      </c>
      <c r="AH23" s="98" t="s">
        <v>90</v>
      </c>
      <c r="AI23" s="103">
        <v>15642160</v>
      </c>
      <c r="AJ23" s="45">
        <f t="shared" si="7"/>
        <v>1185</v>
      </c>
      <c r="AK23" s="48">
        <f t="shared" si="8"/>
        <v>273.60886631262986</v>
      </c>
      <c r="AL23" s="155">
        <v>1</v>
      </c>
      <c r="AM23" s="155">
        <v>0</v>
      </c>
      <c r="AN23" s="155">
        <v>1</v>
      </c>
      <c r="AO23" s="155">
        <v>1</v>
      </c>
      <c r="AP23" s="155">
        <v>0</v>
      </c>
      <c r="AQ23" s="155">
        <v>1</v>
      </c>
      <c r="AR23" s="155">
        <v>0</v>
      </c>
      <c r="AS23" s="158"/>
      <c r="AT23" s="158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357">
        <v>43231</v>
      </c>
      <c r="B24" s="40">
        <v>2.4583333333333299</v>
      </c>
      <c r="C24" s="40">
        <v>0.5</v>
      </c>
      <c r="D24" s="156">
        <v>3</v>
      </c>
      <c r="E24" s="154">
        <f t="shared" si="2"/>
        <v>2.1126760563380285</v>
      </c>
      <c r="F24" s="154">
        <v>2</v>
      </c>
      <c r="G24" s="118">
        <v>76</v>
      </c>
      <c r="H24" s="154">
        <f t="shared" si="0"/>
        <v>53.521126760563384</v>
      </c>
      <c r="I24" s="154">
        <v>74</v>
      </c>
      <c r="J24" s="41" t="s">
        <v>88</v>
      </c>
      <c r="K24" s="41">
        <f t="shared" si="3"/>
        <v>52.112676056338032</v>
      </c>
      <c r="L24" s="42">
        <f t="shared" si="10"/>
        <v>53.521126760563384</v>
      </c>
      <c r="M24" s="41">
        <f t="shared" si="11"/>
        <v>54.941126760563385</v>
      </c>
      <c r="N24" s="43">
        <v>19</v>
      </c>
      <c r="O24" s="44" t="s">
        <v>100</v>
      </c>
      <c r="P24" s="44">
        <v>17.3</v>
      </c>
      <c r="Q24" s="157">
        <v>125</v>
      </c>
      <c r="R24" s="157"/>
      <c r="S24" s="157">
        <v>94113767</v>
      </c>
      <c r="T24" s="45">
        <f t="shared" si="4"/>
        <v>4317</v>
      </c>
      <c r="U24" s="46">
        <f>T24*24/1000</f>
        <v>103.608</v>
      </c>
      <c r="V24" s="46">
        <f t="shared" si="6"/>
        <v>4.3170000000000002</v>
      </c>
      <c r="W24" s="96">
        <v>6</v>
      </c>
      <c r="X24" s="96">
        <f t="shared" si="1"/>
        <v>6</v>
      </c>
      <c r="Y24" s="97" t="s">
        <v>169</v>
      </c>
      <c r="Z24" s="158">
        <v>1047</v>
      </c>
      <c r="AA24" s="158">
        <v>0</v>
      </c>
      <c r="AB24" s="158">
        <v>1187</v>
      </c>
      <c r="AC24" s="158">
        <v>1185</v>
      </c>
      <c r="AD24" s="158">
        <v>0</v>
      </c>
      <c r="AE24" s="158">
        <v>1185</v>
      </c>
      <c r="AF24" s="47" t="s">
        <v>90</v>
      </c>
      <c r="AG24" s="47" t="s">
        <v>90</v>
      </c>
      <c r="AH24" s="98" t="s">
        <v>90</v>
      </c>
      <c r="AI24" s="103">
        <v>15643370</v>
      </c>
      <c r="AJ24" s="45">
        <f t="shared" si="7"/>
        <v>1210</v>
      </c>
      <c r="AK24" s="48">
        <f t="shared" si="8"/>
        <v>280.28723650683344</v>
      </c>
      <c r="AL24" s="155">
        <v>1</v>
      </c>
      <c r="AM24" s="155">
        <v>0</v>
      </c>
      <c r="AN24" s="155">
        <v>1</v>
      </c>
      <c r="AO24" s="155">
        <v>1</v>
      </c>
      <c r="AP24" s="155">
        <v>0</v>
      </c>
      <c r="AQ24" s="155">
        <v>1</v>
      </c>
      <c r="AR24" s="155">
        <v>0</v>
      </c>
      <c r="AS24" s="158"/>
      <c r="AT24" s="158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357">
        <v>43231</v>
      </c>
      <c r="B25" s="40">
        <v>2.5</v>
      </c>
      <c r="C25" s="40">
        <v>0.54166666666666696</v>
      </c>
      <c r="D25" s="156">
        <v>3</v>
      </c>
      <c r="E25" s="154">
        <f t="shared" si="2"/>
        <v>2.1126760563380285</v>
      </c>
      <c r="F25" s="154">
        <v>2</v>
      </c>
      <c r="G25" s="118">
        <v>75</v>
      </c>
      <c r="H25" s="154">
        <f t="shared" si="0"/>
        <v>52.816901408450704</v>
      </c>
      <c r="I25" s="154">
        <v>72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7">
        <v>127</v>
      </c>
      <c r="R25" s="157"/>
      <c r="S25" s="157">
        <v>94118091</v>
      </c>
      <c r="T25" s="45">
        <f t="shared" si="4"/>
        <v>4324</v>
      </c>
      <c r="U25" s="46">
        <f>T25*24/1000</f>
        <v>103.776</v>
      </c>
      <c r="V25" s="46">
        <f t="shared" si="6"/>
        <v>4.3239999999999998</v>
      </c>
      <c r="W25" s="96">
        <v>5.3</v>
      </c>
      <c r="X25" s="96">
        <f t="shared" si="1"/>
        <v>5.3</v>
      </c>
      <c r="Y25" s="97" t="s">
        <v>169</v>
      </c>
      <c r="Z25" s="158">
        <v>1026</v>
      </c>
      <c r="AA25" s="158">
        <v>0</v>
      </c>
      <c r="AB25" s="158">
        <v>1187</v>
      </c>
      <c r="AC25" s="158">
        <v>1185</v>
      </c>
      <c r="AD25" s="158">
        <v>0</v>
      </c>
      <c r="AE25" s="158">
        <v>1185</v>
      </c>
      <c r="AF25" s="47" t="s">
        <v>90</v>
      </c>
      <c r="AG25" s="47" t="s">
        <v>90</v>
      </c>
      <c r="AH25" s="98" t="s">
        <v>90</v>
      </c>
      <c r="AI25" s="103">
        <v>15644548</v>
      </c>
      <c r="AJ25" s="45">
        <f t="shared" si="7"/>
        <v>1178</v>
      </c>
      <c r="AK25" s="48">
        <f t="shared" si="8"/>
        <v>272.43293246993528</v>
      </c>
      <c r="AL25" s="155">
        <v>1</v>
      </c>
      <c r="AM25" s="155">
        <v>0</v>
      </c>
      <c r="AN25" s="155">
        <v>1</v>
      </c>
      <c r="AO25" s="155">
        <v>1</v>
      </c>
      <c r="AP25" s="155">
        <v>0</v>
      </c>
      <c r="AQ25" s="155">
        <v>1</v>
      </c>
      <c r="AR25" s="155">
        <v>0</v>
      </c>
      <c r="AS25" s="158"/>
      <c r="AT25" s="158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57">
        <v>43231</v>
      </c>
      <c r="B26" s="40">
        <v>2.5416666666666701</v>
      </c>
      <c r="C26" s="40">
        <v>0.58333333333333404</v>
      </c>
      <c r="D26" s="156">
        <v>3</v>
      </c>
      <c r="E26" s="154">
        <f t="shared" si="2"/>
        <v>2.1126760563380285</v>
      </c>
      <c r="F26" s="154">
        <v>1</v>
      </c>
      <c r="G26" s="118">
        <v>75</v>
      </c>
      <c r="H26" s="154">
        <f>G26/1.42</f>
        <v>52.816901408450704</v>
      </c>
      <c r="I26" s="154">
        <v>73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7">
        <v>127</v>
      </c>
      <c r="R26" s="157"/>
      <c r="S26" s="157">
        <v>94122499</v>
      </c>
      <c r="T26" s="45">
        <f t="shared" si="4"/>
        <v>4408</v>
      </c>
      <c r="U26" s="46">
        <f t="shared" si="5"/>
        <v>105.792</v>
      </c>
      <c r="V26" s="46">
        <f t="shared" si="6"/>
        <v>4.4080000000000004</v>
      </c>
      <c r="W26" s="96">
        <v>4.8</v>
      </c>
      <c r="X26" s="96">
        <f t="shared" si="1"/>
        <v>4.8</v>
      </c>
      <c r="Y26" s="97" t="s">
        <v>169</v>
      </c>
      <c r="Z26" s="158">
        <v>1026</v>
      </c>
      <c r="AA26" s="158">
        <v>0</v>
      </c>
      <c r="AB26" s="158">
        <v>1187</v>
      </c>
      <c r="AC26" s="158">
        <v>1185</v>
      </c>
      <c r="AD26" s="158">
        <v>0</v>
      </c>
      <c r="AE26" s="158">
        <v>1185</v>
      </c>
      <c r="AF26" s="47" t="s">
        <v>90</v>
      </c>
      <c r="AG26" s="47" t="s">
        <v>90</v>
      </c>
      <c r="AH26" s="98" t="s">
        <v>90</v>
      </c>
      <c r="AI26" s="103">
        <v>15645706</v>
      </c>
      <c r="AJ26" s="45">
        <f t="shared" si="7"/>
        <v>1158</v>
      </c>
      <c r="AK26" s="48">
        <f t="shared" si="8"/>
        <v>262.70417422867513</v>
      </c>
      <c r="AL26" s="155">
        <v>1</v>
      </c>
      <c r="AM26" s="155">
        <v>0</v>
      </c>
      <c r="AN26" s="155">
        <v>1</v>
      </c>
      <c r="AO26" s="155">
        <v>1</v>
      </c>
      <c r="AP26" s="155">
        <v>0</v>
      </c>
      <c r="AQ26" s="155">
        <v>1</v>
      </c>
      <c r="AR26" s="155">
        <v>0</v>
      </c>
      <c r="AS26" s="158"/>
      <c r="AT26" s="158">
        <f t="shared" si="9"/>
        <v>0</v>
      </c>
      <c r="AU26" s="119">
        <v>0.98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57">
        <v>43231</v>
      </c>
      <c r="B27" s="40">
        <v>2.5833333333333299</v>
      </c>
      <c r="C27" s="40">
        <v>0.625</v>
      </c>
      <c r="D27" s="156">
        <v>3</v>
      </c>
      <c r="E27" s="154">
        <f t="shared" si="2"/>
        <v>2.1126760563380285</v>
      </c>
      <c r="F27" s="154">
        <v>0</v>
      </c>
      <c r="G27" s="118">
        <v>76</v>
      </c>
      <c r="H27" s="154">
        <f>G27/1.42</f>
        <v>53.521126760563384</v>
      </c>
      <c r="I27" s="154">
        <v>74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7">
        <v>128</v>
      </c>
      <c r="R27" s="157"/>
      <c r="S27" s="157">
        <v>94126592</v>
      </c>
      <c r="T27" s="45">
        <f t="shared" si="4"/>
        <v>4093</v>
      </c>
      <c r="U27" s="46">
        <f t="shared" si="5"/>
        <v>98.231999999999999</v>
      </c>
      <c r="V27" s="46">
        <f t="shared" si="6"/>
        <v>4.093</v>
      </c>
      <c r="W27" s="96">
        <v>4.4000000000000004</v>
      </c>
      <c r="X27" s="96">
        <f t="shared" si="1"/>
        <v>4.4000000000000004</v>
      </c>
      <c r="Y27" s="97" t="s">
        <v>169</v>
      </c>
      <c r="Z27" s="158">
        <v>1026</v>
      </c>
      <c r="AA27" s="158">
        <v>0</v>
      </c>
      <c r="AB27" s="158">
        <v>1187</v>
      </c>
      <c r="AC27" s="158">
        <v>1185</v>
      </c>
      <c r="AD27" s="158">
        <v>0</v>
      </c>
      <c r="AE27" s="158">
        <v>1185</v>
      </c>
      <c r="AF27" s="47" t="s">
        <v>90</v>
      </c>
      <c r="AG27" s="47" t="s">
        <v>90</v>
      </c>
      <c r="AH27" s="98" t="s">
        <v>90</v>
      </c>
      <c r="AI27" s="103">
        <v>15646824</v>
      </c>
      <c r="AJ27" s="45">
        <f t="shared" si="7"/>
        <v>1118</v>
      </c>
      <c r="AK27" s="48">
        <f t="shared" si="8"/>
        <v>273.14927925726852</v>
      </c>
      <c r="AL27" s="155">
        <v>1</v>
      </c>
      <c r="AM27" s="155">
        <v>0</v>
      </c>
      <c r="AN27" s="155">
        <v>1</v>
      </c>
      <c r="AO27" s="155">
        <v>1</v>
      </c>
      <c r="AP27" s="155">
        <v>0</v>
      </c>
      <c r="AQ27" s="155">
        <v>1</v>
      </c>
      <c r="AR27" s="155">
        <v>0</v>
      </c>
      <c r="AS27" s="158"/>
      <c r="AT27" s="158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57">
        <v>43231</v>
      </c>
      <c r="B28" s="40">
        <v>2.625</v>
      </c>
      <c r="C28" s="40">
        <v>0.66666666666666696</v>
      </c>
      <c r="D28" s="156">
        <v>3</v>
      </c>
      <c r="E28" s="154">
        <f t="shared" si="2"/>
        <v>2.1126760563380285</v>
      </c>
      <c r="F28" s="154">
        <v>-1</v>
      </c>
      <c r="G28" s="118">
        <v>76</v>
      </c>
      <c r="H28" s="154">
        <f t="shared" si="0"/>
        <v>53.521126760563384</v>
      </c>
      <c r="I28" s="154">
        <v>74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7">
        <v>131</v>
      </c>
      <c r="R28" s="157"/>
      <c r="S28" s="157">
        <v>94131170</v>
      </c>
      <c r="T28" s="45">
        <f t="shared" si="4"/>
        <v>4578</v>
      </c>
      <c r="U28" s="46">
        <f t="shared" si="5"/>
        <v>109.872</v>
      </c>
      <c r="V28" s="46">
        <f t="shared" si="6"/>
        <v>4.5780000000000003</v>
      </c>
      <c r="W28" s="96">
        <v>3.8</v>
      </c>
      <c r="X28" s="96">
        <f t="shared" si="1"/>
        <v>3.8</v>
      </c>
      <c r="Y28" s="97" t="s">
        <v>169</v>
      </c>
      <c r="Z28" s="158">
        <v>1026</v>
      </c>
      <c r="AA28" s="158">
        <v>0</v>
      </c>
      <c r="AB28" s="158">
        <v>1187</v>
      </c>
      <c r="AC28" s="158">
        <v>1185</v>
      </c>
      <c r="AD28" s="158">
        <v>0</v>
      </c>
      <c r="AE28" s="158">
        <v>1185</v>
      </c>
      <c r="AF28" s="47" t="s">
        <v>90</v>
      </c>
      <c r="AG28" s="47" t="s">
        <v>90</v>
      </c>
      <c r="AH28" s="98" t="s">
        <v>90</v>
      </c>
      <c r="AI28" s="103">
        <v>15648034</v>
      </c>
      <c r="AJ28" s="45">
        <f>IF(ISBLANK(AI28),"-",AI28-AI27)</f>
        <v>1210</v>
      </c>
      <c r="AK28" s="48">
        <f t="shared" si="8"/>
        <v>264.3075578855395</v>
      </c>
      <c r="AL28" s="155">
        <v>1</v>
      </c>
      <c r="AM28" s="155">
        <v>0</v>
      </c>
      <c r="AN28" s="155">
        <v>1</v>
      </c>
      <c r="AO28" s="155">
        <v>1</v>
      </c>
      <c r="AP28" s="155">
        <v>0</v>
      </c>
      <c r="AQ28" s="155">
        <v>1</v>
      </c>
      <c r="AR28" s="155">
        <v>0</v>
      </c>
      <c r="AS28" s="158"/>
      <c r="AT28" s="158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357">
        <v>43231</v>
      </c>
      <c r="B29" s="40">
        <v>2.6666666666666701</v>
      </c>
      <c r="C29" s="40">
        <v>0.70833333333333404</v>
      </c>
      <c r="D29" s="156">
        <v>3</v>
      </c>
      <c r="E29" s="154">
        <f t="shared" si="2"/>
        <v>2.1126760563380285</v>
      </c>
      <c r="F29" s="154">
        <v>-2</v>
      </c>
      <c r="G29" s="118">
        <v>75</v>
      </c>
      <c r="H29" s="154">
        <f t="shared" si="0"/>
        <v>52.816901408450704</v>
      </c>
      <c r="I29" s="154">
        <v>72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7">
        <v>129</v>
      </c>
      <c r="R29" s="157"/>
      <c r="S29" s="157">
        <v>94135364</v>
      </c>
      <c r="T29" s="45">
        <f t="shared" si="4"/>
        <v>4194</v>
      </c>
      <c r="U29" s="46">
        <f t="shared" si="5"/>
        <v>100.65600000000001</v>
      </c>
      <c r="V29" s="46">
        <f t="shared" si="6"/>
        <v>4.194</v>
      </c>
      <c r="W29" s="96">
        <v>3.4</v>
      </c>
      <c r="X29" s="96">
        <f t="shared" si="1"/>
        <v>3.4</v>
      </c>
      <c r="Y29" s="97" t="s">
        <v>169</v>
      </c>
      <c r="Z29" s="158">
        <v>1026</v>
      </c>
      <c r="AA29" s="158">
        <v>0</v>
      </c>
      <c r="AB29" s="158">
        <v>1187</v>
      </c>
      <c r="AC29" s="158">
        <v>1185</v>
      </c>
      <c r="AD29" s="158">
        <v>0</v>
      </c>
      <c r="AE29" s="158">
        <v>1185</v>
      </c>
      <c r="AF29" s="47" t="s">
        <v>90</v>
      </c>
      <c r="AG29" s="47" t="s">
        <v>90</v>
      </c>
      <c r="AH29" s="98" t="s">
        <v>90</v>
      </c>
      <c r="AI29" s="103">
        <v>15649182</v>
      </c>
      <c r="AJ29" s="45">
        <f t="shared" si="7"/>
        <v>1148</v>
      </c>
      <c r="AK29" s="48">
        <f>AJ28/V29</f>
        <v>288.50739151168335</v>
      </c>
      <c r="AL29" s="155">
        <v>1</v>
      </c>
      <c r="AM29" s="155">
        <v>0</v>
      </c>
      <c r="AN29" s="155">
        <v>1</v>
      </c>
      <c r="AO29" s="155">
        <v>1</v>
      </c>
      <c r="AP29" s="155">
        <v>0</v>
      </c>
      <c r="AQ29" s="155">
        <v>1</v>
      </c>
      <c r="AR29" s="155">
        <v>0</v>
      </c>
      <c r="AS29" s="158"/>
      <c r="AT29" s="158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357">
        <v>43231</v>
      </c>
      <c r="B30" s="40">
        <v>2.7083333333333299</v>
      </c>
      <c r="C30" s="40">
        <v>0.750000000000002</v>
      </c>
      <c r="D30" s="156">
        <v>3</v>
      </c>
      <c r="E30" s="154">
        <f t="shared" si="2"/>
        <v>2.1126760563380285</v>
      </c>
      <c r="F30" s="154">
        <v>-3</v>
      </c>
      <c r="G30" s="118">
        <v>74</v>
      </c>
      <c r="H30" s="154">
        <f t="shared" si="0"/>
        <v>52.112676056338032</v>
      </c>
      <c r="I30" s="154">
        <v>71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7">
        <v>129</v>
      </c>
      <c r="R30" s="157"/>
      <c r="S30" s="157">
        <v>94139893</v>
      </c>
      <c r="T30" s="45">
        <f t="shared" si="4"/>
        <v>4529</v>
      </c>
      <c r="U30" s="46">
        <f t="shared" si="5"/>
        <v>108.696</v>
      </c>
      <c r="V30" s="46">
        <f t="shared" si="6"/>
        <v>4.5289999999999999</v>
      </c>
      <c r="W30" s="96">
        <v>2.9</v>
      </c>
      <c r="X30" s="96">
        <f t="shared" si="1"/>
        <v>2.9</v>
      </c>
      <c r="Y30" s="97" t="s">
        <v>169</v>
      </c>
      <c r="Z30" s="158">
        <v>1025</v>
      </c>
      <c r="AA30" s="158">
        <v>0</v>
      </c>
      <c r="AB30" s="158">
        <v>1187</v>
      </c>
      <c r="AC30" s="158">
        <v>1185</v>
      </c>
      <c r="AD30" s="158">
        <v>0</v>
      </c>
      <c r="AE30" s="158">
        <v>1185</v>
      </c>
      <c r="AF30" s="47" t="s">
        <v>90</v>
      </c>
      <c r="AG30" s="47" t="s">
        <v>90</v>
      </c>
      <c r="AH30" s="98" t="s">
        <v>90</v>
      </c>
      <c r="AI30" s="103">
        <v>15650334</v>
      </c>
      <c r="AJ30" s="45">
        <f t="shared" si="7"/>
        <v>1152</v>
      </c>
      <c r="AK30" s="48">
        <f>AJ29/V30</f>
        <v>253.47758887171562</v>
      </c>
      <c r="AL30" s="155">
        <v>1</v>
      </c>
      <c r="AM30" s="155">
        <v>0</v>
      </c>
      <c r="AN30" s="155">
        <v>1</v>
      </c>
      <c r="AO30" s="155">
        <v>1</v>
      </c>
      <c r="AP30" s="155">
        <v>0</v>
      </c>
      <c r="AQ30" s="155">
        <v>1</v>
      </c>
      <c r="AR30" s="155">
        <v>0</v>
      </c>
      <c r="AS30" s="158"/>
      <c r="AT30" s="158">
        <f t="shared" si="9"/>
        <v>0</v>
      </c>
      <c r="AU30" s="159">
        <v>1.03</v>
      </c>
      <c r="AV30" s="50" t="s">
        <v>124</v>
      </c>
      <c r="AY30" s="55" t="s">
        <v>114</v>
      </c>
      <c r="AZ30" s="55">
        <v>101.325</v>
      </c>
      <c r="BB30" s="74" t="s">
        <v>143</v>
      </c>
    </row>
    <row r="31" spans="1:54" x14ac:dyDescent="0.35">
      <c r="A31" s="357">
        <v>43231</v>
      </c>
      <c r="B31" s="40">
        <v>2.75</v>
      </c>
      <c r="C31" s="40">
        <v>0.79166666666666896</v>
      </c>
      <c r="D31" s="156">
        <v>3</v>
      </c>
      <c r="E31" s="154">
        <f t="shared" si="2"/>
        <v>2.1126760563380285</v>
      </c>
      <c r="F31" s="154">
        <v>-4</v>
      </c>
      <c r="G31" s="118">
        <v>75</v>
      </c>
      <c r="H31" s="154">
        <f t="shared" si="0"/>
        <v>52.816901408450704</v>
      </c>
      <c r="I31" s="154">
        <v>73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7">
        <v>128</v>
      </c>
      <c r="R31" s="157"/>
      <c r="S31" s="157">
        <v>94144501</v>
      </c>
      <c r="T31" s="45">
        <f t="shared" si="4"/>
        <v>4608</v>
      </c>
      <c r="U31" s="46">
        <f t="shared" si="5"/>
        <v>110.592</v>
      </c>
      <c r="V31" s="46">
        <f t="shared" si="6"/>
        <v>4.6079999999999997</v>
      </c>
      <c r="W31" s="96">
        <v>2.6</v>
      </c>
      <c r="X31" s="96">
        <f t="shared" si="1"/>
        <v>2.6</v>
      </c>
      <c r="Y31" s="97" t="s">
        <v>169</v>
      </c>
      <c r="Z31" s="158">
        <v>1026</v>
      </c>
      <c r="AA31" s="158">
        <v>0</v>
      </c>
      <c r="AB31" s="158">
        <v>1187</v>
      </c>
      <c r="AC31" s="158">
        <v>1185</v>
      </c>
      <c r="AD31" s="158">
        <v>0</v>
      </c>
      <c r="AE31" s="158">
        <v>1185</v>
      </c>
      <c r="AF31" s="47" t="s">
        <v>90</v>
      </c>
      <c r="AG31" s="47" t="s">
        <v>90</v>
      </c>
      <c r="AH31" s="98" t="s">
        <v>90</v>
      </c>
      <c r="AI31" s="103">
        <v>15651531</v>
      </c>
      <c r="AJ31" s="45">
        <f t="shared" si="7"/>
        <v>1197</v>
      </c>
      <c r="AK31" s="48">
        <f t="shared" si="8"/>
        <v>259.765625</v>
      </c>
      <c r="AL31" s="155">
        <v>1</v>
      </c>
      <c r="AM31" s="155">
        <v>0</v>
      </c>
      <c r="AN31" s="155">
        <v>1</v>
      </c>
      <c r="AO31" s="155">
        <v>1</v>
      </c>
      <c r="AP31" s="155">
        <v>0</v>
      </c>
      <c r="AQ31" s="155">
        <v>1</v>
      </c>
      <c r="AR31" s="155">
        <v>0</v>
      </c>
      <c r="AS31" s="158"/>
      <c r="AT31" s="158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357">
        <v>43231</v>
      </c>
      <c r="B32" s="40">
        <v>2.7916666666666701</v>
      </c>
      <c r="C32" s="40">
        <v>0.83333333333333703</v>
      </c>
      <c r="D32" s="156">
        <v>3</v>
      </c>
      <c r="E32" s="154">
        <f t="shared" si="2"/>
        <v>2.1126760563380285</v>
      </c>
      <c r="F32" s="154">
        <v>-3</v>
      </c>
      <c r="G32" s="118">
        <v>75</v>
      </c>
      <c r="H32" s="154">
        <f t="shared" si="0"/>
        <v>52.816901408450704</v>
      </c>
      <c r="I32" s="154">
        <v>72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7">
        <v>129</v>
      </c>
      <c r="R32" s="157"/>
      <c r="S32" s="157">
        <v>94148870</v>
      </c>
      <c r="T32" s="45">
        <f t="shared" si="4"/>
        <v>4369</v>
      </c>
      <c r="U32" s="46">
        <f t="shared" si="5"/>
        <v>104.85599999999999</v>
      </c>
      <c r="V32" s="46">
        <f t="shared" si="6"/>
        <v>4.3689999999999998</v>
      </c>
      <c r="W32" s="96">
        <v>2.2000000000000002</v>
      </c>
      <c r="X32" s="96">
        <f t="shared" si="1"/>
        <v>2.2000000000000002</v>
      </c>
      <c r="Y32" s="97" t="s">
        <v>169</v>
      </c>
      <c r="Z32" s="158">
        <v>1026</v>
      </c>
      <c r="AA32" s="158">
        <v>0</v>
      </c>
      <c r="AB32" s="158">
        <v>1187</v>
      </c>
      <c r="AC32" s="158">
        <v>1185</v>
      </c>
      <c r="AD32" s="158">
        <v>0</v>
      </c>
      <c r="AE32" s="158">
        <v>1185</v>
      </c>
      <c r="AF32" s="47" t="s">
        <v>90</v>
      </c>
      <c r="AG32" s="47" t="s">
        <v>90</v>
      </c>
      <c r="AH32" s="98" t="s">
        <v>90</v>
      </c>
      <c r="AI32" s="103">
        <v>15652701</v>
      </c>
      <c r="AJ32" s="45">
        <f t="shared" si="7"/>
        <v>1170</v>
      </c>
      <c r="AK32" s="48">
        <f t="shared" si="8"/>
        <v>267.79583428702222</v>
      </c>
      <c r="AL32" s="155">
        <v>1</v>
      </c>
      <c r="AM32" s="155">
        <v>0</v>
      </c>
      <c r="AN32" s="155">
        <v>1</v>
      </c>
      <c r="AO32" s="155">
        <v>1</v>
      </c>
      <c r="AP32" s="155">
        <v>0</v>
      </c>
      <c r="AQ32" s="155">
        <v>1</v>
      </c>
      <c r="AR32" s="155">
        <v>0</v>
      </c>
      <c r="AS32" s="158"/>
      <c r="AT32" s="158">
        <v>0</v>
      </c>
      <c r="AU32" s="49"/>
      <c r="AV32" s="50" t="s">
        <v>124</v>
      </c>
      <c r="AY32" s="308" t="s">
        <v>115</v>
      </c>
      <c r="AZ32" s="308"/>
      <c r="BB32" s="74" t="s">
        <v>156</v>
      </c>
    </row>
    <row r="33" spans="1:54" x14ac:dyDescent="0.35">
      <c r="A33" s="357">
        <v>43231</v>
      </c>
      <c r="B33" s="40">
        <v>2.8333333333333299</v>
      </c>
      <c r="C33" s="40">
        <v>0.875</v>
      </c>
      <c r="D33" s="156">
        <v>3</v>
      </c>
      <c r="E33" s="154">
        <f t="shared" si="2"/>
        <v>2.1126760563380285</v>
      </c>
      <c r="F33" s="154">
        <v>-2</v>
      </c>
      <c r="G33" s="118">
        <v>75</v>
      </c>
      <c r="H33" s="154">
        <f t="shared" si="0"/>
        <v>52.816901408450704</v>
      </c>
      <c r="I33" s="154">
        <v>73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7">
        <v>127</v>
      </c>
      <c r="R33" s="157"/>
      <c r="S33" s="157">
        <v>94153126</v>
      </c>
      <c r="T33" s="45">
        <f t="shared" si="4"/>
        <v>4256</v>
      </c>
      <c r="U33" s="46">
        <f t="shared" si="5"/>
        <v>102.14400000000001</v>
      </c>
      <c r="V33" s="46">
        <f t="shared" si="6"/>
        <v>4.2560000000000002</v>
      </c>
      <c r="W33" s="96">
        <v>1.9</v>
      </c>
      <c r="X33" s="96">
        <f t="shared" si="1"/>
        <v>1.9</v>
      </c>
      <c r="Y33" s="97" t="s">
        <v>169</v>
      </c>
      <c r="Z33" s="158">
        <v>1025</v>
      </c>
      <c r="AA33" s="158">
        <v>0</v>
      </c>
      <c r="AB33" s="158">
        <v>1187</v>
      </c>
      <c r="AC33" s="158">
        <v>1185</v>
      </c>
      <c r="AD33" s="158">
        <v>0</v>
      </c>
      <c r="AE33" s="158">
        <v>1185</v>
      </c>
      <c r="AF33" s="47" t="s">
        <v>90</v>
      </c>
      <c r="AG33" s="47" t="s">
        <v>90</v>
      </c>
      <c r="AH33" s="98" t="s">
        <v>90</v>
      </c>
      <c r="AI33" s="103">
        <v>15653817</v>
      </c>
      <c r="AJ33" s="45">
        <f t="shared" si="7"/>
        <v>1116</v>
      </c>
      <c r="AK33" s="48">
        <f t="shared" si="8"/>
        <v>262.21804511278197</v>
      </c>
      <c r="AL33" s="155">
        <v>1</v>
      </c>
      <c r="AM33" s="155">
        <v>0</v>
      </c>
      <c r="AN33" s="155">
        <v>1</v>
      </c>
      <c r="AO33" s="155">
        <v>1</v>
      </c>
      <c r="AP33" s="155">
        <v>0</v>
      </c>
      <c r="AQ33" s="155">
        <v>1</v>
      </c>
      <c r="AR33" s="155">
        <v>0</v>
      </c>
      <c r="AS33" s="158"/>
      <c r="AT33" s="158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57">
        <v>43231</v>
      </c>
      <c r="B34" s="40">
        <v>2.875</v>
      </c>
      <c r="C34" s="40">
        <v>0.91666666666667096</v>
      </c>
      <c r="D34" s="156">
        <v>3</v>
      </c>
      <c r="E34" s="154">
        <f t="shared" si="2"/>
        <v>2.1126760563380285</v>
      </c>
      <c r="F34" s="154">
        <v>-1</v>
      </c>
      <c r="G34" s="118">
        <v>76</v>
      </c>
      <c r="H34" s="154">
        <f t="shared" si="0"/>
        <v>53.521126760563384</v>
      </c>
      <c r="I34" s="154">
        <v>74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7">
        <v>127</v>
      </c>
      <c r="R34" s="157"/>
      <c r="S34" s="157">
        <v>94157956</v>
      </c>
      <c r="T34" s="45">
        <f t="shared" si="4"/>
        <v>4830</v>
      </c>
      <c r="U34" s="46">
        <f t="shared" si="5"/>
        <v>115.92</v>
      </c>
      <c r="V34" s="46">
        <f t="shared" si="6"/>
        <v>4.83</v>
      </c>
      <c r="W34" s="96">
        <v>1.6</v>
      </c>
      <c r="X34" s="96">
        <f t="shared" si="1"/>
        <v>1.6</v>
      </c>
      <c r="Y34" s="97" t="s">
        <v>169</v>
      </c>
      <c r="Z34" s="158">
        <v>1025</v>
      </c>
      <c r="AA34" s="158">
        <v>0</v>
      </c>
      <c r="AB34" s="158">
        <v>1186</v>
      </c>
      <c r="AC34" s="158">
        <v>1185</v>
      </c>
      <c r="AD34" s="158">
        <v>0</v>
      </c>
      <c r="AE34" s="158">
        <v>1185</v>
      </c>
      <c r="AF34" s="47" t="s">
        <v>90</v>
      </c>
      <c r="AG34" s="47" t="s">
        <v>90</v>
      </c>
      <c r="AH34" s="98" t="s">
        <v>90</v>
      </c>
      <c r="AI34" s="103">
        <v>15655027</v>
      </c>
      <c r="AJ34" s="45">
        <f t="shared" si="7"/>
        <v>1210</v>
      </c>
      <c r="AK34" s="48">
        <f t="shared" si="8"/>
        <v>250.51759834368531</v>
      </c>
      <c r="AL34" s="155">
        <v>1</v>
      </c>
      <c r="AM34" s="155">
        <v>0</v>
      </c>
      <c r="AN34" s="155">
        <v>1</v>
      </c>
      <c r="AO34" s="155">
        <v>1</v>
      </c>
      <c r="AP34" s="155">
        <v>0</v>
      </c>
      <c r="AQ34" s="155">
        <v>1</v>
      </c>
      <c r="AR34" s="155">
        <v>0</v>
      </c>
      <c r="AS34" s="158"/>
      <c r="AT34" s="158">
        <f>AS34-AS33</f>
        <v>0</v>
      </c>
      <c r="AU34" s="119">
        <v>0.97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357">
        <v>43231</v>
      </c>
      <c r="B35" s="40">
        <v>2.9166666666666701</v>
      </c>
      <c r="C35" s="40">
        <v>0.95833333333333803</v>
      </c>
      <c r="D35" s="156">
        <v>3</v>
      </c>
      <c r="E35" s="154">
        <f t="shared" si="2"/>
        <v>2.1126760563380285</v>
      </c>
      <c r="F35" s="154">
        <v>1</v>
      </c>
      <c r="G35" s="118">
        <v>72</v>
      </c>
      <c r="H35" s="154">
        <f t="shared" si="0"/>
        <v>50.70422535211268</v>
      </c>
      <c r="I35" s="154">
        <v>71</v>
      </c>
      <c r="J35" s="41" t="s">
        <v>88</v>
      </c>
      <c r="K35" s="41">
        <f>L35-(2/1.42)</f>
        <v>45.774647887323944</v>
      </c>
      <c r="L35" s="42">
        <f>(G35-5)/1.42</f>
        <v>47.183098591549296</v>
      </c>
      <c r="M35" s="41">
        <f t="shared" si="12"/>
        <v>51.408450704225352</v>
      </c>
      <c r="N35" s="43">
        <v>14</v>
      </c>
      <c r="O35" s="44" t="s">
        <v>116</v>
      </c>
      <c r="P35" s="44">
        <v>11.9</v>
      </c>
      <c r="Q35" s="157">
        <v>139</v>
      </c>
      <c r="R35" s="157"/>
      <c r="S35" s="157">
        <v>94162214</v>
      </c>
      <c r="T35" s="45">
        <f t="shared" si="4"/>
        <v>4258</v>
      </c>
      <c r="U35" s="46">
        <f t="shared" si="5"/>
        <v>102.19199999999999</v>
      </c>
      <c r="V35" s="46">
        <f t="shared" si="6"/>
        <v>4.258</v>
      </c>
      <c r="W35" s="96">
        <v>1.9</v>
      </c>
      <c r="X35" s="96">
        <f t="shared" si="1"/>
        <v>1.9</v>
      </c>
      <c r="Y35" s="97" t="s">
        <v>138</v>
      </c>
      <c r="Z35" s="158">
        <v>0</v>
      </c>
      <c r="AA35" s="158">
        <v>0</v>
      </c>
      <c r="AB35" s="158">
        <v>1187</v>
      </c>
      <c r="AC35" s="158">
        <v>1185</v>
      </c>
      <c r="AD35" s="158">
        <v>0</v>
      </c>
      <c r="AE35" s="158">
        <v>1185</v>
      </c>
      <c r="AF35" s="47" t="s">
        <v>90</v>
      </c>
      <c r="AG35" s="47" t="s">
        <v>90</v>
      </c>
      <c r="AH35" s="98" t="s">
        <v>90</v>
      </c>
      <c r="AI35" s="103">
        <v>15656109</v>
      </c>
      <c r="AJ35" s="45">
        <f t="shared" si="7"/>
        <v>1082</v>
      </c>
      <c r="AK35" s="48">
        <f t="shared" si="8"/>
        <v>254.10991075622357</v>
      </c>
      <c r="AL35" s="155">
        <v>0</v>
      </c>
      <c r="AM35" s="155">
        <v>0</v>
      </c>
      <c r="AN35" s="155">
        <v>1</v>
      </c>
      <c r="AO35" s="155">
        <v>1</v>
      </c>
      <c r="AP35" s="155">
        <v>0</v>
      </c>
      <c r="AQ35" s="155">
        <v>1</v>
      </c>
      <c r="AR35" s="155">
        <v>0.3</v>
      </c>
      <c r="AS35" s="158"/>
      <c r="AT35" s="158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357">
        <v>43231</v>
      </c>
      <c r="B36" s="40">
        <v>2.9583333333333299</v>
      </c>
      <c r="C36" s="40">
        <v>1</v>
      </c>
      <c r="D36" s="156">
        <v>3</v>
      </c>
      <c r="E36" s="154">
        <f t="shared" si="2"/>
        <v>2.1126760563380285</v>
      </c>
      <c r="F36" s="154">
        <v>2</v>
      </c>
      <c r="G36" s="118">
        <v>73</v>
      </c>
      <c r="H36" s="154">
        <f t="shared" si="0"/>
        <v>51.408450704225352</v>
      </c>
      <c r="I36" s="154">
        <v>71</v>
      </c>
      <c r="J36" s="41" t="s">
        <v>88</v>
      </c>
      <c r="K36" s="41">
        <f t="shared" si="3"/>
        <v>46.478873239436624</v>
      </c>
      <c r="L36" s="42">
        <f>(G36-5)/1.42</f>
        <v>47.887323943661976</v>
      </c>
      <c r="M36" s="41">
        <f t="shared" si="12"/>
        <v>52.112676056338032</v>
      </c>
      <c r="N36" s="43">
        <v>14</v>
      </c>
      <c r="O36" s="44" t="s">
        <v>116</v>
      </c>
      <c r="P36" s="58">
        <v>11.5</v>
      </c>
      <c r="Q36" s="157">
        <v>137</v>
      </c>
      <c r="R36" s="157"/>
      <c r="S36" s="157">
        <v>94166479</v>
      </c>
      <c r="T36" s="45">
        <f t="shared" si="4"/>
        <v>4265</v>
      </c>
      <c r="U36" s="46">
        <f t="shared" si="5"/>
        <v>102.36</v>
      </c>
      <c r="V36" s="46">
        <f t="shared" si="6"/>
        <v>4.2649999999999997</v>
      </c>
      <c r="W36" s="96">
        <v>2.7</v>
      </c>
      <c r="X36" s="96">
        <f t="shared" si="1"/>
        <v>2.7</v>
      </c>
      <c r="Y36" s="97" t="s">
        <v>138</v>
      </c>
      <c r="Z36" s="158">
        <v>0</v>
      </c>
      <c r="AA36" s="158">
        <v>0</v>
      </c>
      <c r="AB36" s="158">
        <v>1187</v>
      </c>
      <c r="AC36" s="158">
        <v>1185</v>
      </c>
      <c r="AD36" s="158">
        <v>0</v>
      </c>
      <c r="AE36" s="158">
        <v>1185</v>
      </c>
      <c r="AF36" s="47" t="s">
        <v>90</v>
      </c>
      <c r="AG36" s="47" t="s">
        <v>90</v>
      </c>
      <c r="AH36" s="98" t="s">
        <v>90</v>
      </c>
      <c r="AI36" s="103">
        <v>15657204</v>
      </c>
      <c r="AJ36" s="45">
        <f t="shared" si="7"/>
        <v>1095</v>
      </c>
      <c r="AK36" s="48">
        <f t="shared" si="8"/>
        <v>256.74091441969523</v>
      </c>
      <c r="AL36" s="155">
        <v>0</v>
      </c>
      <c r="AM36" s="155">
        <v>0</v>
      </c>
      <c r="AN36" s="155">
        <v>1</v>
      </c>
      <c r="AO36" s="155">
        <v>1</v>
      </c>
      <c r="AP36" s="155">
        <v>0</v>
      </c>
      <c r="AQ36" s="155">
        <v>1</v>
      </c>
      <c r="AR36" s="155">
        <v>0.3</v>
      </c>
      <c r="AS36" s="158"/>
      <c r="AT36" s="158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73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09" t="s">
        <v>118</v>
      </c>
      <c r="O37" s="310"/>
      <c r="P37" s="311"/>
      <c r="Q37" s="101"/>
      <c r="R37" s="101"/>
      <c r="S37" s="101"/>
      <c r="T37" s="60">
        <f>SUM(T13:T36)</f>
        <v>103516</v>
      </c>
      <c r="U37" s="46">
        <f t="shared" si="5"/>
        <v>2484.384</v>
      </c>
      <c r="V37" s="46">
        <f t="shared" si="6"/>
        <v>103.51600000000001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27640</v>
      </c>
      <c r="AK37" s="61">
        <f>$AJ$37/$V37</f>
        <v>267.01186290042119</v>
      </c>
      <c r="AL37" s="155"/>
      <c r="AM37" s="155"/>
      <c r="AN37" s="155"/>
      <c r="AO37" s="155"/>
      <c r="AP37" s="155"/>
      <c r="AQ37" s="155"/>
      <c r="AR37" s="62"/>
      <c r="AS37" s="63">
        <f>AS36-AS11</f>
        <v>0</v>
      </c>
      <c r="AT37" s="64">
        <f>SUM(AT13:AT36)</f>
        <v>0</v>
      </c>
      <c r="AU37" s="65">
        <f>AVERAGE(AU13:AU36)</f>
        <v>0.98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7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8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8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4"/>
      <c r="D47" s="164"/>
      <c r="E47" s="164"/>
      <c r="F47" s="164"/>
      <c r="G47" s="164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71" t="s">
        <v>215</v>
      </c>
      <c r="C48" s="172"/>
      <c r="D48" s="172"/>
      <c r="E48" s="172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70"/>
      <c r="D49" s="170"/>
      <c r="E49" s="170"/>
      <c r="F49" s="161"/>
      <c r="G49" s="161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15" t="s">
        <v>182</v>
      </c>
      <c r="C50" s="143"/>
      <c r="D50" s="143"/>
      <c r="E50" s="143"/>
      <c r="F50" s="130"/>
      <c r="G50" s="130"/>
      <c r="H50" s="160"/>
      <c r="I50" s="160"/>
      <c r="J50" s="160"/>
      <c r="K50" s="160"/>
      <c r="L50" s="160"/>
      <c r="M50" s="160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210</v>
      </c>
      <c r="B51" s="132" t="s">
        <v>163</v>
      </c>
      <c r="C51" s="143"/>
      <c r="D51" s="143"/>
      <c r="E51" s="143"/>
      <c r="F51" s="130"/>
      <c r="G51" s="130"/>
      <c r="H51" s="160"/>
      <c r="I51" s="160"/>
      <c r="J51" s="160"/>
      <c r="K51" s="160"/>
      <c r="L51" s="160"/>
      <c r="M51" s="160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224</v>
      </c>
      <c r="C52" s="120"/>
      <c r="D52" s="115"/>
      <c r="E52" s="115"/>
      <c r="F52" s="115"/>
      <c r="G52" s="115"/>
      <c r="H52" s="160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70"/>
      <c r="D53" s="170"/>
      <c r="E53" s="170"/>
      <c r="F53" s="170"/>
      <c r="G53" s="115"/>
      <c r="H53" s="115"/>
      <c r="I53" s="115"/>
      <c r="J53" s="115"/>
      <c r="K53" s="115"/>
      <c r="L53" s="115"/>
      <c r="M53" s="115"/>
      <c r="N53" s="163"/>
      <c r="O53" s="163"/>
      <c r="P53" s="163"/>
      <c r="Q53" s="163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32" t="s">
        <v>170</v>
      </c>
      <c r="C54" s="153"/>
      <c r="D54" s="170"/>
      <c r="E54" s="170"/>
      <c r="F54" s="170"/>
      <c r="G54" s="170"/>
      <c r="H54" s="170"/>
      <c r="I54" s="170"/>
      <c r="J54" s="169"/>
      <c r="K54" s="166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70"/>
      <c r="E55" s="153"/>
      <c r="F55" s="153"/>
      <c r="G55" s="153"/>
      <c r="H55" s="153"/>
      <c r="I55" s="153"/>
      <c r="J55" s="169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172</v>
      </c>
      <c r="C56" s="115"/>
      <c r="D56" s="170"/>
      <c r="E56" s="153"/>
      <c r="F56" s="153"/>
      <c r="G56" s="153"/>
      <c r="H56" s="153"/>
      <c r="I56" s="153"/>
      <c r="J56" s="153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53" t="s">
        <v>216</v>
      </c>
      <c r="C57" s="170"/>
      <c r="D57" s="170"/>
      <c r="E57" s="153"/>
      <c r="F57" s="153"/>
      <c r="G57" s="153"/>
      <c r="H57" s="153"/>
      <c r="I57" s="153"/>
      <c r="J57" s="153"/>
      <c r="K57" s="166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174</v>
      </c>
      <c r="C58" s="170"/>
      <c r="D58" s="170"/>
      <c r="E58" s="115"/>
      <c r="F58" s="115"/>
      <c r="G58" s="115"/>
      <c r="H58" s="115"/>
      <c r="I58" s="153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62" t="s">
        <v>195</v>
      </c>
      <c r="C59" s="170"/>
      <c r="D59" s="170"/>
      <c r="E59" s="153"/>
      <c r="F59" s="153"/>
      <c r="G59" s="153"/>
      <c r="H59" s="153"/>
      <c r="I59" s="153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32"/>
      <c r="C60" s="170"/>
      <c r="D60" s="223"/>
      <c r="E60" s="223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62"/>
      <c r="C61" s="153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32"/>
      <c r="C62" s="115"/>
      <c r="D62" s="100"/>
      <c r="E62" s="100"/>
      <c r="F62" s="115"/>
      <c r="G62" s="115"/>
      <c r="H62" s="92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6"/>
      <c r="E63" s="166"/>
      <c r="F63" s="166"/>
      <c r="G63" s="166"/>
      <c r="H63" s="166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53"/>
      <c r="C64" s="115"/>
      <c r="D64" s="100"/>
      <c r="E64" s="100"/>
      <c r="F64" s="115"/>
      <c r="G64" s="115"/>
      <c r="H64" s="92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6"/>
      <c r="E65" s="166"/>
      <c r="F65" s="166"/>
      <c r="G65" s="166"/>
      <c r="H65" s="166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AV65" s="86"/>
      <c r="AW65" s="86"/>
      <c r="AX65" s="86"/>
      <c r="AY65" s="86"/>
      <c r="AZ65" s="86"/>
      <c r="BA65" s="86"/>
      <c r="BB65" s="86"/>
    </row>
    <row r="66" spans="2:54" x14ac:dyDescent="0.35">
      <c r="B66" s="162"/>
      <c r="C66" s="115"/>
      <c r="D66" s="166"/>
      <c r="E66" s="166"/>
      <c r="F66" s="166"/>
      <c r="G66" s="166"/>
      <c r="H66" s="166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6"/>
      <c r="E67" s="166"/>
      <c r="F67" s="166"/>
      <c r="G67" s="166"/>
      <c r="H67" s="166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AF13:AH36 T13:V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Q13:Q36 S13:S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4:W4" name="Range1_16_1_1_1_1_1_1_2_2_2_2_2_2_2_2_2_2_2_2_2_2_2_2_2_2_2_2_2_2_2_1_2_2_2_2_2_2_2_2_2_2_3_2_2_2_2_2_2_2_2_2_2_1_1_1_1_2_2_1_1_1_1_1_1_1_1_1_1_1_1_1_1_2"/>
    <protectedRange sqref="R3:W3" name="Range1_16_1_1_1_1_1_1_2_2_2_2_2_2_2_2_2_2_2_2_2_2_2_2_2_2_2_2_2_2_2_1_2_2_2_2_2_2_2_2_2_2_3_2_2_2_2_2_2_2_2_2_2_1_1_1_1_2_2_1_1_1_1_1_1_1_1_1_1_1_1_1_1_3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R5:W5" name="Range1_16_1_1_1_1_1_1_2_2_2_2_2_2_2_2_2_2_2_2_2_2_2_2_2_2_2_2_2_2_2_1_2_2_2_2_2_2_2_2_2_2_3_2_2_2_2_2_2_2_2_2_2_1_1_1_1_2_2_1_1_1_1_1_1_1_1_1_1_3_1_3_2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356" priority="5" operator="containsText" text="N/A">
      <formula>NOT(ISERROR(SEARCH("N/A",Z13)))</formula>
    </cfRule>
    <cfRule type="cellIs" dxfId="355" priority="17" operator="equal">
      <formula>0</formula>
    </cfRule>
  </conditionalFormatting>
  <conditionalFormatting sqref="Z13:AG36">
    <cfRule type="cellIs" dxfId="354" priority="16" operator="greaterThanOrEqual">
      <formula>1185</formula>
    </cfRule>
  </conditionalFormatting>
  <conditionalFormatting sqref="Z13:AG36">
    <cfRule type="cellIs" dxfId="353" priority="15" operator="between">
      <formula>0.1</formula>
      <formula>1184</formula>
    </cfRule>
  </conditionalFormatting>
  <conditionalFormatting sqref="Z8:Z9 AT13:AT36 AL37:AQ37 AL13:AR36">
    <cfRule type="cellIs" dxfId="352" priority="14" operator="equal">
      <formula>0</formula>
    </cfRule>
  </conditionalFormatting>
  <conditionalFormatting sqref="Z8:Z9 AT13:AT36 AL37:AQ37 AL13:AR36">
    <cfRule type="cellIs" dxfId="351" priority="13" operator="greaterThan">
      <formula>1179</formula>
    </cfRule>
  </conditionalFormatting>
  <conditionalFormatting sqref="Z8:Z9 AT13:AT36 AL37:AQ37 AL13:AR36">
    <cfRule type="cellIs" dxfId="350" priority="12" operator="greaterThan">
      <formula>99</formula>
    </cfRule>
  </conditionalFormatting>
  <conditionalFormatting sqref="Z8:Z9 AT13:AT36 AL37:AQ37 AL13:AR36">
    <cfRule type="cellIs" dxfId="349" priority="11" operator="greaterThan">
      <formula>0.99</formula>
    </cfRule>
  </conditionalFormatting>
  <conditionalFormatting sqref="AD8:AD9">
    <cfRule type="cellIs" dxfId="348" priority="10" operator="equal">
      <formula>0</formula>
    </cfRule>
  </conditionalFormatting>
  <conditionalFormatting sqref="AD8:AD9">
    <cfRule type="cellIs" dxfId="347" priority="9" operator="greaterThan">
      <formula>1179</formula>
    </cfRule>
  </conditionalFormatting>
  <conditionalFormatting sqref="AD8:AD9">
    <cfRule type="cellIs" dxfId="346" priority="8" operator="greaterThan">
      <formula>99</formula>
    </cfRule>
  </conditionalFormatting>
  <conditionalFormatting sqref="AD8:AD9">
    <cfRule type="cellIs" dxfId="345" priority="7" operator="greaterThan">
      <formula>0.99</formula>
    </cfRule>
  </conditionalFormatting>
  <conditionalFormatting sqref="AK13:AK36">
    <cfRule type="cellIs" dxfId="344" priority="6" operator="greaterThan">
      <formula>$AK$8</formula>
    </cfRule>
  </conditionalFormatting>
  <conditionalFormatting sqref="AS13:AS36">
    <cfRule type="containsText" dxfId="343" priority="1" operator="containsText" text="N/A">
      <formula>NOT(ISERROR(SEARCH("N/A",AS13)))</formula>
    </cfRule>
    <cfRule type="cellIs" dxfId="342" priority="4" operator="equal">
      <formula>0</formula>
    </cfRule>
  </conditionalFormatting>
  <conditionalFormatting sqref="AS13:AS36">
    <cfRule type="cellIs" dxfId="341" priority="3" operator="greaterThanOrEqual">
      <formula>1185</formula>
    </cfRule>
  </conditionalFormatting>
  <conditionalFormatting sqref="AS13:AS36">
    <cfRule type="cellIs" dxfId="340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A00-000000000000}">
      <formula1>$BB$11:$BB$42</formula1>
    </dataValidation>
    <dataValidation type="list" allowBlank="1" showInputMessage="1" showErrorMessage="1" sqref="AY33:AZ33" xr:uid="{00000000-0002-0000-0A00-000001000000}">
      <formula1>$AY$26:$AY$30</formula1>
    </dataValidation>
    <dataValidation type="list" allowBlank="1" showInputMessage="1" showErrorMessage="1" sqref="AS8:AT9 P11:P12 N11:N12 D8:E9 Q8:V9" xr:uid="{00000000-0002-0000-0A00-000002000000}">
      <formula1>#REF!</formula1>
    </dataValidation>
    <dataValidation type="list" allowBlank="1" showInputMessage="1" showErrorMessage="1" sqref="J13:J36" xr:uid="{00000000-0002-0000-0A00-000003000000}">
      <formula1>$AY$11:$AY$21</formula1>
    </dataValidation>
  </dataValidations>
  <hyperlinks>
    <hyperlink ref="J10:J11" location="'1'!AH8" display="Plant Status" xr:uid="{00000000-0004-0000-0A00-000000000000}"/>
  </hyperlinks>
  <pageMargins left="0.7" right="0.7" top="0.75" bottom="0.75" header="0.3" footer="0.3"/>
  <pageSetup paperSize="9" orientation="portrait" horizont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tabColor rgb="FF7030A0"/>
  </sheetPr>
  <dimension ref="A2:BB88"/>
  <sheetViews>
    <sheetView zoomScaleNormal="100" workbookViewId="0">
      <selection activeCell="B57" sqref="B57:B59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47" t="s">
        <v>157</v>
      </c>
      <c r="S3" s="348"/>
      <c r="T3" s="348"/>
      <c r="U3" s="348"/>
      <c r="V3" s="348"/>
      <c r="W3" s="34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47" t="s">
        <v>143</v>
      </c>
      <c r="S4" s="348"/>
      <c r="T4" s="348"/>
      <c r="U4" s="348"/>
      <c r="V4" s="348"/>
      <c r="W4" s="34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47" t="s">
        <v>141</v>
      </c>
      <c r="S5" s="348"/>
      <c r="T5" s="348"/>
      <c r="U5" s="348"/>
      <c r="V5" s="348"/>
      <c r="W5" s="34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50" t="s">
        <v>6</v>
      </c>
      <c r="C6" s="351"/>
      <c r="D6" s="352" t="s">
        <v>7</v>
      </c>
      <c r="E6" s="353"/>
      <c r="F6" s="353"/>
      <c r="G6" s="353"/>
      <c r="H6" s="353"/>
      <c r="I6" s="353"/>
      <c r="J6" s="354"/>
      <c r="K6" s="87"/>
      <c r="L6" s="87"/>
      <c r="M6" s="211"/>
      <c r="N6" s="355">
        <v>41686</v>
      </c>
      <c r="O6" s="356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37" t="s">
        <v>8</v>
      </c>
      <c r="C7" s="338"/>
      <c r="D7" s="337" t="s">
        <v>9</v>
      </c>
      <c r="E7" s="339"/>
      <c r="F7" s="339"/>
      <c r="G7" s="339"/>
      <c r="H7" s="339"/>
      <c r="I7" s="338"/>
      <c r="J7" s="21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16" t="s">
        <v>14</v>
      </c>
      <c r="R7" s="337" t="s">
        <v>15</v>
      </c>
      <c r="S7" s="339"/>
      <c r="T7" s="339"/>
      <c r="U7" s="339"/>
      <c r="V7" s="338"/>
      <c r="W7" s="337" t="s">
        <v>16</v>
      </c>
      <c r="X7" s="338"/>
      <c r="Y7" s="99" t="s">
        <v>17</v>
      </c>
      <c r="Z7" s="337" t="s">
        <v>18</v>
      </c>
      <c r="AA7" s="338"/>
      <c r="AB7" s="337" t="s">
        <v>19</v>
      </c>
      <c r="AC7" s="338"/>
      <c r="AD7" s="337" t="s">
        <v>20</v>
      </c>
      <c r="AE7" s="338"/>
      <c r="AF7" s="337" t="s">
        <v>21</v>
      </c>
      <c r="AG7" s="338"/>
      <c r="AH7" s="99" t="s">
        <v>22</v>
      </c>
      <c r="AI7" s="99" t="s">
        <v>23</v>
      </c>
      <c r="AJ7" s="99" t="s">
        <v>24</v>
      </c>
      <c r="AK7" s="99" t="s">
        <v>25</v>
      </c>
      <c r="AL7" s="337" t="s">
        <v>26</v>
      </c>
      <c r="AM7" s="339"/>
      <c r="AN7" s="339"/>
      <c r="AO7" s="339"/>
      <c r="AP7" s="339"/>
      <c r="AQ7" s="338"/>
      <c r="AR7" s="337" t="s">
        <v>27</v>
      </c>
      <c r="AS7" s="339"/>
      <c r="AT7" s="33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40">
        <v>43231</v>
      </c>
      <c r="C8" s="341"/>
      <c r="D8" s="342" t="s">
        <v>29</v>
      </c>
      <c r="E8" s="343"/>
      <c r="F8" s="343"/>
      <c r="G8" s="343"/>
      <c r="H8" s="343"/>
      <c r="I8" s="344"/>
      <c r="J8" s="28"/>
      <c r="K8" s="342" t="s">
        <v>29</v>
      </c>
      <c r="L8" s="343"/>
      <c r="M8" s="34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42" t="s">
        <v>33</v>
      </c>
      <c r="X8" s="344"/>
      <c r="Y8" s="30" t="s">
        <v>34</v>
      </c>
      <c r="Z8" s="326">
        <v>0</v>
      </c>
      <c r="AA8" s="327"/>
      <c r="AB8" s="345" t="s">
        <v>35</v>
      </c>
      <c r="AC8" s="346"/>
      <c r="AD8" s="326">
        <v>1185</v>
      </c>
      <c r="AE8" s="327"/>
      <c r="AF8" s="328">
        <v>800</v>
      </c>
      <c r="AG8" s="329"/>
      <c r="AH8" s="28"/>
      <c r="AI8" s="30">
        <f>AI36-AI11</f>
        <v>27726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17"/>
      <c r="C9" s="218"/>
      <c r="D9" s="219"/>
      <c r="E9" s="220"/>
      <c r="F9" s="220"/>
      <c r="G9" s="220"/>
      <c r="H9" s="220"/>
      <c r="I9" s="221"/>
      <c r="J9" s="121"/>
      <c r="K9" s="219"/>
      <c r="L9" s="220"/>
      <c r="M9" s="221"/>
      <c r="N9" s="29"/>
      <c r="O9" s="29"/>
      <c r="P9" s="29"/>
      <c r="Q9" s="121"/>
      <c r="R9" s="121"/>
      <c r="S9" s="121"/>
      <c r="T9" s="122"/>
      <c r="U9" s="123"/>
      <c r="V9" s="124"/>
      <c r="W9" s="219"/>
      <c r="X9" s="221"/>
      <c r="Y9" s="30"/>
      <c r="Z9" s="214"/>
      <c r="AA9" s="125"/>
      <c r="AB9" s="126"/>
      <c r="AC9" s="126"/>
      <c r="AD9" s="125"/>
      <c r="AE9" s="125"/>
      <c r="AF9" s="127"/>
      <c r="AG9" s="215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30" t="s">
        <v>39</v>
      </c>
      <c r="C10" s="331"/>
      <c r="D10" s="330" t="s">
        <v>40</v>
      </c>
      <c r="E10" s="332"/>
      <c r="F10" s="331"/>
      <c r="G10" s="330" t="s">
        <v>41</v>
      </c>
      <c r="H10" s="332"/>
      <c r="I10" s="331"/>
      <c r="J10" s="333" t="s">
        <v>42</v>
      </c>
      <c r="K10" s="330" t="s">
        <v>43</v>
      </c>
      <c r="L10" s="332"/>
      <c r="M10" s="331"/>
      <c r="N10" s="99" t="s">
        <v>44</v>
      </c>
      <c r="O10" s="335" t="s">
        <v>45</v>
      </c>
      <c r="P10" s="33" t="s">
        <v>46</v>
      </c>
      <c r="Q10" s="324" t="s">
        <v>47</v>
      </c>
      <c r="R10" s="324" t="s">
        <v>48</v>
      </c>
      <c r="S10" s="34" t="s">
        <v>49</v>
      </c>
      <c r="T10" s="312" t="s">
        <v>50</v>
      </c>
      <c r="U10" s="313"/>
      <c r="V10" s="314"/>
      <c r="W10" s="212" t="s">
        <v>51</v>
      </c>
      <c r="X10" s="212" t="s">
        <v>52</v>
      </c>
      <c r="Y10" s="318" t="s">
        <v>53</v>
      </c>
      <c r="Z10" s="319" t="s">
        <v>54</v>
      </c>
      <c r="AA10" s="320"/>
      <c r="AB10" s="320"/>
      <c r="AC10" s="320"/>
      <c r="AD10" s="320"/>
      <c r="AE10" s="320"/>
      <c r="AF10" s="320"/>
      <c r="AG10" s="321"/>
      <c r="AH10" s="210" t="s">
        <v>55</v>
      </c>
      <c r="AI10" s="210" t="s">
        <v>56</v>
      </c>
      <c r="AJ10" s="307" t="s">
        <v>57</v>
      </c>
      <c r="AK10" s="322" t="s">
        <v>58</v>
      </c>
      <c r="AL10" s="212" t="s">
        <v>59</v>
      </c>
      <c r="AM10" s="212" t="s">
        <v>60</v>
      </c>
      <c r="AN10" s="212" t="s">
        <v>61</v>
      </c>
      <c r="AO10" s="212" t="s">
        <v>62</v>
      </c>
      <c r="AP10" s="212" t="s">
        <v>63</v>
      </c>
      <c r="AQ10" s="212" t="s">
        <v>123</v>
      </c>
      <c r="AR10" s="212" t="s">
        <v>64</v>
      </c>
      <c r="AS10" s="212" t="s">
        <v>65</v>
      </c>
      <c r="AT10" s="324" t="s">
        <v>66</v>
      </c>
      <c r="AU10" s="212" t="s">
        <v>67</v>
      </c>
      <c r="AV10" s="30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12" t="s">
        <v>72</v>
      </c>
      <c r="C11" s="212" t="s">
        <v>73</v>
      </c>
      <c r="D11" s="212" t="s">
        <v>74</v>
      </c>
      <c r="E11" s="212" t="s">
        <v>75</v>
      </c>
      <c r="F11" s="212" t="s">
        <v>126</v>
      </c>
      <c r="G11" s="212" t="s">
        <v>74</v>
      </c>
      <c r="H11" s="212" t="s">
        <v>75</v>
      </c>
      <c r="I11" s="212" t="s">
        <v>126</v>
      </c>
      <c r="J11" s="334"/>
      <c r="K11" s="212" t="s">
        <v>75</v>
      </c>
      <c r="L11" s="212" t="s">
        <v>75</v>
      </c>
      <c r="M11" s="212" t="s">
        <v>75</v>
      </c>
      <c r="N11" s="28" t="s">
        <v>29</v>
      </c>
      <c r="O11" s="336"/>
      <c r="P11" s="28" t="s">
        <v>29</v>
      </c>
      <c r="Q11" s="325"/>
      <c r="R11" s="325"/>
      <c r="S11" s="1">
        <f>'MAY 11'!S36</f>
        <v>94166479</v>
      </c>
      <c r="T11" s="315"/>
      <c r="U11" s="316"/>
      <c r="V11" s="317"/>
      <c r="W11" s="212" t="s">
        <v>75</v>
      </c>
      <c r="X11" s="212" t="s">
        <v>75</v>
      </c>
      <c r="Y11" s="31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'MAY 11'!AI36</f>
        <v>15657204</v>
      </c>
      <c r="AJ11" s="307"/>
      <c r="AK11" s="323"/>
      <c r="AL11" s="212" t="s">
        <v>84</v>
      </c>
      <c r="AM11" s="212" t="s">
        <v>84</v>
      </c>
      <c r="AN11" s="212" t="s">
        <v>84</v>
      </c>
      <c r="AO11" s="212" t="s">
        <v>84</v>
      </c>
      <c r="AP11" s="212" t="s">
        <v>84</v>
      </c>
      <c r="AQ11" s="212" t="s">
        <v>84</v>
      </c>
      <c r="AR11" s="212" t="s">
        <v>84</v>
      </c>
      <c r="AS11" s="1"/>
      <c r="AT11" s="325"/>
      <c r="AU11" s="213" t="s">
        <v>85</v>
      </c>
      <c r="AV11" s="307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283</v>
      </c>
      <c r="B12" s="305" t="s">
        <v>284</v>
      </c>
      <c r="C12" s="305" t="s">
        <v>285</v>
      </c>
      <c r="D12" s="305" t="s">
        <v>286</v>
      </c>
      <c r="E12" s="305" t="s">
        <v>287</v>
      </c>
      <c r="F12" s="305" t="s">
        <v>288</v>
      </c>
      <c r="G12" s="305" t="s">
        <v>289</v>
      </c>
      <c r="H12" s="305" t="s">
        <v>290</v>
      </c>
      <c r="I12" s="305" t="s">
        <v>291</v>
      </c>
      <c r="J12" s="297" t="s">
        <v>292</v>
      </c>
      <c r="K12" s="305" t="s">
        <v>293</v>
      </c>
      <c r="L12" s="305" t="s">
        <v>294</v>
      </c>
      <c r="M12" s="305" t="s">
        <v>295</v>
      </c>
      <c r="N12" s="28" t="s">
        <v>296</v>
      </c>
      <c r="O12" s="298" t="s">
        <v>297</v>
      </c>
      <c r="P12" s="28" t="s">
        <v>298</v>
      </c>
      <c r="Q12" s="300" t="s">
        <v>299</v>
      </c>
      <c r="R12" s="300" t="s">
        <v>300</v>
      </c>
      <c r="S12" s="1" t="s">
        <v>301</v>
      </c>
      <c r="T12" s="302" t="s">
        <v>302</v>
      </c>
      <c r="U12" s="303" t="s">
        <v>303</v>
      </c>
      <c r="V12" s="304" t="s">
        <v>304</v>
      </c>
      <c r="W12" s="305" t="s">
        <v>305</v>
      </c>
      <c r="X12" s="305" t="s">
        <v>306</v>
      </c>
      <c r="Y12" s="305" t="s">
        <v>307</v>
      </c>
      <c r="Z12" s="37" t="s">
        <v>308</v>
      </c>
      <c r="AA12" s="37" t="s">
        <v>309</v>
      </c>
      <c r="AB12" s="37" t="s">
        <v>310</v>
      </c>
      <c r="AC12" s="37" t="s">
        <v>311</v>
      </c>
      <c r="AD12" s="37" t="s">
        <v>312</v>
      </c>
      <c r="AE12" s="37" t="s">
        <v>313</v>
      </c>
      <c r="AF12" s="37" t="s">
        <v>314</v>
      </c>
      <c r="AG12" s="37" t="s">
        <v>315</v>
      </c>
      <c r="AH12" s="38" t="s">
        <v>316</v>
      </c>
      <c r="AI12" s="1" t="s">
        <v>317</v>
      </c>
      <c r="AJ12" s="301" t="s">
        <v>318</v>
      </c>
      <c r="AK12" s="306" t="s">
        <v>319</v>
      </c>
      <c r="AL12" s="305" t="s">
        <v>320</v>
      </c>
      <c r="AM12" s="305" t="s">
        <v>321</v>
      </c>
      <c r="AN12" s="305" t="s">
        <v>322</v>
      </c>
      <c r="AO12" s="305" t="s">
        <v>323</v>
      </c>
      <c r="AP12" s="305" t="s">
        <v>324</v>
      </c>
      <c r="AQ12" s="305" t="s">
        <v>325</v>
      </c>
      <c r="AR12" s="305" t="s">
        <v>326</v>
      </c>
      <c r="AS12" s="1" t="s">
        <v>327</v>
      </c>
      <c r="AT12" s="300" t="s">
        <v>328</v>
      </c>
      <c r="AU12" s="299" t="s">
        <v>329</v>
      </c>
      <c r="AV12" s="301"/>
      <c r="AY12" s="39"/>
      <c r="AZ12" s="39"/>
      <c r="BB12" s="136"/>
    </row>
    <row r="13" spans="1:54" x14ac:dyDescent="0.35">
      <c r="A13" s="357">
        <v>43231</v>
      </c>
      <c r="B13" s="40">
        <v>2</v>
      </c>
      <c r="C13" s="40">
        <v>4.1666666666666664E-2</v>
      </c>
      <c r="D13" s="156">
        <v>3</v>
      </c>
      <c r="E13" s="154">
        <f>D13/1.42</f>
        <v>2.1126760563380285</v>
      </c>
      <c r="F13" s="154">
        <v>3</v>
      </c>
      <c r="G13" s="118">
        <v>69</v>
      </c>
      <c r="H13" s="154">
        <f t="shared" ref="H13:H36" si="0">G13/1.42</f>
        <v>48.591549295774648</v>
      </c>
      <c r="I13" s="154">
        <v>70</v>
      </c>
      <c r="J13" s="41" t="s">
        <v>88</v>
      </c>
      <c r="K13" s="41">
        <f>L13-(2/1.42)</f>
        <v>43.661971830985919</v>
      </c>
      <c r="L13" s="42">
        <f>(G13-5)/1.42</f>
        <v>45.070422535211272</v>
      </c>
      <c r="M13" s="41">
        <f>L13+(6/1.42)</f>
        <v>49.295774647887328</v>
      </c>
      <c r="N13" s="43">
        <v>14</v>
      </c>
      <c r="O13" s="44" t="s">
        <v>89</v>
      </c>
      <c r="P13" s="44">
        <v>11.4</v>
      </c>
      <c r="Q13" s="157">
        <v>139</v>
      </c>
      <c r="R13" s="157"/>
      <c r="S13" s="157">
        <v>94170482</v>
      </c>
      <c r="T13" s="45">
        <f>IF(ISBLANK(S13),"-",S13-S11)</f>
        <v>4003</v>
      </c>
      <c r="U13" s="46">
        <f>T13*24/1000</f>
        <v>96.072000000000003</v>
      </c>
      <c r="V13" s="46">
        <f>T13/1000</f>
        <v>4.0030000000000001</v>
      </c>
      <c r="W13" s="96">
        <v>3.9</v>
      </c>
      <c r="X13" s="96">
        <f t="shared" ref="X13:X36" si="1">W13</f>
        <v>3.9</v>
      </c>
      <c r="Y13" s="97" t="s">
        <v>138</v>
      </c>
      <c r="Z13" s="158">
        <v>0</v>
      </c>
      <c r="AA13" s="158">
        <v>0</v>
      </c>
      <c r="AB13" s="158">
        <v>1187</v>
      </c>
      <c r="AC13" s="158">
        <v>1185</v>
      </c>
      <c r="AD13" s="158">
        <v>0</v>
      </c>
      <c r="AE13" s="158">
        <v>1185</v>
      </c>
      <c r="AF13" s="47" t="s">
        <v>90</v>
      </c>
      <c r="AG13" s="47" t="s">
        <v>90</v>
      </c>
      <c r="AH13" s="98" t="s">
        <v>90</v>
      </c>
      <c r="AI13" s="103">
        <v>15658332</v>
      </c>
      <c r="AJ13" s="45">
        <f>IF(ISBLANK(AI13),"-",AI13-AI11)</f>
        <v>1128</v>
      </c>
      <c r="AK13" s="48">
        <f>AJ13/V13</f>
        <v>281.78865850612038</v>
      </c>
      <c r="AL13" s="155">
        <v>0</v>
      </c>
      <c r="AM13" s="155">
        <v>0</v>
      </c>
      <c r="AN13" s="155">
        <v>1</v>
      </c>
      <c r="AO13" s="155">
        <v>1</v>
      </c>
      <c r="AP13" s="155">
        <v>0</v>
      </c>
      <c r="AQ13" s="155">
        <v>1</v>
      </c>
      <c r="AR13" s="155">
        <v>0.8</v>
      </c>
      <c r="AS13" s="158"/>
      <c r="AT13" s="158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357">
        <v>43231</v>
      </c>
      <c r="B14" s="40">
        <v>2.0416666666666701</v>
      </c>
      <c r="C14" s="40">
        <v>8.3333333333333329E-2</v>
      </c>
      <c r="D14" s="156">
        <v>3</v>
      </c>
      <c r="E14" s="154">
        <f t="shared" ref="E14:E36" si="2">D14/1.42</f>
        <v>2.1126760563380285</v>
      </c>
      <c r="F14" s="154">
        <v>4</v>
      </c>
      <c r="G14" s="118">
        <v>70</v>
      </c>
      <c r="H14" s="154">
        <f t="shared" si="0"/>
        <v>49.295774647887328</v>
      </c>
      <c r="I14" s="154">
        <v>71</v>
      </c>
      <c r="J14" s="41" t="s">
        <v>88</v>
      </c>
      <c r="K14" s="41">
        <f t="shared" ref="K14:K36" si="3">L14-(2/1.42)</f>
        <v>44.366197183098592</v>
      </c>
      <c r="L14" s="42">
        <f>(G14-5)/1.42</f>
        <v>45.774647887323944</v>
      </c>
      <c r="M14" s="41">
        <f>L14+(6/1.42)</f>
        <v>50</v>
      </c>
      <c r="N14" s="43">
        <v>14</v>
      </c>
      <c r="O14" s="44" t="s">
        <v>89</v>
      </c>
      <c r="P14" s="44">
        <v>11.2</v>
      </c>
      <c r="Q14" s="157">
        <v>141</v>
      </c>
      <c r="R14" s="157"/>
      <c r="S14" s="157">
        <v>94174552</v>
      </c>
      <c r="T14" s="45">
        <f t="shared" ref="T14:T36" si="4">IF(ISBLANK(S14),"-",S14-S13)</f>
        <v>4070</v>
      </c>
      <c r="U14" s="46">
        <f t="shared" ref="U14:U37" si="5">T14*24/1000</f>
        <v>97.68</v>
      </c>
      <c r="V14" s="46">
        <f t="shared" ref="V14:V37" si="6">T14/1000</f>
        <v>4.07</v>
      </c>
      <c r="W14" s="96">
        <v>5.7</v>
      </c>
      <c r="X14" s="96">
        <f t="shared" si="1"/>
        <v>5.7</v>
      </c>
      <c r="Y14" s="97" t="s">
        <v>138</v>
      </c>
      <c r="Z14" s="158">
        <v>0</v>
      </c>
      <c r="AA14" s="158">
        <v>0</v>
      </c>
      <c r="AB14" s="158">
        <v>1187</v>
      </c>
      <c r="AC14" s="158">
        <v>1185</v>
      </c>
      <c r="AD14" s="158">
        <v>0</v>
      </c>
      <c r="AE14" s="158">
        <v>1185</v>
      </c>
      <c r="AF14" s="47" t="s">
        <v>90</v>
      </c>
      <c r="AG14" s="47" t="s">
        <v>90</v>
      </c>
      <c r="AH14" s="98" t="s">
        <v>90</v>
      </c>
      <c r="AI14" s="103">
        <v>15659471</v>
      </c>
      <c r="AJ14" s="45">
        <f t="shared" ref="AJ14:AJ36" si="7">IF(ISBLANK(AI14),"-",AI14-AI13)</f>
        <v>1139</v>
      </c>
      <c r="AK14" s="48">
        <f t="shared" ref="AK14:AK36" si="8">AJ14/V14</f>
        <v>279.85257985257982</v>
      </c>
      <c r="AL14" s="155">
        <v>0</v>
      </c>
      <c r="AM14" s="155">
        <v>0</v>
      </c>
      <c r="AN14" s="155">
        <v>1</v>
      </c>
      <c r="AO14" s="155">
        <v>1</v>
      </c>
      <c r="AP14" s="155">
        <v>0</v>
      </c>
      <c r="AQ14" s="155">
        <v>1</v>
      </c>
      <c r="AR14" s="155">
        <v>0.8</v>
      </c>
      <c r="AS14" s="158"/>
      <c r="AT14" s="158">
        <f t="shared" ref="AT14:AT35" si="9">AS14-AS13</f>
        <v>0</v>
      </c>
      <c r="AU14" s="119">
        <v>0.99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57">
        <v>43231</v>
      </c>
      <c r="B15" s="40">
        <v>2.0833333333333299</v>
      </c>
      <c r="C15" s="40">
        <v>0.125</v>
      </c>
      <c r="D15" s="156">
        <v>3</v>
      </c>
      <c r="E15" s="154">
        <f t="shared" si="2"/>
        <v>2.1126760563380285</v>
      </c>
      <c r="F15" s="154">
        <v>5</v>
      </c>
      <c r="G15" s="118">
        <v>71</v>
      </c>
      <c r="H15" s="154">
        <f t="shared" si="0"/>
        <v>50</v>
      </c>
      <c r="I15" s="154">
        <v>71</v>
      </c>
      <c r="J15" s="41" t="s">
        <v>88</v>
      </c>
      <c r="K15" s="41">
        <f t="shared" si="3"/>
        <v>45.070422535211272</v>
      </c>
      <c r="L15" s="42">
        <f>(G15-5)/1.42</f>
        <v>46.478873239436624</v>
      </c>
      <c r="M15" s="41">
        <f>L15+(6/1.42)</f>
        <v>50.70422535211268</v>
      </c>
      <c r="N15" s="43">
        <v>14</v>
      </c>
      <c r="O15" s="44" t="s">
        <v>89</v>
      </c>
      <c r="P15" s="44">
        <v>11.2</v>
      </c>
      <c r="Q15" s="157">
        <v>143</v>
      </c>
      <c r="R15" s="157"/>
      <c r="S15" s="157">
        <v>94178643</v>
      </c>
      <c r="T15" s="45">
        <f>IF(ISBLANK(S15),"-",S15-S14)</f>
        <v>4091</v>
      </c>
      <c r="U15" s="46">
        <f t="shared" si="5"/>
        <v>98.183999999999997</v>
      </c>
      <c r="V15" s="46">
        <f t="shared" si="6"/>
        <v>4.0910000000000002</v>
      </c>
      <c r="W15" s="96">
        <v>7.3</v>
      </c>
      <c r="X15" s="96">
        <f t="shared" si="1"/>
        <v>7.3</v>
      </c>
      <c r="Y15" s="97" t="s">
        <v>138</v>
      </c>
      <c r="Z15" s="158">
        <v>0</v>
      </c>
      <c r="AA15" s="158">
        <v>0</v>
      </c>
      <c r="AB15" s="158">
        <v>1187</v>
      </c>
      <c r="AC15" s="158">
        <v>1185</v>
      </c>
      <c r="AD15" s="158">
        <v>0</v>
      </c>
      <c r="AE15" s="158">
        <v>1185</v>
      </c>
      <c r="AF15" s="47" t="s">
        <v>90</v>
      </c>
      <c r="AG15" s="47" t="s">
        <v>90</v>
      </c>
      <c r="AH15" s="98" t="s">
        <v>90</v>
      </c>
      <c r="AI15" s="103">
        <v>15660617</v>
      </c>
      <c r="AJ15" s="45">
        <f t="shared" si="7"/>
        <v>1146</v>
      </c>
      <c r="AK15" s="48">
        <f t="shared" si="8"/>
        <v>280.1271082864825</v>
      </c>
      <c r="AL15" s="155">
        <v>0</v>
      </c>
      <c r="AM15" s="155">
        <v>0</v>
      </c>
      <c r="AN15" s="155">
        <v>1</v>
      </c>
      <c r="AO15" s="155">
        <v>1</v>
      </c>
      <c r="AP15" s="155">
        <v>0</v>
      </c>
      <c r="AQ15" s="155">
        <v>1</v>
      </c>
      <c r="AR15" s="155">
        <v>0.8</v>
      </c>
      <c r="AS15" s="158"/>
      <c r="AT15" s="158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357">
        <v>43231</v>
      </c>
      <c r="B16" s="40">
        <v>2.125</v>
      </c>
      <c r="C16" s="40">
        <v>0.16666666666666699</v>
      </c>
      <c r="D16" s="156">
        <v>3</v>
      </c>
      <c r="E16" s="154">
        <f t="shared" si="2"/>
        <v>2.1126760563380285</v>
      </c>
      <c r="F16" s="154">
        <v>6</v>
      </c>
      <c r="G16" s="118">
        <v>72</v>
      </c>
      <c r="H16" s="154">
        <f t="shared" si="0"/>
        <v>50.70422535211268</v>
      </c>
      <c r="I16" s="154">
        <v>71</v>
      </c>
      <c r="J16" s="41" t="s">
        <v>88</v>
      </c>
      <c r="K16" s="41">
        <f t="shared" si="3"/>
        <v>45.774647887323944</v>
      </c>
      <c r="L16" s="42">
        <f>(G16-5)/1.42</f>
        <v>47.183098591549296</v>
      </c>
      <c r="M16" s="41">
        <f>L16+(6/1.42)</f>
        <v>51.408450704225352</v>
      </c>
      <c r="N16" s="43">
        <v>14</v>
      </c>
      <c r="O16" s="44" t="s">
        <v>89</v>
      </c>
      <c r="P16" s="44">
        <v>12.8</v>
      </c>
      <c r="Q16" s="157">
        <v>144</v>
      </c>
      <c r="R16" s="157"/>
      <c r="S16" s="157">
        <v>94182442</v>
      </c>
      <c r="T16" s="45">
        <f t="shared" si="4"/>
        <v>3799</v>
      </c>
      <c r="U16" s="46">
        <f t="shared" si="5"/>
        <v>91.176000000000002</v>
      </c>
      <c r="V16" s="46">
        <f t="shared" si="6"/>
        <v>3.7989999999999999</v>
      </c>
      <c r="W16" s="96">
        <v>8.6</v>
      </c>
      <c r="X16" s="96">
        <f t="shared" si="1"/>
        <v>8.6</v>
      </c>
      <c r="Y16" s="97" t="s">
        <v>138</v>
      </c>
      <c r="Z16" s="158">
        <v>0</v>
      </c>
      <c r="AA16" s="158">
        <v>0</v>
      </c>
      <c r="AB16" s="158">
        <v>1187</v>
      </c>
      <c r="AC16" s="158">
        <v>1185</v>
      </c>
      <c r="AD16" s="158">
        <v>0</v>
      </c>
      <c r="AE16" s="158">
        <v>1185</v>
      </c>
      <c r="AF16" s="47" t="s">
        <v>90</v>
      </c>
      <c r="AG16" s="47" t="s">
        <v>90</v>
      </c>
      <c r="AH16" s="98" t="s">
        <v>90</v>
      </c>
      <c r="AI16" s="103">
        <v>15661661</v>
      </c>
      <c r="AJ16" s="45">
        <f t="shared" si="7"/>
        <v>1044</v>
      </c>
      <c r="AK16" s="48">
        <f t="shared" si="8"/>
        <v>274.80916030534354</v>
      </c>
      <c r="AL16" s="155">
        <v>0</v>
      </c>
      <c r="AM16" s="155">
        <v>0</v>
      </c>
      <c r="AN16" s="155">
        <v>1</v>
      </c>
      <c r="AO16" s="155">
        <v>1</v>
      </c>
      <c r="AP16" s="155">
        <v>0</v>
      </c>
      <c r="AQ16" s="155">
        <v>1</v>
      </c>
      <c r="AR16" s="155">
        <v>0.8</v>
      </c>
      <c r="AS16" s="158"/>
      <c r="AT16" s="158">
        <f t="shared" si="9"/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357">
        <v>43231</v>
      </c>
      <c r="B17" s="40">
        <v>2.1666666666666701</v>
      </c>
      <c r="C17" s="40">
        <v>0.20833333333333301</v>
      </c>
      <c r="D17" s="156">
        <v>3</v>
      </c>
      <c r="E17" s="154">
        <f t="shared" si="2"/>
        <v>2.1126760563380285</v>
      </c>
      <c r="F17" s="154">
        <v>7</v>
      </c>
      <c r="G17" s="118">
        <v>80</v>
      </c>
      <c r="H17" s="154">
        <f t="shared" si="0"/>
        <v>56.338028169014088</v>
      </c>
      <c r="I17" s="154">
        <v>78</v>
      </c>
      <c r="J17" s="41" t="s">
        <v>88</v>
      </c>
      <c r="K17" s="41">
        <f t="shared" si="3"/>
        <v>51.408450704225352</v>
      </c>
      <c r="L17" s="42">
        <f>(G17-5)/1.42</f>
        <v>52.816901408450704</v>
      </c>
      <c r="M17" s="41">
        <f>L17+(6/1.42)</f>
        <v>57.04225352112676</v>
      </c>
      <c r="N17" s="43">
        <v>18</v>
      </c>
      <c r="O17" s="44" t="s">
        <v>89</v>
      </c>
      <c r="P17" s="44">
        <v>13.1</v>
      </c>
      <c r="Q17" s="157">
        <v>126</v>
      </c>
      <c r="R17" s="157"/>
      <c r="S17" s="157">
        <v>94186439</v>
      </c>
      <c r="T17" s="45">
        <f t="shared" si="4"/>
        <v>3997</v>
      </c>
      <c r="U17" s="46">
        <f t="shared" si="5"/>
        <v>95.927999999999997</v>
      </c>
      <c r="V17" s="46">
        <f t="shared" si="6"/>
        <v>3.9969999999999999</v>
      </c>
      <c r="W17" s="96">
        <v>9.5</v>
      </c>
      <c r="X17" s="96">
        <f t="shared" si="1"/>
        <v>9.5</v>
      </c>
      <c r="Y17" s="97" t="s">
        <v>138</v>
      </c>
      <c r="Z17" s="158">
        <v>0</v>
      </c>
      <c r="AA17" s="158">
        <v>0</v>
      </c>
      <c r="AB17" s="158">
        <v>1187</v>
      </c>
      <c r="AC17" s="158">
        <v>1185</v>
      </c>
      <c r="AD17" s="158">
        <v>0</v>
      </c>
      <c r="AE17" s="158">
        <v>1185</v>
      </c>
      <c r="AF17" s="47" t="s">
        <v>90</v>
      </c>
      <c r="AG17" s="47" t="s">
        <v>90</v>
      </c>
      <c r="AH17" s="98" t="s">
        <v>90</v>
      </c>
      <c r="AI17" s="103">
        <v>15662775</v>
      </c>
      <c r="AJ17" s="45">
        <f t="shared" si="7"/>
        <v>1114</v>
      </c>
      <c r="AK17" s="48">
        <f t="shared" si="8"/>
        <v>278.70903177383036</v>
      </c>
      <c r="AL17" s="155">
        <v>0</v>
      </c>
      <c r="AM17" s="155">
        <v>0</v>
      </c>
      <c r="AN17" s="155">
        <v>1</v>
      </c>
      <c r="AO17" s="155">
        <v>1</v>
      </c>
      <c r="AP17" s="155">
        <v>0</v>
      </c>
      <c r="AQ17" s="155">
        <v>1</v>
      </c>
      <c r="AR17" s="155">
        <v>0</v>
      </c>
      <c r="AS17" s="158"/>
      <c r="AT17" s="158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57">
        <v>43231</v>
      </c>
      <c r="B18" s="40">
        <v>2.2083333333333299</v>
      </c>
      <c r="C18" s="40">
        <v>0.25</v>
      </c>
      <c r="D18" s="156">
        <v>3</v>
      </c>
      <c r="E18" s="154">
        <f t="shared" si="2"/>
        <v>2.1126760563380285</v>
      </c>
      <c r="F18" s="154">
        <v>7</v>
      </c>
      <c r="G18" s="118">
        <v>78</v>
      </c>
      <c r="H18" s="154">
        <f t="shared" si="0"/>
        <v>54.929577464788736</v>
      </c>
      <c r="I18" s="154">
        <v>76</v>
      </c>
      <c r="J18" s="41" t="s">
        <v>88</v>
      </c>
      <c r="K18" s="41">
        <f t="shared" si="3"/>
        <v>53.521126760563384</v>
      </c>
      <c r="L18" s="42">
        <f t="shared" ref="L18:L27" si="10">G18/1.42</f>
        <v>54.929577464788736</v>
      </c>
      <c r="M18" s="41">
        <f>L18+1.42</f>
        <v>56.349577464788737</v>
      </c>
      <c r="N18" s="43">
        <v>19</v>
      </c>
      <c r="O18" s="44" t="s">
        <v>100</v>
      </c>
      <c r="P18" s="44">
        <v>13.1</v>
      </c>
      <c r="Q18" s="157">
        <v>138</v>
      </c>
      <c r="R18" s="157"/>
      <c r="S18" s="157">
        <v>94190666</v>
      </c>
      <c r="T18" s="45">
        <f t="shared" si="4"/>
        <v>4227</v>
      </c>
      <c r="U18" s="46">
        <f t="shared" si="5"/>
        <v>101.44799999999999</v>
      </c>
      <c r="V18" s="46">
        <f t="shared" si="6"/>
        <v>4.2270000000000003</v>
      </c>
      <c r="W18" s="96">
        <v>9.5</v>
      </c>
      <c r="X18" s="96">
        <f t="shared" si="1"/>
        <v>9.5</v>
      </c>
      <c r="Y18" s="97" t="s">
        <v>138</v>
      </c>
      <c r="Z18" s="158">
        <v>0</v>
      </c>
      <c r="AA18" s="158">
        <v>0</v>
      </c>
      <c r="AB18" s="158">
        <v>1187</v>
      </c>
      <c r="AC18" s="158">
        <v>1185</v>
      </c>
      <c r="AD18" s="158">
        <v>0</v>
      </c>
      <c r="AE18" s="158">
        <v>1185</v>
      </c>
      <c r="AF18" s="47" t="s">
        <v>90</v>
      </c>
      <c r="AG18" s="47" t="s">
        <v>90</v>
      </c>
      <c r="AH18" s="98" t="s">
        <v>90</v>
      </c>
      <c r="AI18" s="103">
        <v>15663862</v>
      </c>
      <c r="AJ18" s="45">
        <f t="shared" si="7"/>
        <v>1087</v>
      </c>
      <c r="AK18" s="48">
        <f t="shared" si="8"/>
        <v>257.15637568015137</v>
      </c>
      <c r="AL18" s="155">
        <v>0</v>
      </c>
      <c r="AM18" s="155">
        <v>0</v>
      </c>
      <c r="AN18" s="155">
        <v>1</v>
      </c>
      <c r="AO18" s="155">
        <v>1</v>
      </c>
      <c r="AP18" s="155">
        <v>0</v>
      </c>
      <c r="AQ18" s="155">
        <v>1</v>
      </c>
      <c r="AR18" s="155">
        <v>0</v>
      </c>
      <c r="AS18" s="158"/>
      <c r="AT18" s="158">
        <f t="shared" si="9"/>
        <v>0</v>
      </c>
      <c r="AU18" s="119">
        <v>1.04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57">
        <v>43231</v>
      </c>
      <c r="B19" s="40">
        <v>2.25</v>
      </c>
      <c r="C19" s="40">
        <v>0.29166666666666669</v>
      </c>
      <c r="D19" s="156">
        <v>3</v>
      </c>
      <c r="E19" s="154">
        <f t="shared" si="2"/>
        <v>2.1126760563380285</v>
      </c>
      <c r="F19" s="154">
        <v>7</v>
      </c>
      <c r="G19" s="118">
        <v>80</v>
      </c>
      <c r="H19" s="154">
        <f t="shared" si="0"/>
        <v>56.338028169014088</v>
      </c>
      <c r="I19" s="154">
        <v>78</v>
      </c>
      <c r="J19" s="41" t="s">
        <v>88</v>
      </c>
      <c r="K19" s="41">
        <f t="shared" si="3"/>
        <v>54.929577464788736</v>
      </c>
      <c r="L19" s="42">
        <f t="shared" si="10"/>
        <v>56.338028169014088</v>
      </c>
      <c r="M19" s="41">
        <f>L19+1.42</f>
        <v>57.758028169014089</v>
      </c>
      <c r="N19" s="43">
        <v>19</v>
      </c>
      <c r="O19" s="44" t="s">
        <v>100</v>
      </c>
      <c r="P19" s="44">
        <v>16.7</v>
      </c>
      <c r="Q19" s="157">
        <v>134</v>
      </c>
      <c r="R19" s="157"/>
      <c r="S19" s="157">
        <v>94195275</v>
      </c>
      <c r="T19" s="45">
        <f t="shared" si="4"/>
        <v>4609</v>
      </c>
      <c r="U19" s="46">
        <f t="shared" si="5"/>
        <v>110.616</v>
      </c>
      <c r="V19" s="46">
        <f t="shared" si="6"/>
        <v>4.609</v>
      </c>
      <c r="W19" s="96">
        <v>9.4</v>
      </c>
      <c r="X19" s="96">
        <f t="shared" si="1"/>
        <v>9.4</v>
      </c>
      <c r="Y19" s="97" t="s">
        <v>169</v>
      </c>
      <c r="Z19" s="158">
        <v>0</v>
      </c>
      <c r="AA19" s="158">
        <v>1016</v>
      </c>
      <c r="AB19" s="158">
        <v>1187</v>
      </c>
      <c r="AC19" s="158">
        <v>1185</v>
      </c>
      <c r="AD19" s="158">
        <v>0</v>
      </c>
      <c r="AE19" s="158">
        <v>1185</v>
      </c>
      <c r="AF19" s="47" t="s">
        <v>90</v>
      </c>
      <c r="AG19" s="47" t="s">
        <v>90</v>
      </c>
      <c r="AH19" s="98" t="s">
        <v>90</v>
      </c>
      <c r="AI19" s="103">
        <v>15665015</v>
      </c>
      <c r="AJ19" s="45">
        <f t="shared" si="7"/>
        <v>1153</v>
      </c>
      <c r="AK19" s="48">
        <f t="shared" si="8"/>
        <v>250.16272510305924</v>
      </c>
      <c r="AL19" s="155">
        <v>0</v>
      </c>
      <c r="AM19" s="155">
        <v>1</v>
      </c>
      <c r="AN19" s="155">
        <v>1</v>
      </c>
      <c r="AO19" s="155">
        <v>1</v>
      </c>
      <c r="AP19" s="155">
        <v>0</v>
      </c>
      <c r="AQ19" s="155">
        <v>1</v>
      </c>
      <c r="AR19" s="155">
        <v>0</v>
      </c>
      <c r="AS19" s="158"/>
      <c r="AT19" s="158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57">
        <v>43231</v>
      </c>
      <c r="B20" s="40">
        <v>2.2916666666666701</v>
      </c>
      <c r="C20" s="40">
        <v>0.33333333333333298</v>
      </c>
      <c r="D20" s="156">
        <v>3</v>
      </c>
      <c r="E20" s="154">
        <f t="shared" si="2"/>
        <v>2.1126760563380285</v>
      </c>
      <c r="F20" s="154">
        <v>5</v>
      </c>
      <c r="G20" s="118">
        <v>78</v>
      </c>
      <c r="H20" s="154">
        <f t="shared" si="0"/>
        <v>54.929577464788736</v>
      </c>
      <c r="I20" s="154">
        <v>75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7">
        <v>131</v>
      </c>
      <c r="R20" s="157"/>
      <c r="S20" s="157">
        <v>94200070</v>
      </c>
      <c r="T20" s="45">
        <f t="shared" si="4"/>
        <v>4795</v>
      </c>
      <c r="U20" s="46">
        <f>T20*24/1000</f>
        <v>115.08</v>
      </c>
      <c r="V20" s="46">
        <f t="shared" si="6"/>
        <v>4.7949999999999999</v>
      </c>
      <c r="W20" s="96">
        <v>8.9</v>
      </c>
      <c r="X20" s="96">
        <f t="shared" si="1"/>
        <v>8.9</v>
      </c>
      <c r="Y20" s="97" t="s">
        <v>169</v>
      </c>
      <c r="Z20" s="158">
        <v>0</v>
      </c>
      <c r="AA20" s="158">
        <v>1017</v>
      </c>
      <c r="AB20" s="158">
        <v>1187</v>
      </c>
      <c r="AC20" s="158">
        <v>1185</v>
      </c>
      <c r="AD20" s="158">
        <v>0</v>
      </c>
      <c r="AE20" s="158">
        <v>1185</v>
      </c>
      <c r="AF20" s="47" t="s">
        <v>90</v>
      </c>
      <c r="AG20" s="47" t="s">
        <v>90</v>
      </c>
      <c r="AH20" s="98" t="s">
        <v>90</v>
      </c>
      <c r="AI20" s="103">
        <v>15666220</v>
      </c>
      <c r="AJ20" s="45">
        <f t="shared" si="7"/>
        <v>1205</v>
      </c>
      <c r="AK20" s="48">
        <f t="shared" si="8"/>
        <v>251.30344108446297</v>
      </c>
      <c r="AL20" s="155">
        <v>0</v>
      </c>
      <c r="AM20" s="155">
        <v>1</v>
      </c>
      <c r="AN20" s="155">
        <v>1</v>
      </c>
      <c r="AO20" s="155">
        <v>1</v>
      </c>
      <c r="AP20" s="155">
        <v>0</v>
      </c>
      <c r="AQ20" s="155">
        <v>1</v>
      </c>
      <c r="AR20" s="155">
        <v>0</v>
      </c>
      <c r="AS20" s="158"/>
      <c r="AT20" s="158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357">
        <v>43231</v>
      </c>
      <c r="B21" s="40">
        <v>2.3333333333333299</v>
      </c>
      <c r="C21" s="40">
        <v>0.375</v>
      </c>
      <c r="D21" s="156" t="s">
        <v>179</v>
      </c>
      <c r="E21" s="154" t="e">
        <f t="shared" si="2"/>
        <v>#VALUE!</v>
      </c>
      <c r="F21" s="154">
        <v>5</v>
      </c>
      <c r="G21" s="118">
        <v>76</v>
      </c>
      <c r="H21" s="154">
        <f t="shared" si="0"/>
        <v>53.521126760563384</v>
      </c>
      <c r="I21" s="154">
        <v>74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7" t="s">
        <v>179</v>
      </c>
      <c r="R21" s="157"/>
      <c r="S21" s="157">
        <v>94204450</v>
      </c>
      <c r="T21" s="45">
        <f t="shared" si="4"/>
        <v>4380</v>
      </c>
      <c r="U21" s="46">
        <f t="shared" si="5"/>
        <v>105.12</v>
      </c>
      <c r="V21" s="46">
        <f t="shared" si="6"/>
        <v>4.38</v>
      </c>
      <c r="W21" s="96">
        <v>8.1999999999999993</v>
      </c>
      <c r="X21" s="96">
        <f t="shared" si="1"/>
        <v>8.1999999999999993</v>
      </c>
      <c r="Y21" s="97" t="s">
        <v>169</v>
      </c>
      <c r="Z21" s="158">
        <v>0</v>
      </c>
      <c r="AA21" s="158">
        <v>1035</v>
      </c>
      <c r="AB21" s="158">
        <v>1187</v>
      </c>
      <c r="AC21" s="158">
        <v>1185</v>
      </c>
      <c r="AD21" s="158">
        <v>0</v>
      </c>
      <c r="AE21" s="158">
        <v>1185</v>
      </c>
      <c r="AF21" s="47" t="s">
        <v>90</v>
      </c>
      <c r="AG21" s="47" t="s">
        <v>90</v>
      </c>
      <c r="AH21" s="98" t="s">
        <v>90</v>
      </c>
      <c r="AI21" s="103">
        <v>15667400</v>
      </c>
      <c r="AJ21" s="45">
        <f t="shared" si="7"/>
        <v>1180</v>
      </c>
      <c r="AK21" s="48">
        <f t="shared" si="8"/>
        <v>269.40639269406392</v>
      </c>
      <c r="AL21" s="155">
        <v>0</v>
      </c>
      <c r="AM21" s="155">
        <v>1</v>
      </c>
      <c r="AN21" s="155">
        <v>1</v>
      </c>
      <c r="AO21" s="155">
        <v>1</v>
      </c>
      <c r="AP21" s="155">
        <v>0</v>
      </c>
      <c r="AQ21" s="155">
        <v>1</v>
      </c>
      <c r="AR21" s="155">
        <v>0</v>
      </c>
      <c r="AS21" s="158"/>
      <c r="AT21" s="158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205</v>
      </c>
    </row>
    <row r="22" spans="1:54" x14ac:dyDescent="0.35">
      <c r="A22" s="357">
        <v>43231</v>
      </c>
      <c r="B22" s="40">
        <v>2.375</v>
      </c>
      <c r="C22" s="40">
        <v>0.41666666666666669</v>
      </c>
      <c r="D22" s="156">
        <v>3</v>
      </c>
      <c r="E22" s="154">
        <f t="shared" si="2"/>
        <v>2.1126760563380285</v>
      </c>
      <c r="F22" s="154">
        <v>3</v>
      </c>
      <c r="G22" s="118">
        <v>75</v>
      </c>
      <c r="H22" s="154">
        <f t="shared" si="0"/>
        <v>52.816901408450704</v>
      </c>
      <c r="I22" s="154">
        <v>73</v>
      </c>
      <c r="J22" s="41" t="s">
        <v>88</v>
      </c>
      <c r="K22" s="41">
        <f t="shared" si="3"/>
        <v>51.408450704225352</v>
      </c>
      <c r="L22" s="42">
        <f t="shared" si="10"/>
        <v>52.816901408450704</v>
      </c>
      <c r="M22" s="41">
        <f t="shared" si="11"/>
        <v>54.236901408450706</v>
      </c>
      <c r="N22" s="43">
        <v>19</v>
      </c>
      <c r="O22" s="44" t="s">
        <v>100</v>
      </c>
      <c r="P22" s="44">
        <v>17.7</v>
      </c>
      <c r="Q22" s="157">
        <v>130</v>
      </c>
      <c r="R22" s="157"/>
      <c r="S22" s="157">
        <v>94208150</v>
      </c>
      <c r="T22" s="45">
        <f t="shared" si="4"/>
        <v>3700</v>
      </c>
      <c r="U22" s="46">
        <f t="shared" si="5"/>
        <v>88.8</v>
      </c>
      <c r="V22" s="46">
        <f t="shared" si="6"/>
        <v>3.7</v>
      </c>
      <c r="W22" s="96">
        <v>7.5</v>
      </c>
      <c r="X22" s="96">
        <f t="shared" si="1"/>
        <v>7.5</v>
      </c>
      <c r="Y22" s="97" t="s">
        <v>169</v>
      </c>
      <c r="Z22" s="158">
        <v>0</v>
      </c>
      <c r="AA22" s="158">
        <v>1036</v>
      </c>
      <c r="AB22" s="158">
        <v>1187</v>
      </c>
      <c r="AC22" s="158">
        <v>1185</v>
      </c>
      <c r="AD22" s="158">
        <v>0</v>
      </c>
      <c r="AE22" s="158">
        <v>1185</v>
      </c>
      <c r="AF22" s="47" t="s">
        <v>90</v>
      </c>
      <c r="AG22" s="47" t="s">
        <v>90</v>
      </c>
      <c r="AH22" s="98" t="s">
        <v>90</v>
      </c>
      <c r="AI22" s="103">
        <v>15668619</v>
      </c>
      <c r="AJ22" s="45">
        <f t="shared" si="7"/>
        <v>1219</v>
      </c>
      <c r="AK22" s="48">
        <f t="shared" si="8"/>
        <v>329.45945945945942</v>
      </c>
      <c r="AL22" s="155">
        <v>0</v>
      </c>
      <c r="AM22" s="155">
        <v>1</v>
      </c>
      <c r="AN22" s="155">
        <v>1</v>
      </c>
      <c r="AO22" s="155">
        <v>1</v>
      </c>
      <c r="AP22" s="155">
        <v>0</v>
      </c>
      <c r="AQ22" s="155">
        <v>1</v>
      </c>
      <c r="AR22" s="155">
        <v>0</v>
      </c>
      <c r="AS22" s="158"/>
      <c r="AT22" s="158">
        <f t="shared" si="9"/>
        <v>0</v>
      </c>
      <c r="AU22" s="119">
        <v>0.79</v>
      </c>
      <c r="AV22" s="50" t="s">
        <v>125</v>
      </c>
      <c r="BB22" s="136" t="s">
        <v>157</v>
      </c>
    </row>
    <row r="23" spans="1:54" x14ac:dyDescent="0.35">
      <c r="A23" s="357">
        <v>43231</v>
      </c>
      <c r="B23" s="40">
        <v>2.4166666666666701</v>
      </c>
      <c r="C23" s="40">
        <v>0.45833333333333298</v>
      </c>
      <c r="D23" s="156">
        <v>3</v>
      </c>
      <c r="E23" s="154">
        <f t="shared" si="2"/>
        <v>2.1126760563380285</v>
      </c>
      <c r="F23" s="154">
        <v>3</v>
      </c>
      <c r="G23" s="118">
        <v>75</v>
      </c>
      <c r="H23" s="154">
        <f t="shared" si="0"/>
        <v>52.816901408450704</v>
      </c>
      <c r="I23" s="154">
        <v>73</v>
      </c>
      <c r="J23" s="41" t="s">
        <v>88</v>
      </c>
      <c r="K23" s="41">
        <f t="shared" si="3"/>
        <v>51.408450704225352</v>
      </c>
      <c r="L23" s="42">
        <f t="shared" si="10"/>
        <v>52.816901408450704</v>
      </c>
      <c r="M23" s="41">
        <f t="shared" si="11"/>
        <v>54.236901408450706</v>
      </c>
      <c r="N23" s="43">
        <v>19</v>
      </c>
      <c r="O23" s="44" t="s">
        <v>100</v>
      </c>
      <c r="P23" s="44">
        <v>17.7</v>
      </c>
      <c r="Q23" s="157">
        <v>130</v>
      </c>
      <c r="R23" s="157"/>
      <c r="S23" s="157">
        <v>94211759</v>
      </c>
      <c r="T23" s="45">
        <f t="shared" si="4"/>
        <v>3609</v>
      </c>
      <c r="U23" s="46">
        <f t="shared" si="5"/>
        <v>86.616</v>
      </c>
      <c r="V23" s="46">
        <f t="shared" si="6"/>
        <v>3.609</v>
      </c>
      <c r="W23" s="96">
        <v>6.9</v>
      </c>
      <c r="X23" s="96">
        <f>W23</f>
        <v>6.9</v>
      </c>
      <c r="Y23" s="97" t="s">
        <v>169</v>
      </c>
      <c r="Z23" s="158">
        <v>0</v>
      </c>
      <c r="AA23" s="158">
        <v>1037</v>
      </c>
      <c r="AB23" s="158">
        <v>1187</v>
      </c>
      <c r="AC23" s="158">
        <v>1185</v>
      </c>
      <c r="AD23" s="158">
        <v>0</v>
      </c>
      <c r="AE23" s="158">
        <v>1185</v>
      </c>
      <c r="AF23" s="47" t="s">
        <v>90</v>
      </c>
      <c r="AG23" s="47" t="s">
        <v>90</v>
      </c>
      <c r="AH23" s="98" t="s">
        <v>90</v>
      </c>
      <c r="AI23" s="103">
        <v>15669784</v>
      </c>
      <c r="AJ23" s="45">
        <f t="shared" si="7"/>
        <v>1165</v>
      </c>
      <c r="AK23" s="48">
        <f t="shared" si="8"/>
        <v>322.80410085896369</v>
      </c>
      <c r="AL23" s="155">
        <v>0</v>
      </c>
      <c r="AM23" s="155">
        <v>1</v>
      </c>
      <c r="AN23" s="155">
        <v>1</v>
      </c>
      <c r="AO23" s="155">
        <v>1</v>
      </c>
      <c r="AP23" s="155">
        <v>0</v>
      </c>
      <c r="AQ23" s="155">
        <v>1</v>
      </c>
      <c r="AR23" s="155">
        <v>0</v>
      </c>
      <c r="AS23" s="158"/>
      <c r="AT23" s="158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357">
        <v>43231</v>
      </c>
      <c r="B24" s="40">
        <v>2.4583333333333299</v>
      </c>
      <c r="C24" s="40">
        <v>0.5</v>
      </c>
      <c r="D24" s="156">
        <v>3</v>
      </c>
      <c r="E24" s="154">
        <f t="shared" si="2"/>
        <v>2.1126760563380285</v>
      </c>
      <c r="F24" s="154">
        <v>3</v>
      </c>
      <c r="G24" s="118">
        <v>75</v>
      </c>
      <c r="H24" s="154">
        <f t="shared" si="0"/>
        <v>52.816901408450704</v>
      </c>
      <c r="I24" s="154">
        <v>73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7">
        <v>128</v>
      </c>
      <c r="R24" s="157"/>
      <c r="S24" s="157">
        <v>94215811</v>
      </c>
      <c r="T24" s="45">
        <f t="shared" si="4"/>
        <v>4052</v>
      </c>
      <c r="U24" s="46">
        <f>T24*24/1000</f>
        <v>97.248000000000005</v>
      </c>
      <c r="V24" s="46">
        <f t="shared" si="6"/>
        <v>4.0519999999999996</v>
      </c>
      <c r="W24" s="96">
        <v>6.3</v>
      </c>
      <c r="X24" s="96">
        <f t="shared" si="1"/>
        <v>6.3</v>
      </c>
      <c r="Y24" s="97" t="s">
        <v>169</v>
      </c>
      <c r="Z24" s="158">
        <v>0</v>
      </c>
      <c r="AA24" s="158">
        <v>1037</v>
      </c>
      <c r="AB24" s="158">
        <v>1187</v>
      </c>
      <c r="AC24" s="158">
        <v>1185</v>
      </c>
      <c r="AD24" s="158">
        <v>0</v>
      </c>
      <c r="AE24" s="158">
        <v>1185</v>
      </c>
      <c r="AF24" s="47" t="s">
        <v>90</v>
      </c>
      <c r="AG24" s="47" t="s">
        <v>90</v>
      </c>
      <c r="AH24" s="98" t="s">
        <v>90</v>
      </c>
      <c r="AI24" s="103">
        <v>15671018</v>
      </c>
      <c r="AJ24" s="45">
        <f t="shared" si="7"/>
        <v>1234</v>
      </c>
      <c r="AK24" s="48">
        <f t="shared" si="8"/>
        <v>304.54096742349458</v>
      </c>
      <c r="AL24" s="155">
        <v>0</v>
      </c>
      <c r="AM24" s="155">
        <v>1</v>
      </c>
      <c r="AN24" s="155">
        <v>1</v>
      </c>
      <c r="AO24" s="155">
        <v>1</v>
      </c>
      <c r="AP24" s="155">
        <v>0</v>
      </c>
      <c r="AQ24" s="155">
        <v>1</v>
      </c>
      <c r="AR24" s="155">
        <v>0</v>
      </c>
      <c r="AS24" s="158"/>
      <c r="AT24" s="158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357">
        <v>43231</v>
      </c>
      <c r="B25" s="40">
        <v>2.5</v>
      </c>
      <c r="C25" s="40">
        <v>0.54166666666666696</v>
      </c>
      <c r="D25" s="156">
        <v>3</v>
      </c>
      <c r="E25" s="154">
        <f t="shared" si="2"/>
        <v>2.1126760563380285</v>
      </c>
      <c r="F25" s="154">
        <v>1</v>
      </c>
      <c r="G25" s="118">
        <v>75</v>
      </c>
      <c r="H25" s="154">
        <f t="shared" si="0"/>
        <v>52.816901408450704</v>
      </c>
      <c r="I25" s="154">
        <v>73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7">
        <v>127</v>
      </c>
      <c r="R25" s="157"/>
      <c r="S25" s="157">
        <v>94219896</v>
      </c>
      <c r="T25" s="45">
        <f t="shared" si="4"/>
        <v>4085</v>
      </c>
      <c r="U25" s="46">
        <f>T25*24/1000</f>
        <v>98.04</v>
      </c>
      <c r="V25" s="46">
        <f t="shared" si="6"/>
        <v>4.085</v>
      </c>
      <c r="W25" s="96">
        <v>5.7</v>
      </c>
      <c r="X25" s="96">
        <f t="shared" si="1"/>
        <v>5.7</v>
      </c>
      <c r="Y25" s="97" t="s">
        <v>169</v>
      </c>
      <c r="Z25" s="158">
        <v>0</v>
      </c>
      <c r="AA25" s="158">
        <v>1036</v>
      </c>
      <c r="AB25" s="158">
        <v>1187</v>
      </c>
      <c r="AC25" s="158">
        <v>1185</v>
      </c>
      <c r="AD25" s="158">
        <v>0</v>
      </c>
      <c r="AE25" s="158">
        <v>1185</v>
      </c>
      <c r="AF25" s="47" t="s">
        <v>90</v>
      </c>
      <c r="AG25" s="47" t="s">
        <v>90</v>
      </c>
      <c r="AH25" s="98" t="s">
        <v>90</v>
      </c>
      <c r="AI25" s="103">
        <v>15672167</v>
      </c>
      <c r="AJ25" s="45">
        <f t="shared" si="7"/>
        <v>1149</v>
      </c>
      <c r="AK25" s="48">
        <f t="shared" si="8"/>
        <v>281.27294981640148</v>
      </c>
      <c r="AL25" s="155">
        <v>0</v>
      </c>
      <c r="AM25" s="155">
        <v>1</v>
      </c>
      <c r="AN25" s="155">
        <v>1</v>
      </c>
      <c r="AO25" s="155">
        <v>1</v>
      </c>
      <c r="AP25" s="155">
        <v>0</v>
      </c>
      <c r="AQ25" s="155">
        <v>1</v>
      </c>
      <c r="AR25" s="155">
        <v>0</v>
      </c>
      <c r="AS25" s="158"/>
      <c r="AT25" s="158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57">
        <v>43231</v>
      </c>
      <c r="B26" s="40">
        <v>2.5416666666666701</v>
      </c>
      <c r="C26" s="40">
        <v>0.58333333333333404</v>
      </c>
      <c r="D26" s="156">
        <v>3</v>
      </c>
      <c r="E26" s="154">
        <f t="shared" si="2"/>
        <v>2.1126760563380285</v>
      </c>
      <c r="F26" s="154">
        <v>1</v>
      </c>
      <c r="G26" s="118">
        <v>75</v>
      </c>
      <c r="H26" s="154">
        <f>G26/1.42</f>
        <v>52.816901408450704</v>
      </c>
      <c r="I26" s="154">
        <v>73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7">
        <v>127</v>
      </c>
      <c r="R26" s="157"/>
      <c r="S26" s="157">
        <v>94224025</v>
      </c>
      <c r="T26" s="45">
        <f t="shared" si="4"/>
        <v>4129</v>
      </c>
      <c r="U26" s="46">
        <f t="shared" si="5"/>
        <v>99.096000000000004</v>
      </c>
      <c r="V26" s="46">
        <f t="shared" si="6"/>
        <v>4.1289999999999996</v>
      </c>
      <c r="W26" s="96">
        <v>5.0999999999999996</v>
      </c>
      <c r="X26" s="96">
        <f t="shared" si="1"/>
        <v>5.0999999999999996</v>
      </c>
      <c r="Y26" s="97" t="s">
        <v>169</v>
      </c>
      <c r="Z26" s="158">
        <v>0</v>
      </c>
      <c r="AA26" s="158">
        <v>1026</v>
      </c>
      <c r="AB26" s="158">
        <v>1186</v>
      </c>
      <c r="AC26" s="158">
        <v>1185</v>
      </c>
      <c r="AD26" s="158">
        <v>0</v>
      </c>
      <c r="AE26" s="158">
        <v>1185</v>
      </c>
      <c r="AF26" s="47" t="s">
        <v>90</v>
      </c>
      <c r="AG26" s="47" t="s">
        <v>90</v>
      </c>
      <c r="AH26" s="98" t="s">
        <v>90</v>
      </c>
      <c r="AI26" s="103">
        <v>15673321</v>
      </c>
      <c r="AJ26" s="45">
        <f t="shared" si="7"/>
        <v>1154</v>
      </c>
      <c r="AK26" s="48">
        <f t="shared" si="8"/>
        <v>279.48655848873824</v>
      </c>
      <c r="AL26" s="155">
        <v>0</v>
      </c>
      <c r="AM26" s="155">
        <v>1</v>
      </c>
      <c r="AN26" s="155">
        <v>1</v>
      </c>
      <c r="AO26" s="155">
        <v>1</v>
      </c>
      <c r="AP26" s="155">
        <v>0</v>
      </c>
      <c r="AQ26" s="155">
        <v>1</v>
      </c>
      <c r="AR26" s="155">
        <v>0</v>
      </c>
      <c r="AS26" s="158"/>
      <c r="AT26" s="158">
        <f t="shared" si="9"/>
        <v>0</v>
      </c>
      <c r="AU26" s="119">
        <v>1.21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57">
        <v>43231</v>
      </c>
      <c r="B27" s="40">
        <v>2.5833333333333299</v>
      </c>
      <c r="C27" s="40">
        <v>0.625</v>
      </c>
      <c r="D27" s="156">
        <v>3</v>
      </c>
      <c r="E27" s="154">
        <f t="shared" si="2"/>
        <v>2.1126760563380285</v>
      </c>
      <c r="F27" s="154">
        <v>0</v>
      </c>
      <c r="G27" s="118">
        <v>75</v>
      </c>
      <c r="H27" s="154">
        <f>G27/1.42</f>
        <v>52.816901408450704</v>
      </c>
      <c r="I27" s="154">
        <v>72</v>
      </c>
      <c r="J27" s="41" t="s">
        <v>88</v>
      </c>
      <c r="K27" s="41">
        <f t="shared" si="3"/>
        <v>51.408450704225352</v>
      </c>
      <c r="L27" s="42">
        <f t="shared" si="10"/>
        <v>52.816901408450704</v>
      </c>
      <c r="M27" s="41">
        <f t="shared" si="12"/>
        <v>57.04225352112676</v>
      </c>
      <c r="N27" s="43">
        <v>18</v>
      </c>
      <c r="O27" s="44" t="s">
        <v>100</v>
      </c>
      <c r="P27" s="44">
        <v>16.899999999999999</v>
      </c>
      <c r="Q27" s="157">
        <v>128</v>
      </c>
      <c r="R27" s="157"/>
      <c r="S27" s="157">
        <v>94228446</v>
      </c>
      <c r="T27" s="45">
        <f t="shared" si="4"/>
        <v>4421</v>
      </c>
      <c r="U27" s="46">
        <f t="shared" si="5"/>
        <v>106.104</v>
      </c>
      <c r="V27" s="46">
        <f t="shared" si="6"/>
        <v>4.4210000000000003</v>
      </c>
      <c r="W27" s="96">
        <v>4.5999999999999996</v>
      </c>
      <c r="X27" s="96">
        <f t="shared" si="1"/>
        <v>4.5999999999999996</v>
      </c>
      <c r="Y27" s="97" t="s">
        <v>169</v>
      </c>
      <c r="Z27" s="158">
        <v>0</v>
      </c>
      <c r="AA27" s="158">
        <v>1026</v>
      </c>
      <c r="AB27" s="158">
        <v>1187</v>
      </c>
      <c r="AC27" s="158">
        <v>1185</v>
      </c>
      <c r="AD27" s="158">
        <v>0</v>
      </c>
      <c r="AE27" s="158">
        <v>1185</v>
      </c>
      <c r="AF27" s="47" t="s">
        <v>90</v>
      </c>
      <c r="AG27" s="47" t="s">
        <v>90</v>
      </c>
      <c r="AH27" s="98" t="s">
        <v>90</v>
      </c>
      <c r="AI27" s="103">
        <v>15674473</v>
      </c>
      <c r="AJ27" s="45">
        <f t="shared" si="7"/>
        <v>1152</v>
      </c>
      <c r="AK27" s="48">
        <f t="shared" si="8"/>
        <v>260.57453064917439</v>
      </c>
      <c r="AL27" s="155">
        <v>0</v>
      </c>
      <c r="AM27" s="155">
        <v>1</v>
      </c>
      <c r="AN27" s="155">
        <v>1</v>
      </c>
      <c r="AO27" s="155">
        <v>1</v>
      </c>
      <c r="AP27" s="155">
        <v>0</v>
      </c>
      <c r="AQ27" s="155">
        <v>1</v>
      </c>
      <c r="AR27" s="155">
        <v>0</v>
      </c>
      <c r="AS27" s="158"/>
      <c r="AT27" s="158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57">
        <v>43231</v>
      </c>
      <c r="B28" s="40">
        <v>2.625</v>
      </c>
      <c r="C28" s="40">
        <v>0.66666666666666696</v>
      </c>
      <c r="D28" s="156">
        <v>3</v>
      </c>
      <c r="E28" s="154">
        <f t="shared" si="2"/>
        <v>2.1126760563380285</v>
      </c>
      <c r="F28" s="154">
        <v>-1</v>
      </c>
      <c r="G28" s="118">
        <v>76</v>
      </c>
      <c r="H28" s="154">
        <f t="shared" si="0"/>
        <v>53.521126760563384</v>
      </c>
      <c r="I28" s="154">
        <v>74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7">
        <v>130</v>
      </c>
      <c r="R28" s="157"/>
      <c r="S28" s="157">
        <v>94232971</v>
      </c>
      <c r="T28" s="45">
        <f t="shared" si="4"/>
        <v>4525</v>
      </c>
      <c r="U28" s="46">
        <f t="shared" si="5"/>
        <v>108.6</v>
      </c>
      <c r="V28" s="46">
        <f t="shared" si="6"/>
        <v>4.5250000000000004</v>
      </c>
      <c r="W28" s="96">
        <v>4</v>
      </c>
      <c r="X28" s="96">
        <f t="shared" si="1"/>
        <v>4</v>
      </c>
      <c r="Y28" s="97" t="s">
        <v>169</v>
      </c>
      <c r="Z28" s="158">
        <v>0</v>
      </c>
      <c r="AA28" s="158">
        <v>1025</v>
      </c>
      <c r="AB28" s="158">
        <v>1187</v>
      </c>
      <c r="AC28" s="158">
        <v>1185</v>
      </c>
      <c r="AD28" s="158">
        <v>0</v>
      </c>
      <c r="AE28" s="158">
        <v>1185</v>
      </c>
      <c r="AF28" s="47" t="s">
        <v>90</v>
      </c>
      <c r="AG28" s="47" t="s">
        <v>90</v>
      </c>
      <c r="AH28" s="98" t="s">
        <v>90</v>
      </c>
      <c r="AI28" s="103">
        <v>15675696</v>
      </c>
      <c r="AJ28" s="45">
        <f>IF(ISBLANK(AI28),"-",AI28-AI27)</f>
        <v>1223</v>
      </c>
      <c r="AK28" s="48">
        <f t="shared" si="8"/>
        <v>270.27624309392263</v>
      </c>
      <c r="AL28" s="155">
        <v>0</v>
      </c>
      <c r="AM28" s="155">
        <v>1</v>
      </c>
      <c r="AN28" s="155">
        <v>1</v>
      </c>
      <c r="AO28" s="155">
        <v>1</v>
      </c>
      <c r="AP28" s="155">
        <v>0</v>
      </c>
      <c r="AQ28" s="155">
        <v>1</v>
      </c>
      <c r="AR28" s="155">
        <v>0</v>
      </c>
      <c r="AS28" s="158"/>
      <c r="AT28" s="158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357">
        <v>43231</v>
      </c>
      <c r="B29" s="40">
        <v>2.6666666666666701</v>
      </c>
      <c r="C29" s="40">
        <v>0.70833333333333404</v>
      </c>
      <c r="D29" s="156">
        <v>3</v>
      </c>
      <c r="E29" s="154">
        <f t="shared" si="2"/>
        <v>2.1126760563380285</v>
      </c>
      <c r="F29" s="154">
        <v>-2</v>
      </c>
      <c r="G29" s="118">
        <v>74</v>
      </c>
      <c r="H29" s="154">
        <f t="shared" si="0"/>
        <v>52.112676056338032</v>
      </c>
      <c r="I29" s="154">
        <v>72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7">
        <v>129</v>
      </c>
      <c r="R29" s="157"/>
      <c r="S29" s="157">
        <v>94237415</v>
      </c>
      <c r="T29" s="45">
        <f t="shared" si="4"/>
        <v>4444</v>
      </c>
      <c r="U29" s="46">
        <f t="shared" si="5"/>
        <v>106.65600000000001</v>
      </c>
      <c r="V29" s="46">
        <f t="shared" si="6"/>
        <v>4.444</v>
      </c>
      <c r="W29" s="96">
        <v>3.5</v>
      </c>
      <c r="X29" s="96">
        <f t="shared" si="1"/>
        <v>3.5</v>
      </c>
      <c r="Y29" s="97" t="s">
        <v>169</v>
      </c>
      <c r="Z29" s="158">
        <v>0</v>
      </c>
      <c r="AA29" s="158">
        <v>1025</v>
      </c>
      <c r="AB29" s="158">
        <v>1187</v>
      </c>
      <c r="AC29" s="158">
        <v>1185</v>
      </c>
      <c r="AD29" s="158">
        <v>0</v>
      </c>
      <c r="AE29" s="158">
        <v>1185</v>
      </c>
      <c r="AF29" s="47" t="s">
        <v>90</v>
      </c>
      <c r="AG29" s="47" t="s">
        <v>90</v>
      </c>
      <c r="AH29" s="98" t="s">
        <v>90</v>
      </c>
      <c r="AI29" s="103">
        <v>15676834</v>
      </c>
      <c r="AJ29" s="45">
        <f t="shared" si="7"/>
        <v>1138</v>
      </c>
      <c r="AK29" s="48">
        <f>AJ28/V29</f>
        <v>275.20252025202518</v>
      </c>
      <c r="AL29" s="155">
        <v>0</v>
      </c>
      <c r="AM29" s="155">
        <v>1</v>
      </c>
      <c r="AN29" s="155">
        <v>1</v>
      </c>
      <c r="AO29" s="155">
        <v>1</v>
      </c>
      <c r="AP29" s="155">
        <v>0</v>
      </c>
      <c r="AQ29" s="155">
        <v>1</v>
      </c>
      <c r="AR29" s="155">
        <v>0</v>
      </c>
      <c r="AS29" s="158"/>
      <c r="AT29" s="158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357">
        <v>43231</v>
      </c>
      <c r="B30" s="40">
        <v>2.7083333333333299</v>
      </c>
      <c r="C30" s="40">
        <v>0.750000000000002</v>
      </c>
      <c r="D30" s="156">
        <v>3</v>
      </c>
      <c r="E30" s="154">
        <f t="shared" si="2"/>
        <v>2.1126760563380285</v>
      </c>
      <c r="F30" s="154">
        <v>-3</v>
      </c>
      <c r="G30" s="118">
        <v>75</v>
      </c>
      <c r="H30" s="154">
        <f t="shared" si="0"/>
        <v>52.816901408450704</v>
      </c>
      <c r="I30" s="154">
        <v>73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7">
        <v>130</v>
      </c>
      <c r="R30" s="157"/>
      <c r="S30" s="157">
        <v>94241881</v>
      </c>
      <c r="T30" s="45">
        <f t="shared" si="4"/>
        <v>4466</v>
      </c>
      <c r="U30" s="46">
        <f t="shared" si="5"/>
        <v>107.184</v>
      </c>
      <c r="V30" s="46">
        <f t="shared" si="6"/>
        <v>4.4660000000000002</v>
      </c>
      <c r="W30" s="96">
        <v>3.1</v>
      </c>
      <c r="X30" s="96">
        <f t="shared" si="1"/>
        <v>3.1</v>
      </c>
      <c r="Y30" s="97" t="s">
        <v>169</v>
      </c>
      <c r="Z30" s="158">
        <v>0</v>
      </c>
      <c r="AA30" s="158">
        <v>1025</v>
      </c>
      <c r="AB30" s="158">
        <v>1187</v>
      </c>
      <c r="AC30" s="158">
        <v>1185</v>
      </c>
      <c r="AD30" s="158">
        <v>0</v>
      </c>
      <c r="AE30" s="158">
        <v>1185</v>
      </c>
      <c r="AF30" s="47" t="s">
        <v>90</v>
      </c>
      <c r="AG30" s="47" t="s">
        <v>90</v>
      </c>
      <c r="AH30" s="98" t="s">
        <v>90</v>
      </c>
      <c r="AI30" s="103">
        <v>15678009</v>
      </c>
      <c r="AJ30" s="45">
        <f t="shared" si="7"/>
        <v>1175</v>
      </c>
      <c r="AK30" s="48">
        <f>AJ29/V30</f>
        <v>254.81415136587549</v>
      </c>
      <c r="AL30" s="155">
        <v>0</v>
      </c>
      <c r="AM30" s="155">
        <v>1</v>
      </c>
      <c r="AN30" s="155">
        <v>1</v>
      </c>
      <c r="AO30" s="155">
        <v>1</v>
      </c>
      <c r="AP30" s="155">
        <v>0</v>
      </c>
      <c r="AQ30" s="155">
        <v>1</v>
      </c>
      <c r="AR30" s="155">
        <v>0</v>
      </c>
      <c r="AS30" s="158"/>
      <c r="AT30" s="158">
        <f t="shared" si="9"/>
        <v>0</v>
      </c>
      <c r="AU30" s="159">
        <v>1.1499999999999999</v>
      </c>
      <c r="AV30" s="50" t="s">
        <v>124</v>
      </c>
      <c r="AY30" s="55" t="s">
        <v>114</v>
      </c>
      <c r="AZ30" s="55">
        <v>101.325</v>
      </c>
      <c r="BB30" s="74" t="s">
        <v>143</v>
      </c>
    </row>
    <row r="31" spans="1:54" x14ac:dyDescent="0.35">
      <c r="A31" s="357">
        <v>43231</v>
      </c>
      <c r="B31" s="40">
        <v>2.75</v>
      </c>
      <c r="C31" s="40">
        <v>0.79166666666666896</v>
      </c>
      <c r="D31" s="156">
        <v>3</v>
      </c>
      <c r="E31" s="154">
        <f t="shared" si="2"/>
        <v>2.1126760563380285</v>
      </c>
      <c r="F31" s="154">
        <v>-4</v>
      </c>
      <c r="G31" s="118">
        <v>75</v>
      </c>
      <c r="H31" s="154">
        <f t="shared" si="0"/>
        <v>52.816901408450704</v>
      </c>
      <c r="I31" s="154">
        <v>73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7">
        <v>129</v>
      </c>
      <c r="R31" s="157"/>
      <c r="S31" s="157">
        <v>94246375</v>
      </c>
      <c r="T31" s="45">
        <f t="shared" si="4"/>
        <v>4494</v>
      </c>
      <c r="U31" s="46">
        <f t="shared" si="5"/>
        <v>107.85599999999999</v>
      </c>
      <c r="V31" s="46">
        <f t="shared" si="6"/>
        <v>4.4939999999999998</v>
      </c>
      <c r="W31" s="96">
        <v>2.7</v>
      </c>
      <c r="X31" s="96">
        <f t="shared" si="1"/>
        <v>2.7</v>
      </c>
      <c r="Y31" s="97" t="s">
        <v>169</v>
      </c>
      <c r="Z31" s="158">
        <v>0</v>
      </c>
      <c r="AA31" s="158">
        <v>1026</v>
      </c>
      <c r="AB31" s="158">
        <v>1186</v>
      </c>
      <c r="AC31" s="158">
        <v>1185</v>
      </c>
      <c r="AD31" s="158">
        <v>0</v>
      </c>
      <c r="AE31" s="158">
        <v>1185</v>
      </c>
      <c r="AF31" s="47" t="s">
        <v>90</v>
      </c>
      <c r="AG31" s="47" t="s">
        <v>90</v>
      </c>
      <c r="AH31" s="98" t="s">
        <v>90</v>
      </c>
      <c r="AI31" s="103">
        <v>15679187</v>
      </c>
      <c r="AJ31" s="45">
        <f t="shared" si="7"/>
        <v>1178</v>
      </c>
      <c r="AK31" s="48">
        <f t="shared" si="8"/>
        <v>262.12728081886962</v>
      </c>
      <c r="AL31" s="155">
        <v>0</v>
      </c>
      <c r="AM31" s="155">
        <v>1</v>
      </c>
      <c r="AN31" s="155">
        <v>1</v>
      </c>
      <c r="AO31" s="155">
        <v>1</v>
      </c>
      <c r="AP31" s="155">
        <v>0</v>
      </c>
      <c r="AQ31" s="155">
        <v>1</v>
      </c>
      <c r="AR31" s="155">
        <v>0</v>
      </c>
      <c r="AS31" s="158"/>
      <c r="AT31" s="158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357">
        <v>43231</v>
      </c>
      <c r="B32" s="40">
        <v>2.7916666666666701</v>
      </c>
      <c r="C32" s="40">
        <v>0.83333333333333703</v>
      </c>
      <c r="D32" s="156">
        <v>3</v>
      </c>
      <c r="E32" s="154">
        <f t="shared" si="2"/>
        <v>2.1126760563380285</v>
      </c>
      <c r="F32" s="154">
        <v>-4</v>
      </c>
      <c r="G32" s="118">
        <v>75</v>
      </c>
      <c r="H32" s="154">
        <f t="shared" si="0"/>
        <v>52.816901408450704</v>
      </c>
      <c r="I32" s="154">
        <v>73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7">
        <v>127</v>
      </c>
      <c r="R32" s="157"/>
      <c r="S32" s="157">
        <v>94250892</v>
      </c>
      <c r="T32" s="45">
        <f t="shared" si="4"/>
        <v>4517</v>
      </c>
      <c r="U32" s="46">
        <f t="shared" si="5"/>
        <v>108.408</v>
      </c>
      <c r="V32" s="46">
        <f t="shared" si="6"/>
        <v>4.5170000000000003</v>
      </c>
      <c r="W32" s="96">
        <v>2.2999999999999998</v>
      </c>
      <c r="X32" s="96">
        <f t="shared" si="1"/>
        <v>2.2999999999999998</v>
      </c>
      <c r="Y32" s="97" t="s">
        <v>169</v>
      </c>
      <c r="Z32" s="158">
        <v>0</v>
      </c>
      <c r="AA32" s="158">
        <v>1025</v>
      </c>
      <c r="AB32" s="158">
        <v>1187</v>
      </c>
      <c r="AC32" s="158">
        <v>1185</v>
      </c>
      <c r="AD32" s="158">
        <v>0</v>
      </c>
      <c r="AE32" s="158">
        <v>1185</v>
      </c>
      <c r="AF32" s="47" t="s">
        <v>90</v>
      </c>
      <c r="AG32" s="47" t="s">
        <v>90</v>
      </c>
      <c r="AH32" s="98" t="s">
        <v>90</v>
      </c>
      <c r="AI32" s="103">
        <v>15680366</v>
      </c>
      <c r="AJ32" s="45">
        <f t="shared" si="7"/>
        <v>1179</v>
      </c>
      <c r="AK32" s="48">
        <f t="shared" si="8"/>
        <v>261.0139473101616</v>
      </c>
      <c r="AL32" s="155">
        <v>0</v>
      </c>
      <c r="AM32" s="155">
        <v>1</v>
      </c>
      <c r="AN32" s="155">
        <v>1</v>
      </c>
      <c r="AO32" s="155">
        <v>1</v>
      </c>
      <c r="AP32" s="155">
        <v>0</v>
      </c>
      <c r="AQ32" s="155">
        <v>1</v>
      </c>
      <c r="AR32" s="155">
        <v>0</v>
      </c>
      <c r="AS32" s="158"/>
      <c r="AT32" s="158">
        <v>0</v>
      </c>
      <c r="AU32" s="49"/>
      <c r="AV32" s="50" t="s">
        <v>124</v>
      </c>
      <c r="AY32" s="308" t="s">
        <v>115</v>
      </c>
      <c r="AZ32" s="308"/>
      <c r="BB32" s="74" t="s">
        <v>156</v>
      </c>
    </row>
    <row r="33" spans="1:54" x14ac:dyDescent="0.35">
      <c r="A33" s="357">
        <v>43231</v>
      </c>
      <c r="B33" s="40">
        <v>2.8333333333333299</v>
      </c>
      <c r="C33" s="40">
        <v>0.875</v>
      </c>
      <c r="D33" s="156">
        <v>3</v>
      </c>
      <c r="E33" s="154">
        <f t="shared" si="2"/>
        <v>2.1126760563380285</v>
      </c>
      <c r="F33" s="154">
        <v>-3</v>
      </c>
      <c r="G33" s="118">
        <v>75</v>
      </c>
      <c r="H33" s="154">
        <f t="shared" si="0"/>
        <v>52.816901408450704</v>
      </c>
      <c r="I33" s="154">
        <v>74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7">
        <v>128</v>
      </c>
      <c r="R33" s="157"/>
      <c r="S33" s="157">
        <v>94255375</v>
      </c>
      <c r="T33" s="45">
        <f t="shared" si="4"/>
        <v>4483</v>
      </c>
      <c r="U33" s="46">
        <f t="shared" si="5"/>
        <v>107.592</v>
      </c>
      <c r="V33" s="46">
        <f t="shared" si="6"/>
        <v>4.4829999999999997</v>
      </c>
      <c r="W33" s="96">
        <v>1.9</v>
      </c>
      <c r="X33" s="96">
        <f t="shared" si="1"/>
        <v>1.9</v>
      </c>
      <c r="Y33" s="97" t="s">
        <v>169</v>
      </c>
      <c r="Z33" s="158">
        <v>0</v>
      </c>
      <c r="AA33" s="158">
        <v>1025</v>
      </c>
      <c r="AB33" s="158">
        <v>1187</v>
      </c>
      <c r="AC33" s="158">
        <v>1185</v>
      </c>
      <c r="AD33" s="158">
        <v>0</v>
      </c>
      <c r="AE33" s="158">
        <v>1185</v>
      </c>
      <c r="AF33" s="47" t="s">
        <v>90</v>
      </c>
      <c r="AG33" s="47" t="s">
        <v>90</v>
      </c>
      <c r="AH33" s="98" t="s">
        <v>90</v>
      </c>
      <c r="AI33" s="103">
        <v>15681510</v>
      </c>
      <c r="AJ33" s="45">
        <f t="shared" si="7"/>
        <v>1144</v>
      </c>
      <c r="AK33" s="48">
        <f t="shared" si="8"/>
        <v>255.18625920142765</v>
      </c>
      <c r="AL33" s="155">
        <v>0</v>
      </c>
      <c r="AM33" s="155">
        <v>1</v>
      </c>
      <c r="AN33" s="155">
        <v>1</v>
      </c>
      <c r="AO33" s="155">
        <v>1</v>
      </c>
      <c r="AP33" s="155">
        <v>0</v>
      </c>
      <c r="AQ33" s="155">
        <v>1</v>
      </c>
      <c r="AR33" s="155">
        <v>0</v>
      </c>
      <c r="AS33" s="158"/>
      <c r="AT33" s="158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57">
        <v>43231</v>
      </c>
      <c r="B34" s="40">
        <v>2.875</v>
      </c>
      <c r="C34" s="40">
        <v>0.91666666666667096</v>
      </c>
      <c r="D34" s="156">
        <v>3</v>
      </c>
      <c r="E34" s="154">
        <f t="shared" si="2"/>
        <v>2.1126760563380285</v>
      </c>
      <c r="F34" s="154">
        <v>0</v>
      </c>
      <c r="G34" s="118">
        <v>77</v>
      </c>
      <c r="H34" s="154">
        <f t="shared" si="0"/>
        <v>54.225352112676056</v>
      </c>
      <c r="I34" s="154">
        <v>75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7">
        <v>130</v>
      </c>
      <c r="R34" s="157"/>
      <c r="S34" s="157">
        <v>94260238</v>
      </c>
      <c r="T34" s="45">
        <f t="shared" si="4"/>
        <v>4863</v>
      </c>
      <c r="U34" s="46">
        <f t="shared" si="5"/>
        <v>116.712</v>
      </c>
      <c r="V34" s="46">
        <f t="shared" si="6"/>
        <v>4.8630000000000004</v>
      </c>
      <c r="W34" s="96">
        <v>1.7</v>
      </c>
      <c r="X34" s="96">
        <f t="shared" si="1"/>
        <v>1.7</v>
      </c>
      <c r="Y34" s="97" t="s">
        <v>169</v>
      </c>
      <c r="Z34" s="158">
        <v>0</v>
      </c>
      <c r="AA34" s="158">
        <v>1025</v>
      </c>
      <c r="AB34" s="158">
        <v>1187</v>
      </c>
      <c r="AC34" s="158">
        <v>1185</v>
      </c>
      <c r="AD34" s="158">
        <v>0</v>
      </c>
      <c r="AE34" s="158">
        <v>1185</v>
      </c>
      <c r="AF34" s="47" t="s">
        <v>90</v>
      </c>
      <c r="AG34" s="47" t="s">
        <v>90</v>
      </c>
      <c r="AH34" s="98" t="s">
        <v>90</v>
      </c>
      <c r="AI34" s="103">
        <v>15682741</v>
      </c>
      <c r="AJ34" s="45">
        <f t="shared" si="7"/>
        <v>1231</v>
      </c>
      <c r="AK34" s="48">
        <f t="shared" si="8"/>
        <v>253.13592432654738</v>
      </c>
      <c r="AL34" s="155">
        <v>0</v>
      </c>
      <c r="AM34" s="155">
        <v>1</v>
      </c>
      <c r="AN34" s="155">
        <v>1</v>
      </c>
      <c r="AO34" s="155">
        <v>1</v>
      </c>
      <c r="AP34" s="155">
        <v>0</v>
      </c>
      <c r="AQ34" s="155">
        <v>1</v>
      </c>
      <c r="AR34" s="155">
        <v>0</v>
      </c>
      <c r="AS34" s="158"/>
      <c r="AT34" s="158">
        <f>AS34-AS33</f>
        <v>0</v>
      </c>
      <c r="AU34" s="119">
        <v>1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357">
        <v>43231</v>
      </c>
      <c r="B35" s="40">
        <v>2.9166666666666701</v>
      </c>
      <c r="C35" s="40">
        <v>0.95833333333333803</v>
      </c>
      <c r="D35" s="156">
        <v>3</v>
      </c>
      <c r="E35" s="154">
        <f t="shared" si="2"/>
        <v>2.1126760563380285</v>
      </c>
      <c r="F35" s="154">
        <v>0</v>
      </c>
      <c r="G35" s="118">
        <v>75</v>
      </c>
      <c r="H35" s="154">
        <f t="shared" si="0"/>
        <v>52.816901408450704</v>
      </c>
      <c r="I35" s="154">
        <v>75</v>
      </c>
      <c r="J35" s="41" t="s">
        <v>88</v>
      </c>
      <c r="K35" s="41">
        <f>L35-(2/1.42)</f>
        <v>47.887323943661976</v>
      </c>
      <c r="L35" s="42">
        <f>(G35-5)/1.42</f>
        <v>49.295774647887328</v>
      </c>
      <c r="M35" s="41">
        <f t="shared" si="12"/>
        <v>53.521126760563384</v>
      </c>
      <c r="N35" s="43">
        <v>14</v>
      </c>
      <c r="O35" s="44" t="s">
        <v>116</v>
      </c>
      <c r="P35" s="44">
        <v>11.9</v>
      </c>
      <c r="Q35" s="157">
        <v>132</v>
      </c>
      <c r="R35" s="157"/>
      <c r="S35" s="157">
        <v>94264592</v>
      </c>
      <c r="T35" s="45">
        <f t="shared" si="4"/>
        <v>4354</v>
      </c>
      <c r="U35" s="46">
        <f t="shared" si="5"/>
        <v>104.496</v>
      </c>
      <c r="V35" s="46">
        <f t="shared" si="6"/>
        <v>4.3540000000000001</v>
      </c>
      <c r="W35" s="96">
        <v>1.9</v>
      </c>
      <c r="X35" s="96">
        <f t="shared" si="1"/>
        <v>1.9</v>
      </c>
      <c r="Y35" s="97" t="s">
        <v>138</v>
      </c>
      <c r="Z35" s="158">
        <v>0</v>
      </c>
      <c r="AA35" s="158">
        <v>0</v>
      </c>
      <c r="AB35" s="158">
        <v>1187</v>
      </c>
      <c r="AC35" s="158">
        <v>1185</v>
      </c>
      <c r="AD35" s="158">
        <v>0</v>
      </c>
      <c r="AE35" s="158">
        <v>1185</v>
      </c>
      <c r="AF35" s="47" t="s">
        <v>90</v>
      </c>
      <c r="AG35" s="47" t="s">
        <v>90</v>
      </c>
      <c r="AH35" s="98" t="s">
        <v>90</v>
      </c>
      <c r="AI35" s="103">
        <v>15683820</v>
      </c>
      <c r="AJ35" s="45">
        <f t="shared" si="7"/>
        <v>1079</v>
      </c>
      <c r="AK35" s="48">
        <f t="shared" si="8"/>
        <v>247.8180983004134</v>
      </c>
      <c r="AL35" s="155">
        <v>0</v>
      </c>
      <c r="AM35" s="155">
        <v>0</v>
      </c>
      <c r="AN35" s="155">
        <v>1</v>
      </c>
      <c r="AO35" s="155">
        <v>1</v>
      </c>
      <c r="AP35" s="155">
        <v>0</v>
      </c>
      <c r="AQ35" s="155">
        <v>1</v>
      </c>
      <c r="AR35" s="155">
        <v>0.3</v>
      </c>
      <c r="AS35" s="158"/>
      <c r="AT35" s="158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357">
        <v>43231</v>
      </c>
      <c r="B36" s="40">
        <v>2.9583333333333299</v>
      </c>
      <c r="C36" s="40">
        <v>1</v>
      </c>
      <c r="D36" s="156">
        <v>3</v>
      </c>
      <c r="E36" s="154">
        <f t="shared" si="2"/>
        <v>2.1126760563380285</v>
      </c>
      <c r="F36" s="154">
        <v>1</v>
      </c>
      <c r="G36" s="118">
        <v>72</v>
      </c>
      <c r="H36" s="154">
        <f t="shared" si="0"/>
        <v>50.70422535211268</v>
      </c>
      <c r="I36" s="154">
        <v>76</v>
      </c>
      <c r="J36" s="41" t="s">
        <v>88</v>
      </c>
      <c r="K36" s="41">
        <f t="shared" si="3"/>
        <v>45.774647887323944</v>
      </c>
      <c r="L36" s="42">
        <f>(G36-5)/1.42</f>
        <v>47.183098591549296</v>
      </c>
      <c r="M36" s="41">
        <f t="shared" si="12"/>
        <v>51.408450704225352</v>
      </c>
      <c r="N36" s="43">
        <v>14</v>
      </c>
      <c r="O36" s="44" t="s">
        <v>116</v>
      </c>
      <c r="P36" s="58">
        <v>11.5</v>
      </c>
      <c r="Q36" s="157">
        <v>140</v>
      </c>
      <c r="R36" s="157"/>
      <c r="S36" s="157">
        <v>94268675</v>
      </c>
      <c r="T36" s="45">
        <f t="shared" si="4"/>
        <v>4083</v>
      </c>
      <c r="U36" s="46">
        <f t="shared" si="5"/>
        <v>97.992000000000004</v>
      </c>
      <c r="V36" s="46">
        <f t="shared" si="6"/>
        <v>4.0830000000000002</v>
      </c>
      <c r="W36" s="96">
        <v>2.8</v>
      </c>
      <c r="X36" s="96">
        <f t="shared" si="1"/>
        <v>2.8</v>
      </c>
      <c r="Y36" s="97" t="s">
        <v>138</v>
      </c>
      <c r="Z36" s="158">
        <v>0</v>
      </c>
      <c r="AA36" s="158">
        <v>0</v>
      </c>
      <c r="AB36" s="158">
        <v>1187</v>
      </c>
      <c r="AC36" s="158">
        <v>1185</v>
      </c>
      <c r="AD36" s="158">
        <v>0</v>
      </c>
      <c r="AE36" s="158">
        <v>1185</v>
      </c>
      <c r="AF36" s="47" t="s">
        <v>90</v>
      </c>
      <c r="AG36" s="47" t="s">
        <v>90</v>
      </c>
      <c r="AH36" s="98" t="s">
        <v>90</v>
      </c>
      <c r="AI36" s="103">
        <v>15684930</v>
      </c>
      <c r="AJ36" s="45">
        <f t="shared" si="7"/>
        <v>1110</v>
      </c>
      <c r="AK36" s="48">
        <f t="shared" si="8"/>
        <v>271.8589272593681</v>
      </c>
      <c r="AL36" s="155">
        <v>0</v>
      </c>
      <c r="AM36" s="155">
        <v>0</v>
      </c>
      <c r="AN36" s="155">
        <v>1</v>
      </c>
      <c r="AO36" s="155">
        <v>1</v>
      </c>
      <c r="AP36" s="155">
        <v>0</v>
      </c>
      <c r="AQ36" s="155">
        <v>1</v>
      </c>
      <c r="AR36" s="155">
        <v>0.3</v>
      </c>
      <c r="AS36" s="158"/>
      <c r="AT36" s="158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73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09" t="s">
        <v>118</v>
      </c>
      <c r="O37" s="310"/>
      <c r="P37" s="311"/>
      <c r="Q37" s="101"/>
      <c r="R37" s="101"/>
      <c r="S37" s="101"/>
      <c r="T37" s="60">
        <f>SUM(T13:T36)</f>
        <v>102196</v>
      </c>
      <c r="U37" s="46">
        <f t="shared" si="5"/>
        <v>2452.7040000000002</v>
      </c>
      <c r="V37" s="46">
        <f t="shared" si="6"/>
        <v>102.196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27726</v>
      </c>
      <c r="AK37" s="61">
        <f>$AJ$37/$V37</f>
        <v>271.30220360875182</v>
      </c>
      <c r="AL37" s="155"/>
      <c r="AM37" s="155"/>
      <c r="AN37" s="155"/>
      <c r="AO37" s="155"/>
      <c r="AP37" s="155"/>
      <c r="AQ37" s="155"/>
      <c r="AR37" s="62"/>
      <c r="AS37" s="63">
        <f>AS36-AS11</f>
        <v>0</v>
      </c>
      <c r="AT37" s="64">
        <f>SUM(AT13:AT36)</f>
        <v>0</v>
      </c>
      <c r="AU37" s="65">
        <f>AVERAGE(AU13:AU36)</f>
        <v>1.03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7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8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8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4"/>
      <c r="D47" s="164"/>
      <c r="E47" s="164"/>
      <c r="F47" s="164"/>
      <c r="G47" s="164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71" t="s">
        <v>217</v>
      </c>
      <c r="C48" s="172"/>
      <c r="D48" s="172"/>
      <c r="E48" s="172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70"/>
      <c r="D49" s="170"/>
      <c r="E49" s="170"/>
      <c r="F49" s="161"/>
      <c r="G49" s="161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15" t="s">
        <v>218</v>
      </c>
      <c r="C50" s="143"/>
      <c r="D50" s="143"/>
      <c r="E50" s="143"/>
      <c r="F50" s="130"/>
      <c r="G50" s="130"/>
      <c r="H50" s="160"/>
      <c r="I50" s="160"/>
      <c r="J50" s="160"/>
      <c r="K50" s="160"/>
      <c r="L50" s="160"/>
      <c r="M50" s="160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210</v>
      </c>
      <c r="B51" s="132" t="s">
        <v>163</v>
      </c>
      <c r="C51" s="143"/>
      <c r="D51" s="143"/>
      <c r="E51" s="143"/>
      <c r="F51" s="130"/>
      <c r="G51" s="130"/>
      <c r="H51" s="160"/>
      <c r="I51" s="160"/>
      <c r="J51" s="160"/>
      <c r="K51" s="160"/>
      <c r="L51" s="160"/>
      <c r="M51" s="160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223</v>
      </c>
      <c r="C52" s="120"/>
      <c r="D52" s="115"/>
      <c r="E52" s="115"/>
      <c r="F52" s="115"/>
      <c r="G52" s="115"/>
      <c r="H52" s="160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70"/>
      <c r="D53" s="170"/>
      <c r="E53" s="170"/>
      <c r="F53" s="170"/>
      <c r="G53" s="115"/>
      <c r="H53" s="115"/>
      <c r="I53" s="115"/>
      <c r="J53" s="115"/>
      <c r="K53" s="115"/>
      <c r="L53" s="115"/>
      <c r="M53" s="115"/>
      <c r="N53" s="163"/>
      <c r="O53" s="163"/>
      <c r="P53" s="163"/>
      <c r="Q53" s="163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53" t="s">
        <v>219</v>
      </c>
      <c r="C54" s="153"/>
      <c r="D54" s="170"/>
      <c r="E54" s="170"/>
      <c r="F54" s="170"/>
      <c r="G54" s="170"/>
      <c r="H54" s="170"/>
      <c r="I54" s="170"/>
      <c r="J54" s="169"/>
      <c r="K54" s="166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170</v>
      </c>
      <c r="C55" s="115"/>
      <c r="D55" s="170"/>
      <c r="E55" s="153"/>
      <c r="F55" s="153"/>
      <c r="G55" s="153"/>
      <c r="H55" s="153"/>
      <c r="I55" s="153"/>
      <c r="J55" s="169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171</v>
      </c>
      <c r="C56" s="115"/>
      <c r="D56" s="170"/>
      <c r="E56" s="153"/>
      <c r="F56" s="153"/>
      <c r="G56" s="153"/>
      <c r="H56" s="153"/>
      <c r="I56" s="153"/>
      <c r="J56" s="153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32" t="s">
        <v>172</v>
      </c>
      <c r="C57" s="170"/>
      <c r="D57" s="170"/>
      <c r="E57" s="153"/>
      <c r="F57" s="153"/>
      <c r="G57" s="153"/>
      <c r="H57" s="153"/>
      <c r="I57" s="153"/>
      <c r="J57" s="153"/>
      <c r="K57" s="166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53" t="s">
        <v>214</v>
      </c>
      <c r="C58" s="170"/>
      <c r="D58" s="170"/>
      <c r="E58" s="115"/>
      <c r="F58" s="115"/>
      <c r="G58" s="115"/>
      <c r="H58" s="115"/>
      <c r="I58" s="153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32" t="s">
        <v>174</v>
      </c>
      <c r="C59" s="170"/>
      <c r="D59" s="170"/>
      <c r="E59" s="153"/>
      <c r="F59" s="153"/>
      <c r="G59" s="153"/>
      <c r="H59" s="153"/>
      <c r="I59" s="153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62" t="s">
        <v>195</v>
      </c>
      <c r="C60" s="170"/>
      <c r="D60" s="223"/>
      <c r="E60" s="223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62"/>
      <c r="C61" s="153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32"/>
      <c r="C62" s="115"/>
      <c r="D62" s="100"/>
      <c r="E62" s="100"/>
      <c r="F62" s="115"/>
      <c r="G62" s="115"/>
      <c r="H62" s="92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6"/>
      <c r="E63" s="166"/>
      <c r="F63" s="166"/>
      <c r="G63" s="166"/>
      <c r="H63" s="166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53"/>
      <c r="C64" s="115"/>
      <c r="D64" s="100"/>
      <c r="E64" s="100"/>
      <c r="F64" s="115"/>
      <c r="G64" s="115"/>
      <c r="H64" s="92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6"/>
      <c r="E65" s="166"/>
      <c r="F65" s="166"/>
      <c r="G65" s="166"/>
      <c r="H65" s="166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AV65" s="86"/>
      <c r="AW65" s="86"/>
      <c r="AX65" s="86"/>
      <c r="AY65" s="86"/>
      <c r="AZ65" s="86"/>
      <c r="BA65" s="86"/>
      <c r="BB65" s="86"/>
    </row>
    <row r="66" spans="2:54" x14ac:dyDescent="0.35">
      <c r="B66" s="162"/>
      <c r="C66" s="115"/>
      <c r="D66" s="166"/>
      <c r="E66" s="166"/>
      <c r="F66" s="166"/>
      <c r="G66" s="166"/>
      <c r="H66" s="166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6"/>
      <c r="E67" s="166"/>
      <c r="F67" s="166"/>
      <c r="G67" s="166"/>
      <c r="H67" s="166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AF13:AH36 T13:V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Q13:Q36 S13:S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4:W4" name="Range1_16_1_1_1_1_1_1_2_2_2_2_2_2_2_2_2_2_2_2_2_2_2_2_2_2_2_2_2_2_2_1_2_2_2_2_2_2_2_2_2_2_3_2_2_2_2_2_2_2_2_2_2_1_1_1_1_2_2_1_1_1_1_1_1_1_1_1_1_1_1_1_1_2"/>
    <protectedRange sqref="R3:W3" name="Range1_16_1_1_1_1_1_1_2_2_2_2_2_2_2_2_2_2_2_2_2_2_2_2_2_2_2_2_2_2_2_1_2_2_2_2_2_2_2_2_2_2_3_2_2_2_2_2_2_2_2_2_2_1_1_1_1_2_2_1_1_1_1_1_1_1_1_1_1_1_1_1_1_3"/>
    <protectedRange sqref="R5:W5" name="Range1_16_1_1_1_1_1_1_2_2_2_2_2_2_2_2_2_2_2_2_2_2_2_2_2_2_2_2_2_2_2_1_2_2_2_2_2_2_2_2_2_2_3_2_2_2_2_2_2_2_2_2_2_1_1_1_1_2_2_1_1_1_1_1_1_1_1_1_1_3_1_3_2_1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2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339" priority="5" operator="containsText" text="N/A">
      <formula>NOT(ISERROR(SEARCH("N/A",Z13)))</formula>
    </cfRule>
    <cfRule type="cellIs" dxfId="338" priority="17" operator="equal">
      <formula>0</formula>
    </cfRule>
  </conditionalFormatting>
  <conditionalFormatting sqref="Z13:AG36">
    <cfRule type="cellIs" dxfId="337" priority="16" operator="greaterThanOrEqual">
      <formula>1185</formula>
    </cfRule>
  </conditionalFormatting>
  <conditionalFormatting sqref="Z13:AG36">
    <cfRule type="cellIs" dxfId="336" priority="15" operator="between">
      <formula>0.1</formula>
      <formula>1184</formula>
    </cfRule>
  </conditionalFormatting>
  <conditionalFormatting sqref="Z8:Z9 AT13:AT36 AL37:AQ37 AL13:AR36">
    <cfRule type="cellIs" dxfId="335" priority="14" operator="equal">
      <formula>0</formula>
    </cfRule>
  </conditionalFormatting>
  <conditionalFormatting sqref="Z8:Z9 AT13:AT36 AL37:AQ37 AL13:AR36">
    <cfRule type="cellIs" dxfId="334" priority="13" operator="greaterThan">
      <formula>1179</formula>
    </cfRule>
  </conditionalFormatting>
  <conditionalFormatting sqref="Z8:Z9 AT13:AT36 AL37:AQ37 AL13:AR36">
    <cfRule type="cellIs" dxfId="333" priority="12" operator="greaterThan">
      <formula>99</formula>
    </cfRule>
  </conditionalFormatting>
  <conditionalFormatting sqref="Z8:Z9 AT13:AT36 AL37:AQ37 AL13:AR36">
    <cfRule type="cellIs" dxfId="332" priority="11" operator="greaterThan">
      <formula>0.99</formula>
    </cfRule>
  </conditionalFormatting>
  <conditionalFormatting sqref="AD8:AD9">
    <cfRule type="cellIs" dxfId="331" priority="10" operator="equal">
      <formula>0</formula>
    </cfRule>
  </conditionalFormatting>
  <conditionalFormatting sqref="AD8:AD9">
    <cfRule type="cellIs" dxfId="330" priority="9" operator="greaterThan">
      <formula>1179</formula>
    </cfRule>
  </conditionalFormatting>
  <conditionalFormatting sqref="AD8:AD9">
    <cfRule type="cellIs" dxfId="329" priority="8" operator="greaterThan">
      <formula>99</formula>
    </cfRule>
  </conditionalFormatting>
  <conditionalFormatting sqref="AD8:AD9">
    <cfRule type="cellIs" dxfId="328" priority="7" operator="greaterThan">
      <formula>0.99</formula>
    </cfRule>
  </conditionalFormatting>
  <conditionalFormatting sqref="AK13:AK36">
    <cfRule type="cellIs" dxfId="327" priority="6" operator="greaterThan">
      <formula>$AK$8</formula>
    </cfRule>
  </conditionalFormatting>
  <conditionalFormatting sqref="AS13:AS36">
    <cfRule type="containsText" dxfId="326" priority="1" operator="containsText" text="N/A">
      <formula>NOT(ISERROR(SEARCH("N/A",AS13)))</formula>
    </cfRule>
    <cfRule type="cellIs" dxfId="325" priority="4" operator="equal">
      <formula>0</formula>
    </cfRule>
  </conditionalFormatting>
  <conditionalFormatting sqref="AS13:AS36">
    <cfRule type="cellIs" dxfId="324" priority="3" operator="greaterThanOrEqual">
      <formula>1185</formula>
    </cfRule>
  </conditionalFormatting>
  <conditionalFormatting sqref="AS13:AS36">
    <cfRule type="cellIs" dxfId="323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B00-000000000000}">
      <formula1>$AY$11:$AY$21</formula1>
    </dataValidation>
    <dataValidation type="list" allowBlank="1" showInputMessage="1" showErrorMessage="1" sqref="AS8:AT9 P11:P12 N11:N12 D8:E9 Q8:V9" xr:uid="{00000000-0002-0000-0B00-000001000000}">
      <formula1>#REF!</formula1>
    </dataValidation>
    <dataValidation type="list" allowBlank="1" showInputMessage="1" showErrorMessage="1" sqref="AY33:AZ33" xr:uid="{00000000-0002-0000-0B00-000002000000}">
      <formula1>$AY$26:$AY$30</formula1>
    </dataValidation>
    <dataValidation type="list" allowBlank="1" showInputMessage="1" showErrorMessage="1" sqref="R3:R5" xr:uid="{00000000-0002-0000-0B00-000003000000}">
      <formula1>$BB$11:$BB$42</formula1>
    </dataValidation>
  </dataValidations>
  <hyperlinks>
    <hyperlink ref="J10:J11" location="'1'!AH8" display="Plant Status" xr:uid="{00000000-0004-0000-0B00-000000000000}"/>
  </hyperlinks>
  <pageMargins left="0.7" right="0.7" top="0.75" bottom="0.75" header="0.3" footer="0.3"/>
  <pageSetup paperSize="9" orientation="portrait" horizontalDpi="4294967293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rgb="FF7030A0"/>
  </sheetPr>
  <dimension ref="A2:BB88"/>
  <sheetViews>
    <sheetView topLeftCell="A37" zoomScaleNormal="100" workbookViewId="0">
      <selection activeCell="B56" sqref="B56:B5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47" t="s">
        <v>157</v>
      </c>
      <c r="S3" s="348"/>
      <c r="T3" s="348"/>
      <c r="U3" s="348"/>
      <c r="V3" s="348"/>
      <c r="W3" s="34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47" t="s">
        <v>143</v>
      </c>
      <c r="S4" s="348"/>
      <c r="T4" s="348"/>
      <c r="U4" s="348"/>
      <c r="V4" s="348"/>
      <c r="W4" s="34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47" t="s">
        <v>158</v>
      </c>
      <c r="S5" s="348"/>
      <c r="T5" s="348"/>
      <c r="U5" s="348"/>
      <c r="V5" s="348"/>
      <c r="W5" s="34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50" t="s">
        <v>6</v>
      </c>
      <c r="C6" s="351"/>
      <c r="D6" s="352" t="s">
        <v>7</v>
      </c>
      <c r="E6" s="353"/>
      <c r="F6" s="353"/>
      <c r="G6" s="353"/>
      <c r="H6" s="353"/>
      <c r="I6" s="353"/>
      <c r="J6" s="354"/>
      <c r="K6" s="87"/>
      <c r="L6" s="87"/>
      <c r="M6" s="225"/>
      <c r="N6" s="355">
        <v>41686</v>
      </c>
      <c r="O6" s="356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37" t="s">
        <v>8</v>
      </c>
      <c r="C7" s="338"/>
      <c r="D7" s="337" t="s">
        <v>9</v>
      </c>
      <c r="E7" s="339"/>
      <c r="F7" s="339"/>
      <c r="G7" s="339"/>
      <c r="H7" s="339"/>
      <c r="I7" s="338"/>
      <c r="J7" s="230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30" t="s">
        <v>14</v>
      </c>
      <c r="R7" s="337" t="s">
        <v>15</v>
      </c>
      <c r="S7" s="339"/>
      <c r="T7" s="339"/>
      <c r="U7" s="339"/>
      <c r="V7" s="338"/>
      <c r="W7" s="337" t="s">
        <v>16</v>
      </c>
      <c r="X7" s="338"/>
      <c r="Y7" s="99" t="s">
        <v>17</v>
      </c>
      <c r="Z7" s="337" t="s">
        <v>18</v>
      </c>
      <c r="AA7" s="338"/>
      <c r="AB7" s="337" t="s">
        <v>19</v>
      </c>
      <c r="AC7" s="338"/>
      <c r="AD7" s="337" t="s">
        <v>20</v>
      </c>
      <c r="AE7" s="338"/>
      <c r="AF7" s="337" t="s">
        <v>21</v>
      </c>
      <c r="AG7" s="338"/>
      <c r="AH7" s="99" t="s">
        <v>22</v>
      </c>
      <c r="AI7" s="99" t="s">
        <v>23</v>
      </c>
      <c r="AJ7" s="99" t="s">
        <v>24</v>
      </c>
      <c r="AK7" s="99" t="s">
        <v>25</v>
      </c>
      <c r="AL7" s="337" t="s">
        <v>26</v>
      </c>
      <c r="AM7" s="339"/>
      <c r="AN7" s="339"/>
      <c r="AO7" s="339"/>
      <c r="AP7" s="339"/>
      <c r="AQ7" s="338"/>
      <c r="AR7" s="337" t="s">
        <v>27</v>
      </c>
      <c r="AS7" s="339"/>
      <c r="AT7" s="33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40">
        <v>43233</v>
      </c>
      <c r="C8" s="341"/>
      <c r="D8" s="342" t="s">
        <v>29</v>
      </c>
      <c r="E8" s="343"/>
      <c r="F8" s="343"/>
      <c r="G8" s="343"/>
      <c r="H8" s="343"/>
      <c r="I8" s="344"/>
      <c r="J8" s="28"/>
      <c r="K8" s="342" t="s">
        <v>29</v>
      </c>
      <c r="L8" s="343"/>
      <c r="M8" s="34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42" t="s">
        <v>33</v>
      </c>
      <c r="X8" s="344"/>
      <c r="Y8" s="30" t="s">
        <v>34</v>
      </c>
      <c r="Z8" s="326">
        <v>0</v>
      </c>
      <c r="AA8" s="327"/>
      <c r="AB8" s="345" t="s">
        <v>35</v>
      </c>
      <c r="AC8" s="346"/>
      <c r="AD8" s="326">
        <v>1185</v>
      </c>
      <c r="AE8" s="327"/>
      <c r="AF8" s="328">
        <v>800</v>
      </c>
      <c r="AG8" s="329"/>
      <c r="AH8" s="28"/>
      <c r="AI8" s="30">
        <f>AI36-AI11</f>
        <v>27518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31"/>
      <c r="C9" s="232"/>
      <c r="D9" s="233"/>
      <c r="E9" s="234"/>
      <c r="F9" s="234"/>
      <c r="G9" s="234"/>
      <c r="H9" s="234"/>
      <c r="I9" s="235"/>
      <c r="J9" s="121"/>
      <c r="K9" s="233"/>
      <c r="L9" s="234"/>
      <c r="M9" s="235"/>
      <c r="N9" s="29"/>
      <c r="O9" s="29"/>
      <c r="P9" s="29"/>
      <c r="Q9" s="121"/>
      <c r="R9" s="121"/>
      <c r="S9" s="121"/>
      <c r="T9" s="122"/>
      <c r="U9" s="123"/>
      <c r="V9" s="124"/>
      <c r="W9" s="233"/>
      <c r="X9" s="235"/>
      <c r="Y9" s="30"/>
      <c r="Z9" s="228"/>
      <c r="AA9" s="125"/>
      <c r="AB9" s="126"/>
      <c r="AC9" s="126"/>
      <c r="AD9" s="125"/>
      <c r="AE9" s="125"/>
      <c r="AF9" s="127"/>
      <c r="AG9" s="229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30" t="s">
        <v>39</v>
      </c>
      <c r="C10" s="331"/>
      <c r="D10" s="330" t="s">
        <v>40</v>
      </c>
      <c r="E10" s="332"/>
      <c r="F10" s="331"/>
      <c r="G10" s="330" t="s">
        <v>41</v>
      </c>
      <c r="H10" s="332"/>
      <c r="I10" s="331"/>
      <c r="J10" s="333" t="s">
        <v>42</v>
      </c>
      <c r="K10" s="330" t="s">
        <v>43</v>
      </c>
      <c r="L10" s="332"/>
      <c r="M10" s="331"/>
      <c r="N10" s="99" t="s">
        <v>44</v>
      </c>
      <c r="O10" s="335" t="s">
        <v>45</v>
      </c>
      <c r="P10" s="33" t="s">
        <v>46</v>
      </c>
      <c r="Q10" s="324" t="s">
        <v>47</v>
      </c>
      <c r="R10" s="324" t="s">
        <v>48</v>
      </c>
      <c r="S10" s="34" t="s">
        <v>49</v>
      </c>
      <c r="T10" s="312" t="s">
        <v>50</v>
      </c>
      <c r="U10" s="313"/>
      <c r="V10" s="314"/>
      <c r="W10" s="226" t="s">
        <v>51</v>
      </c>
      <c r="X10" s="226" t="s">
        <v>52</v>
      </c>
      <c r="Y10" s="318" t="s">
        <v>53</v>
      </c>
      <c r="Z10" s="319" t="s">
        <v>54</v>
      </c>
      <c r="AA10" s="320"/>
      <c r="AB10" s="320"/>
      <c r="AC10" s="320"/>
      <c r="AD10" s="320"/>
      <c r="AE10" s="320"/>
      <c r="AF10" s="320"/>
      <c r="AG10" s="321"/>
      <c r="AH10" s="224" t="s">
        <v>55</v>
      </c>
      <c r="AI10" s="224" t="s">
        <v>56</v>
      </c>
      <c r="AJ10" s="307" t="s">
        <v>57</v>
      </c>
      <c r="AK10" s="322" t="s">
        <v>58</v>
      </c>
      <c r="AL10" s="226" t="s">
        <v>59</v>
      </c>
      <c r="AM10" s="226" t="s">
        <v>60</v>
      </c>
      <c r="AN10" s="226" t="s">
        <v>61</v>
      </c>
      <c r="AO10" s="226" t="s">
        <v>62</v>
      </c>
      <c r="AP10" s="226" t="s">
        <v>63</v>
      </c>
      <c r="AQ10" s="226" t="s">
        <v>123</v>
      </c>
      <c r="AR10" s="226" t="s">
        <v>64</v>
      </c>
      <c r="AS10" s="226" t="s">
        <v>65</v>
      </c>
      <c r="AT10" s="324" t="s">
        <v>66</v>
      </c>
      <c r="AU10" s="226" t="s">
        <v>67</v>
      </c>
      <c r="AV10" s="30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26" t="s">
        <v>72</v>
      </c>
      <c r="C11" s="226" t="s">
        <v>73</v>
      </c>
      <c r="D11" s="226" t="s">
        <v>74</v>
      </c>
      <c r="E11" s="226" t="s">
        <v>75</v>
      </c>
      <c r="F11" s="226" t="s">
        <v>126</v>
      </c>
      <c r="G11" s="226" t="s">
        <v>74</v>
      </c>
      <c r="H11" s="226" t="s">
        <v>75</v>
      </c>
      <c r="I11" s="226" t="s">
        <v>126</v>
      </c>
      <c r="J11" s="334"/>
      <c r="K11" s="226" t="s">
        <v>75</v>
      </c>
      <c r="L11" s="226" t="s">
        <v>75</v>
      </c>
      <c r="M11" s="226" t="s">
        <v>75</v>
      </c>
      <c r="N11" s="28" t="s">
        <v>29</v>
      </c>
      <c r="O11" s="336"/>
      <c r="P11" s="28" t="s">
        <v>29</v>
      </c>
      <c r="Q11" s="325"/>
      <c r="R11" s="325"/>
      <c r="S11" s="1">
        <f>'MAY 12'!S36</f>
        <v>94268675</v>
      </c>
      <c r="T11" s="315"/>
      <c r="U11" s="316"/>
      <c r="V11" s="317"/>
      <c r="W11" s="226" t="s">
        <v>75</v>
      </c>
      <c r="X11" s="226" t="s">
        <v>75</v>
      </c>
      <c r="Y11" s="31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'MAY 12'!AI36</f>
        <v>15684930</v>
      </c>
      <c r="AJ11" s="307"/>
      <c r="AK11" s="323"/>
      <c r="AL11" s="226" t="s">
        <v>84</v>
      </c>
      <c r="AM11" s="226" t="s">
        <v>84</v>
      </c>
      <c r="AN11" s="226" t="s">
        <v>84</v>
      </c>
      <c r="AO11" s="226" t="s">
        <v>84</v>
      </c>
      <c r="AP11" s="226" t="s">
        <v>84</v>
      </c>
      <c r="AQ11" s="226" t="s">
        <v>84</v>
      </c>
      <c r="AR11" s="226" t="s">
        <v>84</v>
      </c>
      <c r="AS11" s="1"/>
      <c r="AT11" s="325"/>
      <c r="AU11" s="227" t="s">
        <v>85</v>
      </c>
      <c r="AV11" s="307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283</v>
      </c>
      <c r="B12" s="305" t="s">
        <v>284</v>
      </c>
      <c r="C12" s="305" t="s">
        <v>285</v>
      </c>
      <c r="D12" s="305" t="s">
        <v>286</v>
      </c>
      <c r="E12" s="305" t="s">
        <v>287</v>
      </c>
      <c r="F12" s="305" t="s">
        <v>288</v>
      </c>
      <c r="G12" s="305" t="s">
        <v>289</v>
      </c>
      <c r="H12" s="305" t="s">
        <v>290</v>
      </c>
      <c r="I12" s="305" t="s">
        <v>291</v>
      </c>
      <c r="J12" s="297" t="s">
        <v>292</v>
      </c>
      <c r="K12" s="305" t="s">
        <v>293</v>
      </c>
      <c r="L12" s="305" t="s">
        <v>294</v>
      </c>
      <c r="M12" s="305" t="s">
        <v>295</v>
      </c>
      <c r="N12" s="28" t="s">
        <v>296</v>
      </c>
      <c r="O12" s="298" t="s">
        <v>297</v>
      </c>
      <c r="P12" s="28" t="s">
        <v>298</v>
      </c>
      <c r="Q12" s="300" t="s">
        <v>299</v>
      </c>
      <c r="R12" s="300" t="s">
        <v>300</v>
      </c>
      <c r="S12" s="1" t="s">
        <v>301</v>
      </c>
      <c r="T12" s="302" t="s">
        <v>302</v>
      </c>
      <c r="U12" s="303" t="s">
        <v>303</v>
      </c>
      <c r="V12" s="304" t="s">
        <v>304</v>
      </c>
      <c r="W12" s="305" t="s">
        <v>305</v>
      </c>
      <c r="X12" s="305" t="s">
        <v>306</v>
      </c>
      <c r="Y12" s="305" t="s">
        <v>307</v>
      </c>
      <c r="Z12" s="37" t="s">
        <v>308</v>
      </c>
      <c r="AA12" s="37" t="s">
        <v>309</v>
      </c>
      <c r="AB12" s="37" t="s">
        <v>310</v>
      </c>
      <c r="AC12" s="37" t="s">
        <v>311</v>
      </c>
      <c r="AD12" s="37" t="s">
        <v>312</v>
      </c>
      <c r="AE12" s="37" t="s">
        <v>313</v>
      </c>
      <c r="AF12" s="37" t="s">
        <v>314</v>
      </c>
      <c r="AG12" s="37" t="s">
        <v>315</v>
      </c>
      <c r="AH12" s="38" t="s">
        <v>316</v>
      </c>
      <c r="AI12" s="1" t="s">
        <v>317</v>
      </c>
      <c r="AJ12" s="301" t="s">
        <v>318</v>
      </c>
      <c r="AK12" s="306" t="s">
        <v>319</v>
      </c>
      <c r="AL12" s="305" t="s">
        <v>320</v>
      </c>
      <c r="AM12" s="305" t="s">
        <v>321</v>
      </c>
      <c r="AN12" s="305" t="s">
        <v>322</v>
      </c>
      <c r="AO12" s="305" t="s">
        <v>323</v>
      </c>
      <c r="AP12" s="305" t="s">
        <v>324</v>
      </c>
      <c r="AQ12" s="305" t="s">
        <v>325</v>
      </c>
      <c r="AR12" s="305" t="s">
        <v>326</v>
      </c>
      <c r="AS12" s="1" t="s">
        <v>327</v>
      </c>
      <c r="AT12" s="300" t="s">
        <v>328</v>
      </c>
      <c r="AU12" s="299" t="s">
        <v>329</v>
      </c>
      <c r="AV12" s="301"/>
      <c r="AY12" s="39"/>
      <c r="AZ12" s="39"/>
      <c r="BB12" s="136"/>
    </row>
    <row r="13" spans="1:54" x14ac:dyDescent="0.35">
      <c r="A13" s="357">
        <v>43233</v>
      </c>
      <c r="B13" s="40">
        <v>2</v>
      </c>
      <c r="C13" s="40">
        <v>4.1666666666666664E-2</v>
      </c>
      <c r="D13" s="156">
        <v>3</v>
      </c>
      <c r="E13" s="154">
        <f>D13/1.42</f>
        <v>2.1126760563380285</v>
      </c>
      <c r="F13" s="154">
        <v>3</v>
      </c>
      <c r="G13" s="118">
        <v>70</v>
      </c>
      <c r="H13" s="154">
        <f t="shared" ref="H13:H36" si="0">G13/1.42</f>
        <v>49.295774647887328</v>
      </c>
      <c r="I13" s="154">
        <v>76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7">
        <v>140</v>
      </c>
      <c r="R13" s="157"/>
      <c r="S13" s="157">
        <v>94273100</v>
      </c>
      <c r="T13" s="45">
        <f>IF(ISBLANK(S13),"-",S13-S11)</f>
        <v>4425</v>
      </c>
      <c r="U13" s="46">
        <f>T13*24/1000</f>
        <v>106.2</v>
      </c>
      <c r="V13" s="46">
        <f>T13/1000</f>
        <v>4.4249999999999998</v>
      </c>
      <c r="W13" s="96">
        <v>4.2</v>
      </c>
      <c r="X13" s="96">
        <f t="shared" ref="X13:X36" si="1">W13</f>
        <v>4.2</v>
      </c>
      <c r="Y13" s="97" t="s">
        <v>138</v>
      </c>
      <c r="Z13" s="158">
        <v>0</v>
      </c>
      <c r="AA13" s="158">
        <v>0</v>
      </c>
      <c r="AB13" s="158">
        <v>1187</v>
      </c>
      <c r="AC13" s="158">
        <v>1185</v>
      </c>
      <c r="AD13" s="158">
        <v>0</v>
      </c>
      <c r="AE13" s="158">
        <v>1185</v>
      </c>
      <c r="AF13" s="47" t="s">
        <v>90</v>
      </c>
      <c r="AG13" s="47" t="s">
        <v>90</v>
      </c>
      <c r="AH13" s="98" t="s">
        <v>90</v>
      </c>
      <c r="AI13" s="103">
        <v>15686000</v>
      </c>
      <c r="AJ13" s="45">
        <f>IF(ISBLANK(AI13),"-",AI13-AI11)</f>
        <v>1070</v>
      </c>
      <c r="AK13" s="48">
        <f>AJ13/V13</f>
        <v>241.80790960451978</v>
      </c>
      <c r="AL13" s="155">
        <v>0</v>
      </c>
      <c r="AM13" s="155">
        <v>0</v>
      </c>
      <c r="AN13" s="155">
        <v>1</v>
      </c>
      <c r="AO13" s="155">
        <v>1</v>
      </c>
      <c r="AP13" s="155">
        <v>0</v>
      </c>
      <c r="AQ13" s="155">
        <v>1</v>
      </c>
      <c r="AR13" s="155">
        <v>0.8</v>
      </c>
      <c r="AS13" s="158"/>
      <c r="AT13" s="158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357">
        <v>43233</v>
      </c>
      <c r="B14" s="40">
        <v>2.0416666666666701</v>
      </c>
      <c r="C14" s="40">
        <v>8.3333333333333329E-2</v>
      </c>
      <c r="D14" s="156">
        <v>3</v>
      </c>
      <c r="E14" s="154">
        <f t="shared" ref="E14:E36" si="2">D14/1.42</f>
        <v>2.1126760563380285</v>
      </c>
      <c r="F14" s="154">
        <v>5</v>
      </c>
      <c r="G14" s="118">
        <v>70</v>
      </c>
      <c r="H14" s="154">
        <f t="shared" si="0"/>
        <v>49.295774647887328</v>
      </c>
      <c r="I14" s="154">
        <v>78</v>
      </c>
      <c r="J14" s="41" t="s">
        <v>88</v>
      </c>
      <c r="K14" s="41">
        <f t="shared" ref="K14:K36" si="3">L14-(2/1.42)</f>
        <v>44.366197183098592</v>
      </c>
      <c r="L14" s="42">
        <f>(G14-5)/1.42</f>
        <v>45.774647887323944</v>
      </c>
      <c r="M14" s="41">
        <f>L14+(6/1.42)</f>
        <v>50</v>
      </c>
      <c r="N14" s="43">
        <v>14</v>
      </c>
      <c r="O14" s="44" t="s">
        <v>89</v>
      </c>
      <c r="P14" s="44">
        <v>11.2</v>
      </c>
      <c r="Q14" s="157">
        <v>142</v>
      </c>
      <c r="R14" s="157"/>
      <c r="S14" s="157">
        <v>94277500</v>
      </c>
      <c r="T14" s="45">
        <f t="shared" ref="T14:T36" si="4">IF(ISBLANK(S14),"-",S14-S13)</f>
        <v>4400</v>
      </c>
      <c r="U14" s="46">
        <f t="shared" ref="U14:U37" si="5">T14*24/1000</f>
        <v>105.6</v>
      </c>
      <c r="V14" s="46">
        <f t="shared" ref="V14:V37" si="6">T14/1000</f>
        <v>4.4000000000000004</v>
      </c>
      <c r="W14" s="96">
        <v>6.1</v>
      </c>
      <c r="X14" s="96">
        <f t="shared" si="1"/>
        <v>6.1</v>
      </c>
      <c r="Y14" s="97" t="s">
        <v>138</v>
      </c>
      <c r="Z14" s="158">
        <v>0</v>
      </c>
      <c r="AA14" s="158">
        <v>0</v>
      </c>
      <c r="AB14" s="158">
        <v>1187</v>
      </c>
      <c r="AC14" s="158">
        <v>1185</v>
      </c>
      <c r="AD14" s="158">
        <v>0</v>
      </c>
      <c r="AE14" s="158">
        <v>1185</v>
      </c>
      <c r="AF14" s="47" t="s">
        <v>90</v>
      </c>
      <c r="AG14" s="47" t="s">
        <v>90</v>
      </c>
      <c r="AH14" s="98" t="s">
        <v>90</v>
      </c>
      <c r="AI14" s="103">
        <v>15687120</v>
      </c>
      <c r="AJ14" s="45">
        <f t="shared" ref="AJ14:AJ36" si="7">IF(ISBLANK(AI14),"-",AI14-AI13)</f>
        <v>1120</v>
      </c>
      <c r="AK14" s="48">
        <f t="shared" ref="AK14:AK36" si="8">AJ14/V14</f>
        <v>254.54545454545453</v>
      </c>
      <c r="AL14" s="155">
        <v>0</v>
      </c>
      <c r="AM14" s="155">
        <v>0</v>
      </c>
      <c r="AN14" s="155">
        <v>1</v>
      </c>
      <c r="AO14" s="155">
        <v>1</v>
      </c>
      <c r="AP14" s="155">
        <v>0</v>
      </c>
      <c r="AQ14" s="155">
        <v>1</v>
      </c>
      <c r="AR14" s="155">
        <v>0.8</v>
      </c>
      <c r="AS14" s="158"/>
      <c r="AT14" s="158">
        <f t="shared" ref="AT14:AT35" si="9">AS14-AS13</f>
        <v>0</v>
      </c>
      <c r="AU14" s="119">
        <v>0.99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57">
        <v>43233</v>
      </c>
      <c r="B15" s="40">
        <v>2.0833333333333299</v>
      </c>
      <c r="C15" s="40">
        <v>0.125</v>
      </c>
      <c r="D15" s="156">
        <v>3</v>
      </c>
      <c r="E15" s="154">
        <f t="shared" si="2"/>
        <v>2.1126760563380285</v>
      </c>
      <c r="F15" s="154">
        <v>6</v>
      </c>
      <c r="G15" s="118">
        <v>71</v>
      </c>
      <c r="H15" s="154">
        <f t="shared" si="0"/>
        <v>50</v>
      </c>
      <c r="I15" s="154">
        <v>78</v>
      </c>
      <c r="J15" s="41" t="s">
        <v>88</v>
      </c>
      <c r="K15" s="41">
        <f t="shared" si="3"/>
        <v>45.070422535211272</v>
      </c>
      <c r="L15" s="42">
        <f>(G15-5)/1.42</f>
        <v>46.478873239436624</v>
      </c>
      <c r="M15" s="41">
        <f>L15+(6/1.42)</f>
        <v>50.70422535211268</v>
      </c>
      <c r="N15" s="43">
        <v>14</v>
      </c>
      <c r="O15" s="44" t="s">
        <v>89</v>
      </c>
      <c r="P15" s="44">
        <v>11.2</v>
      </c>
      <c r="Q15" s="157">
        <v>141</v>
      </c>
      <c r="R15" s="157"/>
      <c r="S15" s="157">
        <v>94281912</v>
      </c>
      <c r="T15" s="45">
        <f>IF(ISBLANK(S15),"-",S15-S14)</f>
        <v>4412</v>
      </c>
      <c r="U15" s="46">
        <f t="shared" si="5"/>
        <v>105.88800000000001</v>
      </c>
      <c r="V15" s="46">
        <f t="shared" si="6"/>
        <v>4.4119999999999999</v>
      </c>
      <c r="W15" s="96">
        <v>7.5</v>
      </c>
      <c r="X15" s="96">
        <f t="shared" si="1"/>
        <v>7.5</v>
      </c>
      <c r="Y15" s="97" t="s">
        <v>138</v>
      </c>
      <c r="Z15" s="158">
        <v>0</v>
      </c>
      <c r="AA15" s="158">
        <v>0</v>
      </c>
      <c r="AB15" s="158">
        <v>1187</v>
      </c>
      <c r="AC15" s="158">
        <v>1185</v>
      </c>
      <c r="AD15" s="158">
        <v>0</v>
      </c>
      <c r="AE15" s="158">
        <v>1185</v>
      </c>
      <c r="AF15" s="47" t="s">
        <v>90</v>
      </c>
      <c r="AG15" s="47" t="s">
        <v>90</v>
      </c>
      <c r="AH15" s="98" t="s">
        <v>90</v>
      </c>
      <c r="AI15" s="103">
        <v>15688312</v>
      </c>
      <c r="AJ15" s="45">
        <f t="shared" si="7"/>
        <v>1192</v>
      </c>
      <c r="AK15" s="48">
        <f t="shared" si="8"/>
        <v>270.17225747960111</v>
      </c>
      <c r="AL15" s="155">
        <v>0</v>
      </c>
      <c r="AM15" s="155">
        <v>0</v>
      </c>
      <c r="AN15" s="155">
        <v>1</v>
      </c>
      <c r="AO15" s="155">
        <v>1</v>
      </c>
      <c r="AP15" s="155">
        <v>0</v>
      </c>
      <c r="AQ15" s="155">
        <v>1</v>
      </c>
      <c r="AR15" s="155">
        <v>0.8</v>
      </c>
      <c r="AS15" s="158"/>
      <c r="AT15" s="158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357">
        <v>43233</v>
      </c>
      <c r="B16" s="40">
        <v>2.125</v>
      </c>
      <c r="C16" s="40">
        <v>0.16666666666666699</v>
      </c>
      <c r="D16" s="156">
        <v>3</v>
      </c>
      <c r="E16" s="154">
        <f t="shared" si="2"/>
        <v>2.1126760563380285</v>
      </c>
      <c r="F16" s="154">
        <v>8</v>
      </c>
      <c r="G16" s="118">
        <v>71</v>
      </c>
      <c r="H16" s="154">
        <f t="shared" si="0"/>
        <v>50</v>
      </c>
      <c r="I16" s="154">
        <v>80</v>
      </c>
      <c r="J16" s="41" t="s">
        <v>88</v>
      </c>
      <c r="K16" s="41">
        <f t="shared" si="3"/>
        <v>45.070422535211272</v>
      </c>
      <c r="L16" s="42">
        <f>(G16-5)/1.42</f>
        <v>46.478873239436624</v>
      </c>
      <c r="M16" s="41">
        <f>L16+(6/1.42)</f>
        <v>50.70422535211268</v>
      </c>
      <c r="N16" s="43">
        <v>14</v>
      </c>
      <c r="O16" s="44" t="s">
        <v>89</v>
      </c>
      <c r="P16" s="44">
        <v>12.8</v>
      </c>
      <c r="Q16" s="157">
        <v>134</v>
      </c>
      <c r="R16" s="157"/>
      <c r="S16" s="157">
        <v>94286362</v>
      </c>
      <c r="T16" s="45">
        <f t="shared" si="4"/>
        <v>4450</v>
      </c>
      <c r="U16" s="46">
        <f t="shared" si="5"/>
        <v>106.8</v>
      </c>
      <c r="V16" s="46">
        <f t="shared" si="6"/>
        <v>4.45</v>
      </c>
      <c r="W16" s="96">
        <v>9.4</v>
      </c>
      <c r="X16" s="96">
        <f t="shared" si="1"/>
        <v>9.4</v>
      </c>
      <c r="Y16" s="97" t="s">
        <v>138</v>
      </c>
      <c r="Z16" s="158">
        <v>0</v>
      </c>
      <c r="AA16" s="158">
        <v>0</v>
      </c>
      <c r="AB16" s="158">
        <v>1187</v>
      </c>
      <c r="AC16" s="158">
        <v>1185</v>
      </c>
      <c r="AD16" s="158">
        <v>0</v>
      </c>
      <c r="AE16" s="158">
        <v>1185</v>
      </c>
      <c r="AF16" s="47" t="s">
        <v>90</v>
      </c>
      <c r="AG16" s="47" t="s">
        <v>90</v>
      </c>
      <c r="AH16" s="98" t="s">
        <v>90</v>
      </c>
      <c r="AI16" s="103">
        <v>15689372</v>
      </c>
      <c r="AJ16" s="45">
        <f t="shared" si="7"/>
        <v>1060</v>
      </c>
      <c r="AK16" s="48">
        <f t="shared" si="8"/>
        <v>238.20224719101122</v>
      </c>
      <c r="AL16" s="155">
        <v>0</v>
      </c>
      <c r="AM16" s="155">
        <v>0</v>
      </c>
      <c r="AN16" s="155">
        <v>1</v>
      </c>
      <c r="AO16" s="155">
        <v>1</v>
      </c>
      <c r="AP16" s="155">
        <v>0</v>
      </c>
      <c r="AQ16" s="155">
        <v>1</v>
      </c>
      <c r="AR16" s="155">
        <v>0.8</v>
      </c>
      <c r="AS16" s="158"/>
      <c r="AT16" s="158">
        <f t="shared" si="9"/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357">
        <v>43233</v>
      </c>
      <c r="B17" s="40">
        <v>2.1666666666666701</v>
      </c>
      <c r="C17" s="40">
        <v>0.20833333333333301</v>
      </c>
      <c r="D17" s="156">
        <v>3</v>
      </c>
      <c r="E17" s="154">
        <f t="shared" si="2"/>
        <v>2.1126760563380285</v>
      </c>
      <c r="F17" s="154">
        <v>9</v>
      </c>
      <c r="G17" s="118">
        <v>83</v>
      </c>
      <c r="H17" s="154">
        <f t="shared" si="0"/>
        <v>58.450704225352112</v>
      </c>
      <c r="I17" s="154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7">
        <v>128</v>
      </c>
      <c r="R17" s="157"/>
      <c r="S17" s="157">
        <v>94290709</v>
      </c>
      <c r="T17" s="45">
        <f t="shared" si="4"/>
        <v>4347</v>
      </c>
      <c r="U17" s="46">
        <f t="shared" si="5"/>
        <v>104.328</v>
      </c>
      <c r="V17" s="46">
        <f t="shared" si="6"/>
        <v>4.3470000000000004</v>
      </c>
      <c r="W17" s="96">
        <v>9.5</v>
      </c>
      <c r="X17" s="96">
        <f t="shared" si="1"/>
        <v>9.5</v>
      </c>
      <c r="Y17" s="97" t="s">
        <v>138</v>
      </c>
      <c r="Z17" s="158">
        <v>0</v>
      </c>
      <c r="AA17" s="158">
        <v>0</v>
      </c>
      <c r="AB17" s="158">
        <v>1187</v>
      </c>
      <c r="AC17" s="158">
        <v>1185</v>
      </c>
      <c r="AD17" s="158">
        <v>0</v>
      </c>
      <c r="AE17" s="158">
        <v>1185</v>
      </c>
      <c r="AF17" s="47" t="s">
        <v>90</v>
      </c>
      <c r="AG17" s="47" t="s">
        <v>90</v>
      </c>
      <c r="AH17" s="98" t="s">
        <v>90</v>
      </c>
      <c r="AI17" s="103">
        <v>15690469</v>
      </c>
      <c r="AJ17" s="45">
        <f t="shared" si="7"/>
        <v>1097</v>
      </c>
      <c r="AK17" s="48">
        <f t="shared" si="8"/>
        <v>252.3579480101219</v>
      </c>
      <c r="AL17" s="155">
        <v>0</v>
      </c>
      <c r="AM17" s="155">
        <v>0</v>
      </c>
      <c r="AN17" s="155">
        <v>1</v>
      </c>
      <c r="AO17" s="155">
        <v>1</v>
      </c>
      <c r="AP17" s="155">
        <v>0</v>
      </c>
      <c r="AQ17" s="155">
        <v>1</v>
      </c>
      <c r="AR17" s="155">
        <v>0</v>
      </c>
      <c r="AS17" s="158"/>
      <c r="AT17" s="158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57">
        <v>43233</v>
      </c>
      <c r="B18" s="40">
        <v>2.2083333333333299</v>
      </c>
      <c r="C18" s="40">
        <v>0.25</v>
      </c>
      <c r="D18" s="156">
        <v>3</v>
      </c>
      <c r="E18" s="154">
        <f t="shared" si="2"/>
        <v>2.1126760563380285</v>
      </c>
      <c r="F18" s="154">
        <v>9</v>
      </c>
      <c r="G18" s="118">
        <v>83</v>
      </c>
      <c r="H18" s="154">
        <f t="shared" si="0"/>
        <v>58.450704225352112</v>
      </c>
      <c r="I18" s="154">
        <v>80</v>
      </c>
      <c r="J18" s="41" t="s">
        <v>88</v>
      </c>
      <c r="K18" s="41">
        <f t="shared" si="3"/>
        <v>57.04225352112676</v>
      </c>
      <c r="L18" s="42">
        <f t="shared" ref="L18:L27" si="10">G18/1.42</f>
        <v>58.450704225352112</v>
      </c>
      <c r="M18" s="41">
        <f>L18+1.42</f>
        <v>59.870704225352114</v>
      </c>
      <c r="N18" s="43">
        <v>19</v>
      </c>
      <c r="O18" s="44" t="s">
        <v>100</v>
      </c>
      <c r="P18" s="44">
        <v>13.1</v>
      </c>
      <c r="Q18" s="157">
        <v>133</v>
      </c>
      <c r="R18" s="157"/>
      <c r="S18" s="157">
        <v>94295902</v>
      </c>
      <c r="T18" s="45">
        <f t="shared" si="4"/>
        <v>5193</v>
      </c>
      <c r="U18" s="46">
        <f t="shared" si="5"/>
        <v>124.63200000000001</v>
      </c>
      <c r="V18" s="46">
        <f t="shared" si="6"/>
        <v>5.1929999999999996</v>
      </c>
      <c r="W18" s="96">
        <v>9.5</v>
      </c>
      <c r="X18" s="96">
        <f t="shared" si="1"/>
        <v>9.5</v>
      </c>
      <c r="Y18" s="97" t="s">
        <v>138</v>
      </c>
      <c r="Z18" s="158">
        <v>0</v>
      </c>
      <c r="AA18" s="158">
        <v>0</v>
      </c>
      <c r="AB18" s="158">
        <v>1187</v>
      </c>
      <c r="AC18" s="158">
        <v>1185</v>
      </c>
      <c r="AD18" s="158">
        <v>0</v>
      </c>
      <c r="AE18" s="158">
        <v>1185</v>
      </c>
      <c r="AF18" s="47" t="s">
        <v>90</v>
      </c>
      <c r="AG18" s="47" t="s">
        <v>90</v>
      </c>
      <c r="AH18" s="98" t="s">
        <v>90</v>
      </c>
      <c r="AI18" s="103">
        <v>15691687</v>
      </c>
      <c r="AJ18" s="45">
        <f t="shared" si="7"/>
        <v>1218</v>
      </c>
      <c r="AK18" s="48">
        <f t="shared" si="8"/>
        <v>234.54650491045641</v>
      </c>
      <c r="AL18" s="155">
        <v>0</v>
      </c>
      <c r="AM18" s="155">
        <v>0</v>
      </c>
      <c r="AN18" s="155">
        <v>1</v>
      </c>
      <c r="AO18" s="155">
        <v>1</v>
      </c>
      <c r="AP18" s="155">
        <v>0</v>
      </c>
      <c r="AQ18" s="155">
        <v>1</v>
      </c>
      <c r="AR18" s="155">
        <v>0</v>
      </c>
      <c r="AS18" s="158"/>
      <c r="AT18" s="158">
        <f t="shared" si="9"/>
        <v>0</v>
      </c>
      <c r="AU18" s="119">
        <v>0.84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57">
        <v>43233</v>
      </c>
      <c r="B19" s="40">
        <v>2.25</v>
      </c>
      <c r="C19" s="40">
        <v>0.29166666666666669</v>
      </c>
      <c r="D19" s="156">
        <v>3</v>
      </c>
      <c r="E19" s="154">
        <f t="shared" si="2"/>
        <v>2.1126760563380285</v>
      </c>
      <c r="F19" s="154">
        <v>9</v>
      </c>
      <c r="G19" s="118">
        <v>83</v>
      </c>
      <c r="H19" s="154">
        <f t="shared" si="0"/>
        <v>58.450704225352112</v>
      </c>
      <c r="I19" s="154">
        <v>80</v>
      </c>
      <c r="J19" s="41" t="s">
        <v>88</v>
      </c>
      <c r="K19" s="41">
        <f t="shared" si="3"/>
        <v>57.04225352112676</v>
      </c>
      <c r="L19" s="42">
        <f t="shared" si="10"/>
        <v>58.450704225352112</v>
      </c>
      <c r="M19" s="41">
        <f>L19+1.42</f>
        <v>59.870704225352114</v>
      </c>
      <c r="N19" s="43">
        <v>19</v>
      </c>
      <c r="O19" s="44" t="s">
        <v>100</v>
      </c>
      <c r="P19" s="44">
        <v>16.7</v>
      </c>
      <c r="Q19" s="157">
        <v>141</v>
      </c>
      <c r="R19" s="157"/>
      <c r="S19" s="157">
        <v>94300523</v>
      </c>
      <c r="T19" s="45">
        <f t="shared" si="4"/>
        <v>4621</v>
      </c>
      <c r="U19" s="46">
        <f t="shared" si="5"/>
        <v>110.904</v>
      </c>
      <c r="V19" s="46">
        <f t="shared" si="6"/>
        <v>4.6210000000000004</v>
      </c>
      <c r="W19" s="96">
        <v>9.5</v>
      </c>
      <c r="X19" s="96">
        <f t="shared" si="1"/>
        <v>9.5</v>
      </c>
      <c r="Y19" s="97" t="s">
        <v>138</v>
      </c>
      <c r="Z19" s="158">
        <v>0</v>
      </c>
      <c r="AA19" s="158">
        <v>0</v>
      </c>
      <c r="AB19" s="158">
        <v>1187</v>
      </c>
      <c r="AC19" s="158">
        <v>1185</v>
      </c>
      <c r="AD19" s="158">
        <v>0</v>
      </c>
      <c r="AE19" s="158">
        <v>1185</v>
      </c>
      <c r="AF19" s="47" t="s">
        <v>90</v>
      </c>
      <c r="AG19" s="47" t="s">
        <v>90</v>
      </c>
      <c r="AH19" s="98" t="s">
        <v>90</v>
      </c>
      <c r="AI19" s="103">
        <v>15692640</v>
      </c>
      <c r="AJ19" s="45">
        <f t="shared" si="7"/>
        <v>953</v>
      </c>
      <c r="AK19" s="48">
        <f t="shared" si="8"/>
        <v>206.2324172257087</v>
      </c>
      <c r="AL19" s="155">
        <v>0</v>
      </c>
      <c r="AM19" s="155">
        <v>0</v>
      </c>
      <c r="AN19" s="155">
        <v>1</v>
      </c>
      <c r="AO19" s="155">
        <v>1</v>
      </c>
      <c r="AP19" s="155">
        <v>0</v>
      </c>
      <c r="AQ19" s="155">
        <v>1</v>
      </c>
      <c r="AR19" s="155">
        <v>0</v>
      </c>
      <c r="AS19" s="158"/>
      <c r="AT19" s="158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57">
        <v>43233</v>
      </c>
      <c r="B20" s="40">
        <v>2.2916666666666701</v>
      </c>
      <c r="C20" s="40">
        <v>0.33333333333333298</v>
      </c>
      <c r="D20" s="156">
        <v>3</v>
      </c>
      <c r="E20" s="154">
        <f t="shared" si="2"/>
        <v>2.1126760563380285</v>
      </c>
      <c r="F20" s="154">
        <v>9</v>
      </c>
      <c r="G20" s="118">
        <v>80</v>
      </c>
      <c r="H20" s="154">
        <f t="shared" si="0"/>
        <v>56.338028169014088</v>
      </c>
      <c r="I20" s="154">
        <v>78</v>
      </c>
      <c r="J20" s="41" t="s">
        <v>88</v>
      </c>
      <c r="K20" s="41">
        <f t="shared" si="3"/>
        <v>54.929577464788736</v>
      </c>
      <c r="L20" s="42">
        <f t="shared" si="10"/>
        <v>56.338028169014088</v>
      </c>
      <c r="M20" s="41">
        <f t="shared" ref="M20:M24" si="11">L20+1.42</f>
        <v>57.758028169014089</v>
      </c>
      <c r="N20" s="43">
        <v>19</v>
      </c>
      <c r="O20" s="44" t="s">
        <v>100</v>
      </c>
      <c r="P20" s="44">
        <v>17.3</v>
      </c>
      <c r="Q20" s="157">
        <v>132</v>
      </c>
      <c r="R20" s="157"/>
      <c r="S20" s="157">
        <v>94305635</v>
      </c>
      <c r="T20" s="45">
        <f t="shared" si="4"/>
        <v>5112</v>
      </c>
      <c r="U20" s="46">
        <f>T20*24/1000</f>
        <v>122.688</v>
      </c>
      <c r="V20" s="46">
        <f t="shared" si="6"/>
        <v>5.1120000000000001</v>
      </c>
      <c r="W20" s="96">
        <v>9.5</v>
      </c>
      <c r="X20" s="96">
        <f t="shared" si="1"/>
        <v>9.5</v>
      </c>
      <c r="Y20" s="97" t="s">
        <v>169</v>
      </c>
      <c r="Z20" s="158">
        <v>1027</v>
      </c>
      <c r="AA20" s="158">
        <v>0</v>
      </c>
      <c r="AB20" s="158">
        <v>1187</v>
      </c>
      <c r="AC20" s="158">
        <v>1185</v>
      </c>
      <c r="AD20" s="158">
        <v>0</v>
      </c>
      <c r="AE20" s="158">
        <v>1185</v>
      </c>
      <c r="AF20" s="47" t="s">
        <v>90</v>
      </c>
      <c r="AG20" s="47" t="s">
        <v>90</v>
      </c>
      <c r="AH20" s="98" t="s">
        <v>90</v>
      </c>
      <c r="AI20" s="103">
        <v>15693736</v>
      </c>
      <c r="AJ20" s="45">
        <f t="shared" si="7"/>
        <v>1096</v>
      </c>
      <c r="AK20" s="48">
        <f t="shared" si="8"/>
        <v>214.39749608763694</v>
      </c>
      <c r="AL20" s="155">
        <v>1</v>
      </c>
      <c r="AM20" s="155">
        <v>0</v>
      </c>
      <c r="AN20" s="155">
        <v>1</v>
      </c>
      <c r="AO20" s="155">
        <v>1</v>
      </c>
      <c r="AP20" s="155">
        <v>0</v>
      </c>
      <c r="AQ20" s="155">
        <v>1</v>
      </c>
      <c r="AR20" s="155">
        <v>0</v>
      </c>
      <c r="AS20" s="158"/>
      <c r="AT20" s="158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357">
        <v>43233</v>
      </c>
      <c r="B21" s="40">
        <v>2.3333333333333299</v>
      </c>
      <c r="C21" s="40">
        <v>0.375</v>
      </c>
      <c r="D21" s="156">
        <v>3</v>
      </c>
      <c r="E21" s="154">
        <f t="shared" si="2"/>
        <v>2.1126760563380285</v>
      </c>
      <c r="F21" s="154">
        <v>7</v>
      </c>
      <c r="G21" s="118">
        <v>78</v>
      </c>
      <c r="H21" s="154">
        <f t="shared" si="0"/>
        <v>54.929577464788736</v>
      </c>
      <c r="I21" s="154">
        <v>76</v>
      </c>
      <c r="J21" s="41" t="s">
        <v>88</v>
      </c>
      <c r="K21" s="41">
        <f t="shared" si="3"/>
        <v>53.521126760563384</v>
      </c>
      <c r="L21" s="42">
        <f t="shared" si="10"/>
        <v>54.929577464788736</v>
      </c>
      <c r="M21" s="41">
        <f t="shared" si="11"/>
        <v>56.349577464788737</v>
      </c>
      <c r="N21" s="43">
        <v>19</v>
      </c>
      <c r="O21" s="44" t="s">
        <v>100</v>
      </c>
      <c r="P21" s="44">
        <v>18.399999999999999</v>
      </c>
      <c r="Q21" s="157">
        <v>131</v>
      </c>
      <c r="R21" s="157"/>
      <c r="S21" s="157">
        <v>94310390</v>
      </c>
      <c r="T21" s="45">
        <f t="shared" si="4"/>
        <v>4755</v>
      </c>
      <c r="U21" s="46">
        <f t="shared" si="5"/>
        <v>114.12</v>
      </c>
      <c r="V21" s="46">
        <f t="shared" si="6"/>
        <v>4.7549999999999999</v>
      </c>
      <c r="W21" s="96">
        <v>9</v>
      </c>
      <c r="X21" s="96">
        <f t="shared" si="1"/>
        <v>9</v>
      </c>
      <c r="Y21" s="97" t="s">
        <v>169</v>
      </c>
      <c r="Z21" s="158">
        <v>1026</v>
      </c>
      <c r="AA21" s="158">
        <v>0</v>
      </c>
      <c r="AB21" s="158">
        <v>1187</v>
      </c>
      <c r="AC21" s="158">
        <v>1185</v>
      </c>
      <c r="AD21" s="158">
        <v>0</v>
      </c>
      <c r="AE21" s="158">
        <v>1185</v>
      </c>
      <c r="AF21" s="47" t="s">
        <v>90</v>
      </c>
      <c r="AG21" s="47" t="s">
        <v>90</v>
      </c>
      <c r="AH21" s="98" t="s">
        <v>90</v>
      </c>
      <c r="AI21" s="103">
        <v>15694937</v>
      </c>
      <c r="AJ21" s="45">
        <f t="shared" si="7"/>
        <v>1201</v>
      </c>
      <c r="AK21" s="48">
        <f t="shared" si="8"/>
        <v>252.57623554153523</v>
      </c>
      <c r="AL21" s="155">
        <v>1</v>
      </c>
      <c r="AM21" s="155">
        <v>0</v>
      </c>
      <c r="AN21" s="155">
        <v>1</v>
      </c>
      <c r="AO21" s="155">
        <v>1</v>
      </c>
      <c r="AP21" s="155">
        <v>0</v>
      </c>
      <c r="AQ21" s="155">
        <v>1</v>
      </c>
      <c r="AR21" s="155">
        <v>0</v>
      </c>
      <c r="AS21" s="158"/>
      <c r="AT21" s="158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205</v>
      </c>
    </row>
    <row r="22" spans="1:54" x14ac:dyDescent="0.35">
      <c r="A22" s="357">
        <v>43233</v>
      </c>
      <c r="B22" s="40">
        <v>2.375</v>
      </c>
      <c r="C22" s="40">
        <v>0.41666666666666669</v>
      </c>
      <c r="D22" s="156">
        <v>3</v>
      </c>
      <c r="E22" s="154">
        <f t="shared" si="2"/>
        <v>2.1126760563380285</v>
      </c>
      <c r="F22" s="154">
        <v>7</v>
      </c>
      <c r="G22" s="118">
        <v>78</v>
      </c>
      <c r="H22" s="154">
        <f t="shared" si="0"/>
        <v>54.929577464788736</v>
      </c>
      <c r="I22" s="154">
        <v>76</v>
      </c>
      <c r="J22" s="41" t="s">
        <v>88</v>
      </c>
      <c r="K22" s="41">
        <f t="shared" si="3"/>
        <v>53.521126760563384</v>
      </c>
      <c r="L22" s="42">
        <f t="shared" si="10"/>
        <v>54.929577464788736</v>
      </c>
      <c r="M22" s="41">
        <f t="shared" si="11"/>
        <v>56.349577464788737</v>
      </c>
      <c r="N22" s="43">
        <v>19</v>
      </c>
      <c r="O22" s="44" t="s">
        <v>100</v>
      </c>
      <c r="P22" s="44">
        <v>17.7</v>
      </c>
      <c r="Q22" s="157">
        <v>132</v>
      </c>
      <c r="R22" s="157"/>
      <c r="S22" s="157">
        <v>94314788</v>
      </c>
      <c r="T22" s="45">
        <f t="shared" si="4"/>
        <v>4398</v>
      </c>
      <c r="U22" s="46">
        <f t="shared" si="5"/>
        <v>105.55200000000001</v>
      </c>
      <c r="V22" s="46">
        <f t="shared" si="6"/>
        <v>4.3979999999999997</v>
      </c>
      <c r="W22" s="96">
        <v>8.4</v>
      </c>
      <c r="X22" s="96">
        <f t="shared" si="1"/>
        <v>8.4</v>
      </c>
      <c r="Y22" s="97" t="s">
        <v>169</v>
      </c>
      <c r="Z22" s="158">
        <v>1027</v>
      </c>
      <c r="AA22" s="158">
        <v>0</v>
      </c>
      <c r="AB22" s="158">
        <v>1187</v>
      </c>
      <c r="AC22" s="158">
        <v>1185</v>
      </c>
      <c r="AD22" s="158">
        <v>0</v>
      </c>
      <c r="AE22" s="158">
        <v>1185</v>
      </c>
      <c r="AF22" s="47" t="s">
        <v>90</v>
      </c>
      <c r="AG22" s="47" t="s">
        <v>90</v>
      </c>
      <c r="AH22" s="98" t="s">
        <v>90</v>
      </c>
      <c r="AI22" s="103">
        <v>15696135</v>
      </c>
      <c r="AJ22" s="45">
        <f t="shared" si="7"/>
        <v>1198</v>
      </c>
      <c r="AK22" s="48">
        <f t="shared" si="8"/>
        <v>272.39654388358349</v>
      </c>
      <c r="AL22" s="155">
        <v>1</v>
      </c>
      <c r="AM22" s="155">
        <v>0</v>
      </c>
      <c r="AN22" s="155">
        <v>1</v>
      </c>
      <c r="AO22" s="155">
        <v>1</v>
      </c>
      <c r="AP22" s="155">
        <v>0</v>
      </c>
      <c r="AQ22" s="155">
        <v>1</v>
      </c>
      <c r="AR22" s="155">
        <v>0</v>
      </c>
      <c r="AS22" s="158"/>
      <c r="AT22" s="158">
        <f t="shared" si="9"/>
        <v>0</v>
      </c>
      <c r="AU22" s="119">
        <v>1.03</v>
      </c>
      <c r="AV22" s="50" t="s">
        <v>125</v>
      </c>
      <c r="BB22" s="136" t="s">
        <v>157</v>
      </c>
    </row>
    <row r="23" spans="1:54" x14ac:dyDescent="0.35">
      <c r="A23" s="357">
        <v>43233</v>
      </c>
      <c r="B23" s="40">
        <v>2.4166666666666701</v>
      </c>
      <c r="C23" s="40">
        <v>0.45833333333333298</v>
      </c>
      <c r="D23" s="156">
        <v>3</v>
      </c>
      <c r="E23" s="154">
        <f t="shared" si="2"/>
        <v>2.1126760563380285</v>
      </c>
      <c r="F23" s="154">
        <v>5</v>
      </c>
      <c r="G23" s="118">
        <v>78</v>
      </c>
      <c r="H23" s="154">
        <f t="shared" si="0"/>
        <v>54.929577464788736</v>
      </c>
      <c r="I23" s="154">
        <v>76</v>
      </c>
      <c r="J23" s="41" t="s">
        <v>88</v>
      </c>
      <c r="K23" s="41">
        <f t="shared" si="3"/>
        <v>53.521126760563384</v>
      </c>
      <c r="L23" s="42">
        <f t="shared" si="10"/>
        <v>54.929577464788736</v>
      </c>
      <c r="M23" s="41">
        <f t="shared" si="11"/>
        <v>56.349577464788737</v>
      </c>
      <c r="N23" s="43">
        <v>19</v>
      </c>
      <c r="O23" s="44" t="s">
        <v>100</v>
      </c>
      <c r="P23" s="44">
        <v>17.7</v>
      </c>
      <c r="Q23" s="157">
        <v>131</v>
      </c>
      <c r="R23" s="157"/>
      <c r="S23" s="157">
        <v>94319108</v>
      </c>
      <c r="T23" s="45">
        <f t="shared" si="4"/>
        <v>4320</v>
      </c>
      <c r="U23" s="46">
        <f t="shared" si="5"/>
        <v>103.68</v>
      </c>
      <c r="V23" s="46">
        <f t="shared" si="6"/>
        <v>4.32</v>
      </c>
      <c r="W23" s="96">
        <v>7.8</v>
      </c>
      <c r="X23" s="96">
        <f>W23</f>
        <v>7.8</v>
      </c>
      <c r="Y23" s="97" t="s">
        <v>169</v>
      </c>
      <c r="Z23" s="158">
        <v>1028</v>
      </c>
      <c r="AA23" s="158">
        <v>0</v>
      </c>
      <c r="AB23" s="158">
        <v>1187</v>
      </c>
      <c r="AC23" s="158">
        <v>1185</v>
      </c>
      <c r="AD23" s="158">
        <v>0</v>
      </c>
      <c r="AE23" s="158">
        <v>1185</v>
      </c>
      <c r="AF23" s="47" t="s">
        <v>90</v>
      </c>
      <c r="AG23" s="47" t="s">
        <v>90</v>
      </c>
      <c r="AH23" s="98" t="s">
        <v>90</v>
      </c>
      <c r="AI23" s="103">
        <v>15697336</v>
      </c>
      <c r="AJ23" s="45">
        <f t="shared" si="7"/>
        <v>1201</v>
      </c>
      <c r="AK23" s="48">
        <f t="shared" si="8"/>
        <v>278.00925925925924</v>
      </c>
      <c r="AL23" s="155">
        <v>1</v>
      </c>
      <c r="AM23" s="155">
        <v>0</v>
      </c>
      <c r="AN23" s="155">
        <v>1</v>
      </c>
      <c r="AO23" s="155">
        <v>1</v>
      </c>
      <c r="AP23" s="155">
        <v>0</v>
      </c>
      <c r="AQ23" s="155">
        <v>1</v>
      </c>
      <c r="AR23" s="155">
        <v>0</v>
      </c>
      <c r="AS23" s="158"/>
      <c r="AT23" s="158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357">
        <v>43233</v>
      </c>
      <c r="B24" s="40">
        <v>2.4583333333333299</v>
      </c>
      <c r="C24" s="40">
        <v>0.5</v>
      </c>
      <c r="D24" s="156">
        <v>3</v>
      </c>
      <c r="E24" s="154">
        <f t="shared" si="2"/>
        <v>2.1126760563380285</v>
      </c>
      <c r="F24" s="154">
        <v>3</v>
      </c>
      <c r="G24" s="118">
        <v>77</v>
      </c>
      <c r="H24" s="154">
        <f t="shared" si="0"/>
        <v>54.225352112676056</v>
      </c>
      <c r="I24" s="154">
        <v>74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7">
        <v>129</v>
      </c>
      <c r="R24" s="157"/>
      <c r="S24" s="157">
        <v>94323475</v>
      </c>
      <c r="T24" s="45">
        <f t="shared" si="4"/>
        <v>4367</v>
      </c>
      <c r="U24" s="46">
        <f>T24*24/1000</f>
        <v>104.80800000000001</v>
      </c>
      <c r="V24" s="46">
        <f t="shared" si="6"/>
        <v>4.367</v>
      </c>
      <c r="W24" s="96">
        <v>7.2</v>
      </c>
      <c r="X24" s="96">
        <f t="shared" si="1"/>
        <v>7.2</v>
      </c>
      <c r="Y24" s="97" t="s">
        <v>169</v>
      </c>
      <c r="Z24" s="158">
        <v>1026</v>
      </c>
      <c r="AA24" s="158">
        <v>0</v>
      </c>
      <c r="AB24" s="158">
        <v>1187</v>
      </c>
      <c r="AC24" s="158">
        <v>1185</v>
      </c>
      <c r="AD24" s="158">
        <v>0</v>
      </c>
      <c r="AE24" s="158">
        <v>1185</v>
      </c>
      <c r="AF24" s="47" t="s">
        <v>90</v>
      </c>
      <c r="AG24" s="47" t="s">
        <v>90</v>
      </c>
      <c r="AH24" s="98" t="s">
        <v>90</v>
      </c>
      <c r="AI24" s="103">
        <v>15698513</v>
      </c>
      <c r="AJ24" s="45">
        <f t="shared" si="7"/>
        <v>1177</v>
      </c>
      <c r="AK24" s="48">
        <f t="shared" si="8"/>
        <v>269.52141057934512</v>
      </c>
      <c r="AL24" s="155">
        <v>1</v>
      </c>
      <c r="AM24" s="155">
        <v>0</v>
      </c>
      <c r="AN24" s="155">
        <v>1</v>
      </c>
      <c r="AO24" s="155">
        <v>1</v>
      </c>
      <c r="AP24" s="155">
        <v>0</v>
      </c>
      <c r="AQ24" s="155">
        <v>1</v>
      </c>
      <c r="AR24" s="155">
        <v>0</v>
      </c>
      <c r="AS24" s="158"/>
      <c r="AT24" s="158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357">
        <v>43233</v>
      </c>
      <c r="B25" s="40">
        <v>2.5</v>
      </c>
      <c r="C25" s="40">
        <v>0.54166666666666696</v>
      </c>
      <c r="D25" s="156">
        <v>3</v>
      </c>
      <c r="E25" s="154">
        <f t="shared" si="2"/>
        <v>2.1126760563380285</v>
      </c>
      <c r="F25" s="154">
        <v>2</v>
      </c>
      <c r="G25" s="118">
        <v>76</v>
      </c>
      <c r="H25" s="154">
        <f t="shared" si="0"/>
        <v>53.521126760563384</v>
      </c>
      <c r="I25" s="154">
        <v>74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7">
        <v>129</v>
      </c>
      <c r="R25" s="157"/>
      <c r="S25" s="157">
        <v>94327765</v>
      </c>
      <c r="T25" s="45">
        <f t="shared" si="4"/>
        <v>4290</v>
      </c>
      <c r="U25" s="46">
        <f>T25*24/1000</f>
        <v>102.96</v>
      </c>
      <c r="V25" s="46">
        <f t="shared" si="6"/>
        <v>4.29</v>
      </c>
      <c r="W25" s="96">
        <v>6.7</v>
      </c>
      <c r="X25" s="96">
        <f t="shared" si="1"/>
        <v>6.7</v>
      </c>
      <c r="Y25" s="97" t="s">
        <v>169</v>
      </c>
      <c r="Z25" s="158">
        <v>1027</v>
      </c>
      <c r="AA25" s="158">
        <v>0</v>
      </c>
      <c r="AB25" s="158">
        <v>1187</v>
      </c>
      <c r="AC25" s="158">
        <v>1185</v>
      </c>
      <c r="AD25" s="158">
        <v>0</v>
      </c>
      <c r="AE25" s="158">
        <v>1185</v>
      </c>
      <c r="AF25" s="47" t="s">
        <v>90</v>
      </c>
      <c r="AG25" s="47" t="s">
        <v>90</v>
      </c>
      <c r="AH25" s="98" t="s">
        <v>90</v>
      </c>
      <c r="AI25" s="103">
        <v>15699695</v>
      </c>
      <c r="AJ25" s="45">
        <f t="shared" si="7"/>
        <v>1182</v>
      </c>
      <c r="AK25" s="48">
        <f t="shared" si="8"/>
        <v>275.52447552447552</v>
      </c>
      <c r="AL25" s="155">
        <v>1</v>
      </c>
      <c r="AM25" s="155">
        <v>0</v>
      </c>
      <c r="AN25" s="155">
        <v>1</v>
      </c>
      <c r="AO25" s="155">
        <v>1</v>
      </c>
      <c r="AP25" s="155">
        <v>0</v>
      </c>
      <c r="AQ25" s="155">
        <v>1</v>
      </c>
      <c r="AR25" s="155">
        <v>0</v>
      </c>
      <c r="AS25" s="158"/>
      <c r="AT25" s="158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57">
        <v>43233</v>
      </c>
      <c r="B26" s="40">
        <v>2.5416666666666701</v>
      </c>
      <c r="C26" s="40">
        <v>0.58333333333333404</v>
      </c>
      <c r="D26" s="156">
        <v>3</v>
      </c>
      <c r="E26" s="154">
        <f t="shared" si="2"/>
        <v>2.1126760563380285</v>
      </c>
      <c r="F26" s="154">
        <v>2</v>
      </c>
      <c r="G26" s="118">
        <v>76</v>
      </c>
      <c r="H26" s="154">
        <f>G26/1.42</f>
        <v>53.521126760563384</v>
      </c>
      <c r="I26" s="154">
        <v>74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7">
        <v>128</v>
      </c>
      <c r="R26" s="157"/>
      <c r="S26" s="157">
        <v>94332004</v>
      </c>
      <c r="T26" s="45">
        <f t="shared" si="4"/>
        <v>4239</v>
      </c>
      <c r="U26" s="46">
        <f t="shared" si="5"/>
        <v>101.736</v>
      </c>
      <c r="V26" s="46">
        <f t="shared" si="6"/>
        <v>4.2389999999999999</v>
      </c>
      <c r="W26" s="96">
        <v>6.1</v>
      </c>
      <c r="X26" s="96">
        <f t="shared" si="1"/>
        <v>6.1</v>
      </c>
      <c r="Y26" s="97" t="s">
        <v>169</v>
      </c>
      <c r="Z26" s="158">
        <v>1026</v>
      </c>
      <c r="AA26" s="158">
        <v>0</v>
      </c>
      <c r="AB26" s="158">
        <v>1187</v>
      </c>
      <c r="AC26" s="158">
        <v>1185</v>
      </c>
      <c r="AD26" s="158">
        <v>0</v>
      </c>
      <c r="AE26" s="158">
        <v>1185</v>
      </c>
      <c r="AF26" s="47" t="s">
        <v>90</v>
      </c>
      <c r="AG26" s="47" t="s">
        <v>90</v>
      </c>
      <c r="AH26" s="98" t="s">
        <v>90</v>
      </c>
      <c r="AI26" s="103">
        <v>15700852</v>
      </c>
      <c r="AJ26" s="45">
        <f t="shared" si="7"/>
        <v>1157</v>
      </c>
      <c r="AK26" s="48">
        <f t="shared" si="8"/>
        <v>272.94173154045768</v>
      </c>
      <c r="AL26" s="155">
        <v>1</v>
      </c>
      <c r="AM26" s="155">
        <v>0</v>
      </c>
      <c r="AN26" s="155">
        <v>1</v>
      </c>
      <c r="AO26" s="155">
        <v>1</v>
      </c>
      <c r="AP26" s="155">
        <v>0</v>
      </c>
      <c r="AQ26" s="155">
        <v>1</v>
      </c>
      <c r="AR26" s="155">
        <v>0</v>
      </c>
      <c r="AS26" s="158"/>
      <c r="AT26" s="158">
        <f t="shared" si="9"/>
        <v>0</v>
      </c>
      <c r="AU26" s="119">
        <v>1.0900000000000001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57">
        <v>43233</v>
      </c>
      <c r="B27" s="40">
        <v>2.5833333333333299</v>
      </c>
      <c r="C27" s="40">
        <v>0.625</v>
      </c>
      <c r="D27" s="156">
        <v>3</v>
      </c>
      <c r="E27" s="154">
        <f t="shared" si="2"/>
        <v>2.1126760563380285</v>
      </c>
      <c r="F27" s="154">
        <v>1</v>
      </c>
      <c r="G27" s="118">
        <v>76</v>
      </c>
      <c r="H27" s="154">
        <f>G27/1.42</f>
        <v>53.521126760563384</v>
      </c>
      <c r="I27" s="154">
        <v>74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7">
        <v>130</v>
      </c>
      <c r="R27" s="157"/>
      <c r="S27" s="157">
        <v>94336626</v>
      </c>
      <c r="T27" s="45">
        <f t="shared" si="4"/>
        <v>4622</v>
      </c>
      <c r="U27" s="46">
        <f t="shared" si="5"/>
        <v>110.928</v>
      </c>
      <c r="V27" s="46">
        <f t="shared" si="6"/>
        <v>4.6219999999999999</v>
      </c>
      <c r="W27" s="96">
        <v>5.7</v>
      </c>
      <c r="X27" s="96">
        <f t="shared" si="1"/>
        <v>5.7</v>
      </c>
      <c r="Y27" s="97" t="s">
        <v>169</v>
      </c>
      <c r="Z27" s="158">
        <v>1027</v>
      </c>
      <c r="AA27" s="158">
        <v>0</v>
      </c>
      <c r="AB27" s="158">
        <v>1186</v>
      </c>
      <c r="AC27" s="158">
        <v>1185</v>
      </c>
      <c r="AD27" s="158">
        <v>0</v>
      </c>
      <c r="AE27" s="158">
        <v>1185</v>
      </c>
      <c r="AF27" s="47" t="s">
        <v>90</v>
      </c>
      <c r="AG27" s="47" t="s">
        <v>90</v>
      </c>
      <c r="AH27" s="98" t="s">
        <v>90</v>
      </c>
      <c r="AI27" s="103">
        <v>15702048</v>
      </c>
      <c r="AJ27" s="45">
        <f t="shared" si="7"/>
        <v>1196</v>
      </c>
      <c r="AK27" s="48">
        <f t="shared" si="8"/>
        <v>258.7624405019472</v>
      </c>
      <c r="AL27" s="155">
        <v>1</v>
      </c>
      <c r="AM27" s="155">
        <v>0</v>
      </c>
      <c r="AN27" s="155">
        <v>1</v>
      </c>
      <c r="AO27" s="155">
        <v>1</v>
      </c>
      <c r="AP27" s="155">
        <v>0</v>
      </c>
      <c r="AQ27" s="155">
        <v>1</v>
      </c>
      <c r="AR27" s="155">
        <v>0</v>
      </c>
      <c r="AS27" s="158"/>
      <c r="AT27" s="158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57">
        <v>43233</v>
      </c>
      <c r="B28" s="40">
        <v>2.625</v>
      </c>
      <c r="C28" s="40">
        <v>0.66666666666666696</v>
      </c>
      <c r="D28" s="156">
        <v>3</v>
      </c>
      <c r="E28" s="154">
        <f t="shared" si="2"/>
        <v>2.1126760563380285</v>
      </c>
      <c r="F28" s="154">
        <v>0</v>
      </c>
      <c r="G28" s="118">
        <v>77</v>
      </c>
      <c r="H28" s="154">
        <f t="shared" si="0"/>
        <v>54.225352112676056</v>
      </c>
      <c r="I28" s="154">
        <v>75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7">
        <v>131</v>
      </c>
      <c r="R28" s="157"/>
      <c r="S28" s="157">
        <v>94341244</v>
      </c>
      <c r="T28" s="45">
        <f t="shared" si="4"/>
        <v>4618</v>
      </c>
      <c r="U28" s="46">
        <f t="shared" si="5"/>
        <v>110.83199999999999</v>
      </c>
      <c r="V28" s="46">
        <f t="shared" si="6"/>
        <v>4.6180000000000003</v>
      </c>
      <c r="W28" s="96">
        <v>5.2</v>
      </c>
      <c r="X28" s="96">
        <f t="shared" si="1"/>
        <v>5.2</v>
      </c>
      <c r="Y28" s="97" t="s">
        <v>169</v>
      </c>
      <c r="Z28" s="158">
        <v>1025</v>
      </c>
      <c r="AA28" s="158">
        <v>0</v>
      </c>
      <c r="AB28" s="158">
        <v>1187</v>
      </c>
      <c r="AC28" s="158">
        <v>1185</v>
      </c>
      <c r="AD28" s="158">
        <v>0</v>
      </c>
      <c r="AE28" s="158">
        <v>1185</v>
      </c>
      <c r="AF28" s="47" t="s">
        <v>90</v>
      </c>
      <c r="AG28" s="47" t="s">
        <v>90</v>
      </c>
      <c r="AH28" s="98" t="s">
        <v>90</v>
      </c>
      <c r="AI28" s="103">
        <v>15703220</v>
      </c>
      <c r="AJ28" s="45">
        <f>IF(ISBLANK(AI28),"-",AI28-AI27)</f>
        <v>1172</v>
      </c>
      <c r="AK28" s="48">
        <f t="shared" si="8"/>
        <v>253.78951927241229</v>
      </c>
      <c r="AL28" s="155">
        <v>1</v>
      </c>
      <c r="AM28" s="155">
        <v>0</v>
      </c>
      <c r="AN28" s="155">
        <v>1</v>
      </c>
      <c r="AO28" s="155">
        <v>1</v>
      </c>
      <c r="AP28" s="155">
        <v>0</v>
      </c>
      <c r="AQ28" s="155">
        <v>1</v>
      </c>
      <c r="AR28" s="155">
        <v>0</v>
      </c>
      <c r="AS28" s="158"/>
      <c r="AT28" s="158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357">
        <v>43233</v>
      </c>
      <c r="B29" s="40">
        <v>2.6666666666666701</v>
      </c>
      <c r="C29" s="40">
        <v>0.70833333333333404</v>
      </c>
      <c r="D29" s="156">
        <v>3</v>
      </c>
      <c r="E29" s="154">
        <f t="shared" si="2"/>
        <v>2.1126760563380285</v>
      </c>
      <c r="F29" s="154">
        <v>-1</v>
      </c>
      <c r="G29" s="118">
        <v>76</v>
      </c>
      <c r="H29" s="154">
        <f t="shared" si="0"/>
        <v>53.521126760563384</v>
      </c>
      <c r="I29" s="154">
        <v>73</v>
      </c>
      <c r="J29" s="41" t="s">
        <v>88</v>
      </c>
      <c r="K29" s="41">
        <f t="shared" si="3"/>
        <v>50</v>
      </c>
      <c r="L29" s="42">
        <f t="shared" ref="L29:L34" si="13">(G29-3)/1.42</f>
        <v>51.408450704225352</v>
      </c>
      <c r="M29" s="41">
        <f t="shared" si="12"/>
        <v>55.633802816901408</v>
      </c>
      <c r="N29" s="43">
        <v>18</v>
      </c>
      <c r="O29" s="44" t="s">
        <v>100</v>
      </c>
      <c r="P29" s="44">
        <v>16.7</v>
      </c>
      <c r="Q29" s="157">
        <v>129</v>
      </c>
      <c r="R29" s="157"/>
      <c r="S29" s="157">
        <v>94345842</v>
      </c>
      <c r="T29" s="45">
        <f t="shared" si="4"/>
        <v>4598</v>
      </c>
      <c r="U29" s="46">
        <f t="shared" si="5"/>
        <v>110.352</v>
      </c>
      <c r="V29" s="46">
        <f t="shared" si="6"/>
        <v>4.5979999999999999</v>
      </c>
      <c r="W29" s="96">
        <v>4.7</v>
      </c>
      <c r="X29" s="96">
        <f t="shared" si="1"/>
        <v>4.7</v>
      </c>
      <c r="Y29" s="97" t="s">
        <v>169</v>
      </c>
      <c r="Z29" s="158">
        <v>1026</v>
      </c>
      <c r="AA29" s="158">
        <v>0</v>
      </c>
      <c r="AB29" s="158">
        <v>1187</v>
      </c>
      <c r="AC29" s="158">
        <v>1185</v>
      </c>
      <c r="AD29" s="158">
        <v>0</v>
      </c>
      <c r="AE29" s="158">
        <v>1185</v>
      </c>
      <c r="AF29" s="47" t="s">
        <v>90</v>
      </c>
      <c r="AG29" s="47" t="s">
        <v>90</v>
      </c>
      <c r="AH29" s="98" t="s">
        <v>90</v>
      </c>
      <c r="AI29" s="103">
        <v>15704394</v>
      </c>
      <c r="AJ29" s="45">
        <f t="shared" si="7"/>
        <v>1174</v>
      </c>
      <c r="AK29" s="48">
        <f>AJ28/V29</f>
        <v>254.89343192692476</v>
      </c>
      <c r="AL29" s="155">
        <v>1</v>
      </c>
      <c r="AM29" s="155">
        <v>0</v>
      </c>
      <c r="AN29" s="155">
        <v>1</v>
      </c>
      <c r="AO29" s="155">
        <v>1</v>
      </c>
      <c r="AP29" s="155">
        <v>0</v>
      </c>
      <c r="AQ29" s="155">
        <v>1</v>
      </c>
      <c r="AR29" s="155">
        <v>0</v>
      </c>
      <c r="AS29" s="158"/>
      <c r="AT29" s="158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357">
        <v>43233</v>
      </c>
      <c r="B30" s="40">
        <v>2.7083333333333299</v>
      </c>
      <c r="C30" s="40">
        <v>0.750000000000002</v>
      </c>
      <c r="D30" s="156">
        <v>3</v>
      </c>
      <c r="E30" s="154">
        <f t="shared" si="2"/>
        <v>2.1126760563380285</v>
      </c>
      <c r="F30" s="154">
        <v>-2</v>
      </c>
      <c r="G30" s="118">
        <v>76</v>
      </c>
      <c r="H30" s="154">
        <f t="shared" si="0"/>
        <v>53.521126760563384</v>
      </c>
      <c r="I30" s="154">
        <v>74</v>
      </c>
      <c r="J30" s="41" t="s">
        <v>88</v>
      </c>
      <c r="K30" s="41">
        <f t="shared" si="3"/>
        <v>50</v>
      </c>
      <c r="L30" s="42">
        <f t="shared" si="13"/>
        <v>51.408450704225352</v>
      </c>
      <c r="M30" s="41">
        <f t="shared" si="12"/>
        <v>55.633802816901408</v>
      </c>
      <c r="N30" s="43">
        <v>18</v>
      </c>
      <c r="O30" s="44" t="s">
        <v>100</v>
      </c>
      <c r="P30" s="44">
        <v>16.7</v>
      </c>
      <c r="Q30" s="157">
        <v>130</v>
      </c>
      <c r="R30" s="157"/>
      <c r="S30" s="157">
        <v>94350628</v>
      </c>
      <c r="T30" s="45">
        <f t="shared" si="4"/>
        <v>4786</v>
      </c>
      <c r="U30" s="46">
        <f t="shared" si="5"/>
        <v>114.864</v>
      </c>
      <c r="V30" s="46">
        <f t="shared" si="6"/>
        <v>4.7859999999999996</v>
      </c>
      <c r="W30" s="96">
        <v>4.3</v>
      </c>
      <c r="X30" s="96">
        <f t="shared" si="1"/>
        <v>4.3</v>
      </c>
      <c r="Y30" s="97" t="s">
        <v>169</v>
      </c>
      <c r="Z30" s="158">
        <v>1025</v>
      </c>
      <c r="AA30" s="158">
        <v>0</v>
      </c>
      <c r="AB30" s="158">
        <v>1186</v>
      </c>
      <c r="AC30" s="158">
        <v>1185</v>
      </c>
      <c r="AD30" s="158">
        <v>0</v>
      </c>
      <c r="AE30" s="158">
        <v>1185</v>
      </c>
      <c r="AF30" s="47" t="s">
        <v>90</v>
      </c>
      <c r="AG30" s="47" t="s">
        <v>90</v>
      </c>
      <c r="AH30" s="98" t="s">
        <v>90</v>
      </c>
      <c r="AI30" s="103">
        <v>15705588</v>
      </c>
      <c r="AJ30" s="45">
        <f t="shared" si="7"/>
        <v>1194</v>
      </c>
      <c r="AK30" s="48">
        <f>AJ29/V30</f>
        <v>245.29878813205184</v>
      </c>
      <c r="AL30" s="155">
        <v>1</v>
      </c>
      <c r="AM30" s="155">
        <v>0</v>
      </c>
      <c r="AN30" s="155">
        <v>1</v>
      </c>
      <c r="AO30" s="155">
        <v>1</v>
      </c>
      <c r="AP30" s="155">
        <v>0</v>
      </c>
      <c r="AQ30" s="155">
        <v>1</v>
      </c>
      <c r="AR30" s="155">
        <v>0</v>
      </c>
      <c r="AS30" s="158"/>
      <c r="AT30" s="158">
        <f t="shared" si="9"/>
        <v>0</v>
      </c>
      <c r="AU30" s="159">
        <v>0.99</v>
      </c>
      <c r="AV30" s="50" t="s">
        <v>124</v>
      </c>
      <c r="AY30" s="55" t="s">
        <v>114</v>
      </c>
      <c r="AZ30" s="55">
        <v>101.325</v>
      </c>
      <c r="BB30" s="74" t="s">
        <v>143</v>
      </c>
    </row>
    <row r="31" spans="1:54" x14ac:dyDescent="0.35">
      <c r="A31" s="357">
        <v>43233</v>
      </c>
      <c r="B31" s="40">
        <v>2.75</v>
      </c>
      <c r="C31" s="40">
        <v>0.79166666666666896</v>
      </c>
      <c r="D31" s="156">
        <v>3</v>
      </c>
      <c r="E31" s="154">
        <f t="shared" si="2"/>
        <v>2.1126760563380285</v>
      </c>
      <c r="F31" s="154">
        <v>-3</v>
      </c>
      <c r="G31" s="118">
        <v>76</v>
      </c>
      <c r="H31" s="154">
        <f t="shared" si="0"/>
        <v>53.521126760563384</v>
      </c>
      <c r="I31" s="154">
        <v>74</v>
      </c>
      <c r="J31" s="41" t="s">
        <v>88</v>
      </c>
      <c r="K31" s="41">
        <f t="shared" si="3"/>
        <v>50</v>
      </c>
      <c r="L31" s="42">
        <f t="shared" si="13"/>
        <v>51.408450704225352</v>
      </c>
      <c r="M31" s="41">
        <f t="shared" si="12"/>
        <v>55.633802816901408</v>
      </c>
      <c r="N31" s="43">
        <v>18</v>
      </c>
      <c r="O31" s="44" t="s">
        <v>100</v>
      </c>
      <c r="P31" s="44">
        <v>16.600000000000001</v>
      </c>
      <c r="Q31" s="157">
        <v>131</v>
      </c>
      <c r="R31" s="157"/>
      <c r="S31" s="157">
        <v>94355330</v>
      </c>
      <c r="T31" s="45">
        <f t="shared" si="4"/>
        <v>4702</v>
      </c>
      <c r="U31" s="46">
        <f t="shared" si="5"/>
        <v>112.848</v>
      </c>
      <c r="V31" s="46">
        <f t="shared" si="6"/>
        <v>4.702</v>
      </c>
      <c r="W31" s="96">
        <v>3.8</v>
      </c>
      <c r="X31" s="96">
        <f t="shared" si="1"/>
        <v>3.8</v>
      </c>
      <c r="Y31" s="97" t="s">
        <v>169</v>
      </c>
      <c r="Z31" s="158">
        <v>1025</v>
      </c>
      <c r="AA31" s="158">
        <v>0</v>
      </c>
      <c r="AB31" s="158">
        <v>1187</v>
      </c>
      <c r="AC31" s="158">
        <v>1185</v>
      </c>
      <c r="AD31" s="158">
        <v>0</v>
      </c>
      <c r="AE31" s="158">
        <v>1185</v>
      </c>
      <c r="AF31" s="47" t="s">
        <v>90</v>
      </c>
      <c r="AG31" s="47" t="s">
        <v>90</v>
      </c>
      <c r="AH31" s="98" t="s">
        <v>90</v>
      </c>
      <c r="AI31" s="103">
        <v>15706732</v>
      </c>
      <c r="AJ31" s="45">
        <f t="shared" si="7"/>
        <v>1144</v>
      </c>
      <c r="AK31" s="48">
        <f t="shared" si="8"/>
        <v>243.30072309655466</v>
      </c>
      <c r="AL31" s="155">
        <v>1</v>
      </c>
      <c r="AM31" s="155">
        <v>0</v>
      </c>
      <c r="AN31" s="155">
        <v>1</v>
      </c>
      <c r="AO31" s="155">
        <v>1</v>
      </c>
      <c r="AP31" s="155">
        <v>0</v>
      </c>
      <c r="AQ31" s="155">
        <v>1</v>
      </c>
      <c r="AR31" s="155">
        <v>0</v>
      </c>
      <c r="AS31" s="158"/>
      <c r="AT31" s="158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357">
        <v>43233</v>
      </c>
      <c r="B32" s="40">
        <v>2.7916666666666701</v>
      </c>
      <c r="C32" s="40">
        <v>0.83333333333333703</v>
      </c>
      <c r="D32" s="156">
        <v>3</v>
      </c>
      <c r="E32" s="154">
        <f t="shared" si="2"/>
        <v>2.1126760563380285</v>
      </c>
      <c r="F32" s="154">
        <v>-4</v>
      </c>
      <c r="G32" s="118">
        <v>77</v>
      </c>
      <c r="H32" s="154">
        <f t="shared" si="0"/>
        <v>54.225352112676056</v>
      </c>
      <c r="I32" s="154">
        <v>75</v>
      </c>
      <c r="J32" s="41" t="s">
        <v>88</v>
      </c>
      <c r="K32" s="41">
        <f t="shared" si="3"/>
        <v>50.70422535211268</v>
      </c>
      <c r="L32" s="42">
        <f t="shared" si="13"/>
        <v>52.112676056338032</v>
      </c>
      <c r="M32" s="41">
        <f t="shared" si="12"/>
        <v>56.338028169014088</v>
      </c>
      <c r="N32" s="43">
        <v>18</v>
      </c>
      <c r="O32" s="44" t="s">
        <v>100</v>
      </c>
      <c r="P32" s="44">
        <v>16.600000000000001</v>
      </c>
      <c r="Q32" s="157">
        <v>128</v>
      </c>
      <c r="R32" s="157"/>
      <c r="S32" s="157">
        <v>94360204</v>
      </c>
      <c r="T32" s="45">
        <f t="shared" si="4"/>
        <v>4874</v>
      </c>
      <c r="U32" s="46">
        <f t="shared" si="5"/>
        <v>116.976</v>
      </c>
      <c r="V32" s="46">
        <f t="shared" si="6"/>
        <v>4.8739999999999997</v>
      </c>
      <c r="W32" s="96">
        <v>3.3</v>
      </c>
      <c r="X32" s="96">
        <f t="shared" si="1"/>
        <v>3.3</v>
      </c>
      <c r="Y32" s="97" t="s">
        <v>169</v>
      </c>
      <c r="Z32" s="158">
        <v>1036</v>
      </c>
      <c r="AA32" s="158">
        <v>0</v>
      </c>
      <c r="AB32" s="158">
        <v>1187</v>
      </c>
      <c r="AC32" s="158">
        <v>1185</v>
      </c>
      <c r="AD32" s="158">
        <v>0</v>
      </c>
      <c r="AE32" s="158">
        <v>1185</v>
      </c>
      <c r="AF32" s="47" t="s">
        <v>90</v>
      </c>
      <c r="AG32" s="47" t="s">
        <v>90</v>
      </c>
      <c r="AH32" s="98" t="s">
        <v>90</v>
      </c>
      <c r="AI32" s="103">
        <v>15707915</v>
      </c>
      <c r="AJ32" s="45">
        <f t="shared" si="7"/>
        <v>1183</v>
      </c>
      <c r="AK32" s="48">
        <f t="shared" si="8"/>
        <v>242.71645465736563</v>
      </c>
      <c r="AL32" s="155">
        <v>1</v>
      </c>
      <c r="AM32" s="155">
        <v>0</v>
      </c>
      <c r="AN32" s="155">
        <v>1</v>
      </c>
      <c r="AO32" s="155">
        <v>1</v>
      </c>
      <c r="AP32" s="155">
        <v>0</v>
      </c>
      <c r="AQ32" s="155">
        <v>1</v>
      </c>
      <c r="AR32" s="155">
        <v>0</v>
      </c>
      <c r="AS32" s="158"/>
      <c r="AT32" s="158">
        <v>0</v>
      </c>
      <c r="AU32" s="49"/>
      <c r="AV32" s="50" t="s">
        <v>124</v>
      </c>
      <c r="AY32" s="308" t="s">
        <v>115</v>
      </c>
      <c r="AZ32" s="308"/>
      <c r="BB32" s="74" t="s">
        <v>156</v>
      </c>
    </row>
    <row r="33" spans="1:54" x14ac:dyDescent="0.35">
      <c r="A33" s="357">
        <v>43233</v>
      </c>
      <c r="B33" s="40">
        <v>2.8333333333333299</v>
      </c>
      <c r="C33" s="40">
        <v>0.875</v>
      </c>
      <c r="D33" s="156">
        <v>3</v>
      </c>
      <c r="E33" s="154">
        <f t="shared" si="2"/>
        <v>2.1126760563380285</v>
      </c>
      <c r="F33" s="154">
        <v>-3</v>
      </c>
      <c r="G33" s="118">
        <v>77</v>
      </c>
      <c r="H33" s="154">
        <f t="shared" si="0"/>
        <v>54.225352112676056</v>
      </c>
      <c r="I33" s="154">
        <v>75</v>
      </c>
      <c r="J33" s="41" t="s">
        <v>88</v>
      </c>
      <c r="K33" s="41">
        <f t="shared" si="3"/>
        <v>50.70422535211268</v>
      </c>
      <c r="L33" s="42">
        <f t="shared" si="13"/>
        <v>52.112676056338032</v>
      </c>
      <c r="M33" s="41">
        <f t="shared" si="12"/>
        <v>56.338028169014088</v>
      </c>
      <c r="N33" s="43">
        <v>18</v>
      </c>
      <c r="O33" s="44" t="s">
        <v>100</v>
      </c>
      <c r="P33" s="44">
        <v>16.100000000000001</v>
      </c>
      <c r="Q33" s="157">
        <v>127</v>
      </c>
      <c r="R33" s="157"/>
      <c r="S33" s="157">
        <v>94365055</v>
      </c>
      <c r="T33" s="45">
        <f t="shared" si="4"/>
        <v>4851</v>
      </c>
      <c r="U33" s="46">
        <f t="shared" si="5"/>
        <v>116.42400000000001</v>
      </c>
      <c r="V33" s="46">
        <f t="shared" si="6"/>
        <v>4.851</v>
      </c>
      <c r="W33" s="96">
        <v>2.9</v>
      </c>
      <c r="X33" s="96">
        <f t="shared" si="1"/>
        <v>2.9</v>
      </c>
      <c r="Y33" s="97" t="s">
        <v>169</v>
      </c>
      <c r="Z33" s="158">
        <v>1035</v>
      </c>
      <c r="AA33" s="158">
        <v>0</v>
      </c>
      <c r="AB33" s="158">
        <v>1187</v>
      </c>
      <c r="AC33" s="158">
        <v>1185</v>
      </c>
      <c r="AD33" s="158">
        <v>0</v>
      </c>
      <c r="AE33" s="158">
        <v>1185</v>
      </c>
      <c r="AF33" s="47" t="s">
        <v>90</v>
      </c>
      <c r="AG33" s="47" t="s">
        <v>90</v>
      </c>
      <c r="AH33" s="98" t="s">
        <v>90</v>
      </c>
      <c r="AI33" s="103">
        <v>15709063</v>
      </c>
      <c r="AJ33" s="45">
        <f t="shared" si="7"/>
        <v>1148</v>
      </c>
      <c r="AK33" s="48">
        <f t="shared" si="8"/>
        <v>236.65223665223667</v>
      </c>
      <c r="AL33" s="155">
        <v>1</v>
      </c>
      <c r="AM33" s="155">
        <v>0</v>
      </c>
      <c r="AN33" s="155">
        <v>1</v>
      </c>
      <c r="AO33" s="155">
        <v>1</v>
      </c>
      <c r="AP33" s="155">
        <v>0</v>
      </c>
      <c r="AQ33" s="155">
        <v>1</v>
      </c>
      <c r="AR33" s="155">
        <v>0</v>
      </c>
      <c r="AS33" s="158"/>
      <c r="AT33" s="158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57">
        <v>43233</v>
      </c>
      <c r="B34" s="40">
        <v>2.875</v>
      </c>
      <c r="C34" s="40">
        <v>0.91666666666667096</v>
      </c>
      <c r="D34" s="156">
        <v>3</v>
      </c>
      <c r="E34" s="154">
        <f t="shared" si="2"/>
        <v>2.1126760563380285</v>
      </c>
      <c r="F34" s="154">
        <v>-2</v>
      </c>
      <c r="G34" s="118">
        <v>79</v>
      </c>
      <c r="H34" s="154">
        <f t="shared" si="0"/>
        <v>55.633802816901408</v>
      </c>
      <c r="I34" s="154">
        <v>76</v>
      </c>
      <c r="J34" s="41" t="s">
        <v>88</v>
      </c>
      <c r="K34" s="41">
        <f t="shared" si="3"/>
        <v>52.112676056338032</v>
      </c>
      <c r="L34" s="42">
        <f t="shared" si="13"/>
        <v>53.521126760563384</v>
      </c>
      <c r="M34" s="41">
        <f t="shared" si="12"/>
        <v>57.74647887323944</v>
      </c>
      <c r="N34" s="43">
        <v>14</v>
      </c>
      <c r="O34" s="44" t="s">
        <v>116</v>
      </c>
      <c r="P34" s="44">
        <v>12.6</v>
      </c>
      <c r="Q34" s="157">
        <v>125</v>
      </c>
      <c r="R34" s="157"/>
      <c r="S34" s="157">
        <v>94370238</v>
      </c>
      <c r="T34" s="45">
        <f t="shared" si="4"/>
        <v>5183</v>
      </c>
      <c r="U34" s="46">
        <f t="shared" si="5"/>
        <v>124.392</v>
      </c>
      <c r="V34" s="46">
        <f t="shared" si="6"/>
        <v>5.1829999999999998</v>
      </c>
      <c r="W34" s="96">
        <v>2.6</v>
      </c>
      <c r="X34" s="96">
        <f t="shared" si="1"/>
        <v>2.6</v>
      </c>
      <c r="Y34" s="97" t="s">
        <v>169</v>
      </c>
      <c r="Z34" s="158">
        <v>1035</v>
      </c>
      <c r="AA34" s="158">
        <v>0</v>
      </c>
      <c r="AB34" s="158">
        <v>1188</v>
      </c>
      <c r="AC34" s="158">
        <v>1185</v>
      </c>
      <c r="AD34" s="158">
        <v>0</v>
      </c>
      <c r="AE34" s="158">
        <v>1185</v>
      </c>
      <c r="AF34" s="47" t="s">
        <v>90</v>
      </c>
      <c r="AG34" s="47" t="s">
        <v>90</v>
      </c>
      <c r="AH34" s="98" t="s">
        <v>90</v>
      </c>
      <c r="AI34" s="103">
        <v>15710255</v>
      </c>
      <c r="AJ34" s="45">
        <f t="shared" si="7"/>
        <v>1192</v>
      </c>
      <c r="AK34" s="48">
        <f t="shared" si="8"/>
        <v>229.98263553926299</v>
      </c>
      <c r="AL34" s="155">
        <v>1</v>
      </c>
      <c r="AM34" s="155">
        <v>0</v>
      </c>
      <c r="AN34" s="155">
        <v>1</v>
      </c>
      <c r="AO34" s="155">
        <v>1</v>
      </c>
      <c r="AP34" s="155">
        <v>0</v>
      </c>
      <c r="AQ34" s="155">
        <v>1</v>
      </c>
      <c r="AR34" s="155">
        <v>0</v>
      </c>
      <c r="AS34" s="158"/>
      <c r="AT34" s="158">
        <f>AS34-AS33</f>
        <v>0</v>
      </c>
      <c r="AU34" s="119">
        <v>1.04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357">
        <v>43233</v>
      </c>
      <c r="B35" s="40">
        <v>2.9166666666666701</v>
      </c>
      <c r="C35" s="40">
        <v>0.95833333333333803</v>
      </c>
      <c r="D35" s="156">
        <v>3</v>
      </c>
      <c r="E35" s="154">
        <f t="shared" si="2"/>
        <v>2.1126760563380285</v>
      </c>
      <c r="F35" s="154">
        <v>-1</v>
      </c>
      <c r="G35" s="118">
        <v>72</v>
      </c>
      <c r="H35" s="154">
        <f t="shared" si="0"/>
        <v>50.70422535211268</v>
      </c>
      <c r="I35" s="154">
        <v>71</v>
      </c>
      <c r="J35" s="41" t="s">
        <v>88</v>
      </c>
      <c r="K35" s="41">
        <f>L35-(2/1.42)</f>
        <v>45.774647887323944</v>
      </c>
      <c r="L35" s="42">
        <f>(G35-5)/1.42</f>
        <v>47.183098591549296</v>
      </c>
      <c r="M35" s="41">
        <f t="shared" si="12"/>
        <v>51.408450704225352</v>
      </c>
      <c r="N35" s="43">
        <v>14</v>
      </c>
      <c r="O35" s="44" t="s">
        <v>116</v>
      </c>
      <c r="P35" s="44">
        <v>11.9</v>
      </c>
      <c r="Q35" s="157">
        <v>141</v>
      </c>
      <c r="R35" s="157"/>
      <c r="S35" s="157">
        <v>94374966</v>
      </c>
      <c r="T35" s="45">
        <f t="shared" si="4"/>
        <v>4728</v>
      </c>
      <c r="U35" s="46">
        <f t="shared" si="5"/>
        <v>113.47199999999999</v>
      </c>
      <c r="V35" s="46">
        <f t="shared" si="6"/>
        <v>4.7279999999999998</v>
      </c>
      <c r="W35" s="96">
        <v>3</v>
      </c>
      <c r="X35" s="96">
        <f t="shared" si="1"/>
        <v>3</v>
      </c>
      <c r="Y35" s="97" t="s">
        <v>138</v>
      </c>
      <c r="Z35" s="158">
        <v>0</v>
      </c>
      <c r="AA35" s="158">
        <v>0</v>
      </c>
      <c r="AB35" s="158">
        <v>1187</v>
      </c>
      <c r="AC35" s="158">
        <v>1185</v>
      </c>
      <c r="AD35" s="158">
        <v>0</v>
      </c>
      <c r="AE35" s="158">
        <v>1185</v>
      </c>
      <c r="AF35" s="47" t="s">
        <v>90</v>
      </c>
      <c r="AG35" s="47" t="s">
        <v>90</v>
      </c>
      <c r="AH35" s="98" t="s">
        <v>90</v>
      </c>
      <c r="AI35" s="103">
        <v>15711338</v>
      </c>
      <c r="AJ35" s="45">
        <f t="shared" si="7"/>
        <v>1083</v>
      </c>
      <c r="AK35" s="48">
        <f t="shared" si="8"/>
        <v>229.06091370558377</v>
      </c>
      <c r="AL35" s="155">
        <v>0</v>
      </c>
      <c r="AM35" s="155">
        <v>0</v>
      </c>
      <c r="AN35" s="155">
        <v>1</v>
      </c>
      <c r="AO35" s="155">
        <v>1</v>
      </c>
      <c r="AP35" s="155">
        <v>0</v>
      </c>
      <c r="AQ35" s="155">
        <v>1</v>
      </c>
      <c r="AR35" s="155">
        <v>0.3</v>
      </c>
      <c r="AS35" s="158"/>
      <c r="AT35" s="158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357">
        <v>43233</v>
      </c>
      <c r="B36" s="40">
        <v>2.9583333333333299</v>
      </c>
      <c r="C36" s="40">
        <v>1</v>
      </c>
      <c r="D36" s="156">
        <v>3</v>
      </c>
      <c r="E36" s="154">
        <f t="shared" si="2"/>
        <v>2.1126760563380285</v>
      </c>
      <c r="F36" s="154">
        <v>1</v>
      </c>
      <c r="G36" s="118">
        <v>74</v>
      </c>
      <c r="H36" s="154">
        <f t="shared" si="0"/>
        <v>52.112676056338032</v>
      </c>
      <c r="I36" s="154">
        <v>73</v>
      </c>
      <c r="J36" s="41" t="s">
        <v>88</v>
      </c>
      <c r="K36" s="41">
        <f t="shared" si="3"/>
        <v>47.183098591549296</v>
      </c>
      <c r="L36" s="42">
        <f>(G36-5)/1.42</f>
        <v>48.591549295774648</v>
      </c>
      <c r="M36" s="41">
        <f t="shared" si="12"/>
        <v>52.816901408450704</v>
      </c>
      <c r="N36" s="43">
        <v>14</v>
      </c>
      <c r="O36" s="44" t="s">
        <v>116</v>
      </c>
      <c r="P36" s="58">
        <v>11.5</v>
      </c>
      <c r="Q36" s="157">
        <v>140</v>
      </c>
      <c r="R36" s="157"/>
      <c r="S36" s="157">
        <v>94379822</v>
      </c>
      <c r="T36" s="45">
        <f t="shared" si="4"/>
        <v>4856</v>
      </c>
      <c r="U36" s="46">
        <f t="shared" si="5"/>
        <v>116.544</v>
      </c>
      <c r="V36" s="46">
        <f t="shared" si="6"/>
        <v>4.8559999999999999</v>
      </c>
      <c r="W36" s="96">
        <v>4.2</v>
      </c>
      <c r="X36" s="96">
        <f t="shared" si="1"/>
        <v>4.2</v>
      </c>
      <c r="Y36" s="97" t="s">
        <v>138</v>
      </c>
      <c r="Z36" s="158">
        <v>0</v>
      </c>
      <c r="AA36" s="158">
        <v>0</v>
      </c>
      <c r="AB36" s="158">
        <v>1187</v>
      </c>
      <c r="AC36" s="158">
        <v>1185</v>
      </c>
      <c r="AD36" s="158">
        <v>0</v>
      </c>
      <c r="AE36" s="158">
        <v>1185</v>
      </c>
      <c r="AF36" s="47" t="s">
        <v>90</v>
      </c>
      <c r="AG36" s="47" t="s">
        <v>90</v>
      </c>
      <c r="AH36" s="98" t="s">
        <v>90</v>
      </c>
      <c r="AI36" s="103">
        <v>15712448</v>
      </c>
      <c r="AJ36" s="45">
        <f t="shared" si="7"/>
        <v>1110</v>
      </c>
      <c r="AK36" s="48">
        <f t="shared" si="8"/>
        <v>228.58319604612851</v>
      </c>
      <c r="AL36" s="155">
        <v>0</v>
      </c>
      <c r="AM36" s="155">
        <v>0</v>
      </c>
      <c r="AN36" s="155">
        <v>1</v>
      </c>
      <c r="AO36" s="155">
        <v>1</v>
      </c>
      <c r="AP36" s="155">
        <v>0</v>
      </c>
      <c r="AQ36" s="155">
        <v>1</v>
      </c>
      <c r="AR36" s="155">
        <v>0.3</v>
      </c>
      <c r="AS36" s="158"/>
      <c r="AT36" s="158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73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09" t="s">
        <v>118</v>
      </c>
      <c r="O37" s="310"/>
      <c r="P37" s="311"/>
      <c r="Q37" s="101"/>
      <c r="R37" s="101"/>
      <c r="S37" s="101"/>
      <c r="T37" s="60">
        <f>SUM(T13:T36)</f>
        <v>111147</v>
      </c>
      <c r="U37" s="46">
        <f t="shared" si="5"/>
        <v>2667.5279999999998</v>
      </c>
      <c r="V37" s="46">
        <f t="shared" si="6"/>
        <v>111.14700000000001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27518</v>
      </c>
      <c r="AK37" s="61">
        <f>$AJ$37/$V37</f>
        <v>247.58203100398569</v>
      </c>
      <c r="AL37" s="155"/>
      <c r="AM37" s="155"/>
      <c r="AN37" s="155"/>
      <c r="AO37" s="155"/>
      <c r="AP37" s="155"/>
      <c r="AQ37" s="155"/>
      <c r="AR37" s="62"/>
      <c r="AS37" s="63">
        <f>AS36-AS11</f>
        <v>0</v>
      </c>
      <c r="AT37" s="64">
        <f>SUM(AT13:AT36)</f>
        <v>0</v>
      </c>
      <c r="AU37" s="65">
        <f>AVERAGE(AU13:AU36)</f>
        <v>0.9966666666666667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7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8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8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4"/>
      <c r="D47" s="164"/>
      <c r="E47" s="164"/>
      <c r="F47" s="164"/>
      <c r="G47" s="164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71" t="s">
        <v>220</v>
      </c>
      <c r="C48" s="172"/>
      <c r="D48" s="172"/>
      <c r="E48" s="172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70"/>
      <c r="D49" s="170"/>
      <c r="E49" s="170"/>
      <c r="F49" s="161"/>
      <c r="G49" s="161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163</v>
      </c>
      <c r="C50" s="143"/>
      <c r="D50" s="143"/>
      <c r="E50" s="143"/>
      <c r="F50" s="130"/>
      <c r="G50" s="130"/>
      <c r="H50" s="160"/>
      <c r="I50" s="160"/>
      <c r="J50" s="160"/>
      <c r="K50" s="160"/>
      <c r="L50" s="160"/>
      <c r="M50" s="160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210</v>
      </c>
      <c r="B51" s="115" t="s">
        <v>221</v>
      </c>
      <c r="C51" s="143"/>
      <c r="D51" s="143"/>
      <c r="E51" s="143"/>
      <c r="F51" s="130"/>
      <c r="G51" s="130"/>
      <c r="H51" s="160"/>
      <c r="I51" s="160"/>
      <c r="J51" s="160"/>
      <c r="K51" s="160"/>
      <c r="L51" s="160"/>
      <c r="M51" s="160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222</v>
      </c>
      <c r="C52" s="120"/>
      <c r="D52" s="115"/>
      <c r="E52" s="115"/>
      <c r="F52" s="115"/>
      <c r="G52" s="115"/>
      <c r="H52" s="160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70"/>
      <c r="D53" s="170"/>
      <c r="E53" s="170"/>
      <c r="F53" s="170"/>
      <c r="G53" s="115"/>
      <c r="H53" s="115"/>
      <c r="I53" s="115"/>
      <c r="J53" s="115"/>
      <c r="K53" s="115"/>
      <c r="L53" s="115"/>
      <c r="M53" s="115"/>
      <c r="N53" s="163"/>
      <c r="O53" s="163"/>
      <c r="P53" s="163"/>
      <c r="Q53" s="163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32" t="s">
        <v>170</v>
      </c>
      <c r="C54" s="153"/>
      <c r="D54" s="170"/>
      <c r="E54" s="170"/>
      <c r="F54" s="170"/>
      <c r="G54" s="170"/>
      <c r="H54" s="170"/>
      <c r="I54" s="170"/>
      <c r="J54" s="169"/>
      <c r="K54" s="166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70"/>
      <c r="E55" s="153"/>
      <c r="F55" s="153"/>
      <c r="G55" s="153"/>
      <c r="H55" s="153"/>
      <c r="I55" s="153"/>
      <c r="J55" s="169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172</v>
      </c>
      <c r="C56" s="115"/>
      <c r="D56" s="170"/>
      <c r="E56" s="153"/>
      <c r="F56" s="153"/>
      <c r="G56" s="153"/>
      <c r="H56" s="153"/>
      <c r="I56" s="153"/>
      <c r="J56" s="153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53" t="s">
        <v>225</v>
      </c>
      <c r="C57" s="170"/>
      <c r="D57" s="170"/>
      <c r="E57" s="153"/>
      <c r="F57" s="153"/>
      <c r="G57" s="153"/>
      <c r="H57" s="153"/>
      <c r="I57" s="153"/>
      <c r="J57" s="153"/>
      <c r="K57" s="166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174</v>
      </c>
      <c r="C58" s="170"/>
      <c r="D58" s="170"/>
      <c r="E58" s="115"/>
      <c r="F58" s="115"/>
      <c r="G58" s="115"/>
      <c r="H58" s="115"/>
      <c r="I58" s="153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62" t="s">
        <v>195</v>
      </c>
      <c r="C59" s="170"/>
      <c r="D59" s="170"/>
      <c r="E59" s="153"/>
      <c r="F59" s="153"/>
      <c r="G59" s="153"/>
      <c r="H59" s="153"/>
      <c r="I59" s="153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62"/>
      <c r="C60" s="170"/>
      <c r="D60" s="223"/>
      <c r="E60" s="223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62"/>
      <c r="C61" s="153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32"/>
      <c r="C62" s="115"/>
      <c r="D62" s="100"/>
      <c r="E62" s="100"/>
      <c r="F62" s="115"/>
      <c r="G62" s="115"/>
      <c r="H62" s="92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6"/>
      <c r="E63" s="166"/>
      <c r="F63" s="166"/>
      <c r="G63" s="166"/>
      <c r="H63" s="166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53"/>
      <c r="C64" s="115"/>
      <c r="D64" s="100"/>
      <c r="E64" s="100"/>
      <c r="F64" s="115"/>
      <c r="G64" s="115"/>
      <c r="H64" s="92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6"/>
      <c r="E65" s="166"/>
      <c r="F65" s="166"/>
      <c r="G65" s="166"/>
      <c r="H65" s="166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AV65" s="86"/>
      <c r="AW65" s="86"/>
      <c r="AX65" s="86"/>
      <c r="AY65" s="86"/>
      <c r="AZ65" s="86"/>
      <c r="BA65" s="86"/>
      <c r="BB65" s="86"/>
    </row>
    <row r="66" spans="2:54" x14ac:dyDescent="0.35">
      <c r="B66" s="162"/>
      <c r="C66" s="115"/>
      <c r="D66" s="166"/>
      <c r="E66" s="166"/>
      <c r="F66" s="166"/>
      <c r="G66" s="166"/>
      <c r="H66" s="166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6"/>
      <c r="E67" s="166"/>
      <c r="F67" s="166"/>
      <c r="G67" s="166"/>
      <c r="H67" s="166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AF13:AH36 T13:V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Q13:Q36 S13:S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3" name="Range1_16_1_1_1_1_1_1_2_2_2_2_2_2_2_2_2_2_2_2_2_2_2_2_2_2_2_2_2_2_2_1_2_2_2_2_2_2_2_2_2_2_3_2_2_2_2_2_2_2_2_2_2_1_1_1_1_2_2_1_1_1_1_1_1_1_1_1_1_1_1_1_1_3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R4:W4" name="Range1_16_1_1_1_1_1_1_2_2_2_2_2_2_2_2_2_2_2_2_2_2_2_2_2_2_2_2_2_2_2_1_2_2_2_2_2_2_2_2_2_2_3_2_2_2_2_2_2_2_2_2_2_1_1_1_1_2_2_1_1_1_1_1_1_1_1_1_1_1_1_1_1_2_1"/>
    <protectedRange sqref="R5:W5" name="Range1_16_1_1_1_1_1_1_2_2_2_2_2_2_2_2_2_2_2_2_2_2_2_2_2_2_2_2_2_2_2_1_2_2_2_2_2_2_2_2_2_2_3_2_2_2_2_2_2_2_2_2_2_1_1_1_1_2_2_1_1_1_1_1_1_1_1_1_1_3_1_3_2_1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322" priority="5" operator="containsText" text="N/A">
      <formula>NOT(ISERROR(SEARCH("N/A",Z13)))</formula>
    </cfRule>
    <cfRule type="cellIs" dxfId="321" priority="17" operator="equal">
      <formula>0</formula>
    </cfRule>
  </conditionalFormatting>
  <conditionalFormatting sqref="Z13:AG36">
    <cfRule type="cellIs" dxfId="320" priority="16" operator="greaterThanOrEqual">
      <formula>1185</formula>
    </cfRule>
  </conditionalFormatting>
  <conditionalFormatting sqref="Z13:AG36">
    <cfRule type="cellIs" dxfId="319" priority="15" operator="between">
      <formula>0.1</formula>
      <formula>1184</formula>
    </cfRule>
  </conditionalFormatting>
  <conditionalFormatting sqref="Z8:Z9 AT13:AT36 AL37:AQ37 AL13:AR36">
    <cfRule type="cellIs" dxfId="318" priority="14" operator="equal">
      <formula>0</formula>
    </cfRule>
  </conditionalFormatting>
  <conditionalFormatting sqref="Z8:Z9 AT13:AT36 AL37:AQ37 AL13:AR36">
    <cfRule type="cellIs" dxfId="317" priority="13" operator="greaterThan">
      <formula>1179</formula>
    </cfRule>
  </conditionalFormatting>
  <conditionalFormatting sqref="Z8:Z9 AT13:AT36 AL37:AQ37 AL13:AR36">
    <cfRule type="cellIs" dxfId="316" priority="12" operator="greaterThan">
      <formula>99</formula>
    </cfRule>
  </conditionalFormatting>
  <conditionalFormatting sqref="Z8:Z9 AT13:AT36 AL37:AQ37 AL13:AR36">
    <cfRule type="cellIs" dxfId="315" priority="11" operator="greaterThan">
      <formula>0.99</formula>
    </cfRule>
  </conditionalFormatting>
  <conditionalFormatting sqref="AD8:AD9">
    <cfRule type="cellIs" dxfId="314" priority="10" operator="equal">
      <formula>0</formula>
    </cfRule>
  </conditionalFormatting>
  <conditionalFormatting sqref="AD8:AD9">
    <cfRule type="cellIs" dxfId="313" priority="9" operator="greaterThan">
      <formula>1179</formula>
    </cfRule>
  </conditionalFormatting>
  <conditionalFormatting sqref="AD8:AD9">
    <cfRule type="cellIs" dxfId="312" priority="8" operator="greaterThan">
      <formula>99</formula>
    </cfRule>
  </conditionalFormatting>
  <conditionalFormatting sqref="AD8:AD9">
    <cfRule type="cellIs" dxfId="311" priority="7" operator="greaterThan">
      <formula>0.99</formula>
    </cfRule>
  </conditionalFormatting>
  <conditionalFormatting sqref="AK13:AK36">
    <cfRule type="cellIs" dxfId="310" priority="6" operator="greaterThan">
      <formula>$AK$8</formula>
    </cfRule>
  </conditionalFormatting>
  <conditionalFormatting sqref="AS13:AS36">
    <cfRule type="containsText" dxfId="309" priority="1" operator="containsText" text="N/A">
      <formula>NOT(ISERROR(SEARCH("N/A",AS13)))</formula>
    </cfRule>
    <cfRule type="cellIs" dxfId="308" priority="4" operator="equal">
      <formula>0</formula>
    </cfRule>
  </conditionalFormatting>
  <conditionalFormatting sqref="AS13:AS36">
    <cfRule type="cellIs" dxfId="307" priority="3" operator="greaterThanOrEqual">
      <formula>1185</formula>
    </cfRule>
  </conditionalFormatting>
  <conditionalFormatting sqref="AS13:AS36">
    <cfRule type="cellIs" dxfId="306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C00-000000000000}">
      <formula1>$BB$11:$BB$42</formula1>
    </dataValidation>
    <dataValidation type="list" allowBlank="1" showInputMessage="1" showErrorMessage="1" sqref="AY33:AZ33" xr:uid="{00000000-0002-0000-0C00-000001000000}">
      <formula1>$AY$26:$AY$30</formula1>
    </dataValidation>
    <dataValidation type="list" allowBlank="1" showInputMessage="1" showErrorMessage="1" sqref="AS8:AT9 P11:P12 N11:N12 D8:E9 Q8:V9" xr:uid="{00000000-0002-0000-0C00-000002000000}">
      <formula1>#REF!</formula1>
    </dataValidation>
    <dataValidation type="list" allowBlank="1" showInputMessage="1" showErrorMessage="1" sqref="J13:J36" xr:uid="{00000000-0002-0000-0C00-000003000000}">
      <formula1>$AY$11:$AY$21</formula1>
    </dataValidation>
  </dataValidations>
  <hyperlinks>
    <hyperlink ref="J10:J11" location="'1'!AH8" display="Plant Status" xr:uid="{00000000-0004-0000-0C00-000000000000}"/>
  </hyperlinks>
  <pageMargins left="0.7" right="0.7" top="0.75" bottom="0.75" header="0.3" footer="0.3"/>
  <pageSetup paperSize="9" orientation="portrait" horizontalDpi="429496729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rgb="FF7030A0"/>
  </sheetPr>
  <dimension ref="A2:BB88"/>
  <sheetViews>
    <sheetView zoomScaleNormal="100" workbookViewId="0">
      <selection activeCell="R3" sqref="R3:W3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47" t="s">
        <v>146</v>
      </c>
      <c r="S3" s="348"/>
      <c r="T3" s="348"/>
      <c r="U3" s="348"/>
      <c r="V3" s="348"/>
      <c r="W3" s="34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47" t="s">
        <v>143</v>
      </c>
      <c r="S4" s="348"/>
      <c r="T4" s="348"/>
      <c r="U4" s="348"/>
      <c r="V4" s="348"/>
      <c r="W4" s="34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47" t="s">
        <v>151</v>
      </c>
      <c r="S5" s="348"/>
      <c r="T5" s="348"/>
      <c r="U5" s="348"/>
      <c r="V5" s="348"/>
      <c r="W5" s="34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50" t="s">
        <v>6</v>
      </c>
      <c r="C6" s="351"/>
      <c r="D6" s="352" t="s">
        <v>7</v>
      </c>
      <c r="E6" s="353"/>
      <c r="F6" s="353"/>
      <c r="G6" s="353"/>
      <c r="H6" s="353"/>
      <c r="I6" s="353"/>
      <c r="J6" s="354"/>
      <c r="K6" s="87"/>
      <c r="L6" s="87"/>
      <c r="M6" s="225"/>
      <c r="N6" s="355">
        <v>41686</v>
      </c>
      <c r="O6" s="356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37" t="s">
        <v>8</v>
      </c>
      <c r="C7" s="338"/>
      <c r="D7" s="337" t="s">
        <v>9</v>
      </c>
      <c r="E7" s="339"/>
      <c r="F7" s="339"/>
      <c r="G7" s="339"/>
      <c r="H7" s="339"/>
      <c r="I7" s="338"/>
      <c r="J7" s="230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30" t="s">
        <v>14</v>
      </c>
      <c r="R7" s="337" t="s">
        <v>15</v>
      </c>
      <c r="S7" s="339"/>
      <c r="T7" s="339"/>
      <c r="U7" s="339"/>
      <c r="V7" s="338"/>
      <c r="W7" s="337" t="s">
        <v>16</v>
      </c>
      <c r="X7" s="338"/>
      <c r="Y7" s="99" t="s">
        <v>17</v>
      </c>
      <c r="Z7" s="337" t="s">
        <v>18</v>
      </c>
      <c r="AA7" s="338"/>
      <c r="AB7" s="337" t="s">
        <v>19</v>
      </c>
      <c r="AC7" s="338"/>
      <c r="AD7" s="337" t="s">
        <v>20</v>
      </c>
      <c r="AE7" s="338"/>
      <c r="AF7" s="337" t="s">
        <v>21</v>
      </c>
      <c r="AG7" s="338"/>
      <c r="AH7" s="99" t="s">
        <v>22</v>
      </c>
      <c r="AI7" s="99" t="s">
        <v>23</v>
      </c>
      <c r="AJ7" s="99" t="s">
        <v>24</v>
      </c>
      <c r="AK7" s="99" t="s">
        <v>25</v>
      </c>
      <c r="AL7" s="337" t="s">
        <v>26</v>
      </c>
      <c r="AM7" s="339"/>
      <c r="AN7" s="339"/>
      <c r="AO7" s="339"/>
      <c r="AP7" s="339"/>
      <c r="AQ7" s="338"/>
      <c r="AR7" s="337" t="s">
        <v>27</v>
      </c>
      <c r="AS7" s="339"/>
      <c r="AT7" s="33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40">
        <v>43234</v>
      </c>
      <c r="C8" s="341"/>
      <c r="D8" s="342" t="s">
        <v>29</v>
      </c>
      <c r="E8" s="343"/>
      <c r="F8" s="343"/>
      <c r="G8" s="343"/>
      <c r="H8" s="343"/>
      <c r="I8" s="344"/>
      <c r="J8" s="28"/>
      <c r="K8" s="342" t="s">
        <v>29</v>
      </c>
      <c r="L8" s="343"/>
      <c r="M8" s="34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42" t="s">
        <v>33</v>
      </c>
      <c r="X8" s="344"/>
      <c r="Y8" s="30" t="s">
        <v>34</v>
      </c>
      <c r="Z8" s="326">
        <v>0</v>
      </c>
      <c r="AA8" s="327"/>
      <c r="AB8" s="345" t="s">
        <v>35</v>
      </c>
      <c r="AC8" s="346"/>
      <c r="AD8" s="326">
        <v>1185</v>
      </c>
      <c r="AE8" s="327"/>
      <c r="AF8" s="328">
        <v>800</v>
      </c>
      <c r="AG8" s="329"/>
      <c r="AH8" s="28"/>
      <c r="AI8" s="30">
        <f>AI36-AI11</f>
        <v>27279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31"/>
      <c r="C9" s="232"/>
      <c r="D9" s="233"/>
      <c r="E9" s="234"/>
      <c r="F9" s="234"/>
      <c r="G9" s="234"/>
      <c r="H9" s="234"/>
      <c r="I9" s="235"/>
      <c r="J9" s="121"/>
      <c r="K9" s="233"/>
      <c r="L9" s="234"/>
      <c r="M9" s="235"/>
      <c r="N9" s="29"/>
      <c r="O9" s="29"/>
      <c r="P9" s="29"/>
      <c r="Q9" s="121"/>
      <c r="R9" s="121"/>
      <c r="S9" s="121"/>
      <c r="T9" s="122"/>
      <c r="U9" s="123"/>
      <c r="V9" s="124"/>
      <c r="W9" s="233"/>
      <c r="X9" s="235"/>
      <c r="Y9" s="30"/>
      <c r="Z9" s="228"/>
      <c r="AA9" s="125"/>
      <c r="AB9" s="126"/>
      <c r="AC9" s="126"/>
      <c r="AD9" s="125"/>
      <c r="AE9" s="125"/>
      <c r="AF9" s="127"/>
      <c r="AG9" s="229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30" t="s">
        <v>39</v>
      </c>
      <c r="C10" s="331"/>
      <c r="D10" s="330" t="s">
        <v>40</v>
      </c>
      <c r="E10" s="332"/>
      <c r="F10" s="331"/>
      <c r="G10" s="330" t="s">
        <v>41</v>
      </c>
      <c r="H10" s="332"/>
      <c r="I10" s="331"/>
      <c r="J10" s="333" t="s">
        <v>42</v>
      </c>
      <c r="K10" s="330" t="s">
        <v>43</v>
      </c>
      <c r="L10" s="332"/>
      <c r="M10" s="331"/>
      <c r="N10" s="99" t="s">
        <v>44</v>
      </c>
      <c r="O10" s="335" t="s">
        <v>45</v>
      </c>
      <c r="P10" s="33" t="s">
        <v>46</v>
      </c>
      <c r="Q10" s="324" t="s">
        <v>47</v>
      </c>
      <c r="R10" s="324" t="s">
        <v>48</v>
      </c>
      <c r="S10" s="34" t="s">
        <v>49</v>
      </c>
      <c r="T10" s="312" t="s">
        <v>50</v>
      </c>
      <c r="U10" s="313"/>
      <c r="V10" s="314"/>
      <c r="W10" s="226" t="s">
        <v>51</v>
      </c>
      <c r="X10" s="226" t="s">
        <v>52</v>
      </c>
      <c r="Y10" s="318" t="s">
        <v>53</v>
      </c>
      <c r="Z10" s="319" t="s">
        <v>54</v>
      </c>
      <c r="AA10" s="320"/>
      <c r="AB10" s="320"/>
      <c r="AC10" s="320"/>
      <c r="AD10" s="320"/>
      <c r="AE10" s="320"/>
      <c r="AF10" s="320"/>
      <c r="AG10" s="321"/>
      <c r="AH10" s="224" t="s">
        <v>55</v>
      </c>
      <c r="AI10" s="224" t="s">
        <v>56</v>
      </c>
      <c r="AJ10" s="307" t="s">
        <v>57</v>
      </c>
      <c r="AK10" s="322" t="s">
        <v>58</v>
      </c>
      <c r="AL10" s="226" t="s">
        <v>59</v>
      </c>
      <c r="AM10" s="226" t="s">
        <v>60</v>
      </c>
      <c r="AN10" s="226" t="s">
        <v>61</v>
      </c>
      <c r="AO10" s="226" t="s">
        <v>62</v>
      </c>
      <c r="AP10" s="226" t="s">
        <v>63</v>
      </c>
      <c r="AQ10" s="226" t="s">
        <v>123</v>
      </c>
      <c r="AR10" s="226" t="s">
        <v>64</v>
      </c>
      <c r="AS10" s="226" t="s">
        <v>65</v>
      </c>
      <c r="AT10" s="324" t="s">
        <v>66</v>
      </c>
      <c r="AU10" s="226" t="s">
        <v>67</v>
      </c>
      <c r="AV10" s="30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26" t="s">
        <v>72</v>
      </c>
      <c r="C11" s="226" t="s">
        <v>73</v>
      </c>
      <c r="D11" s="226" t="s">
        <v>74</v>
      </c>
      <c r="E11" s="226" t="s">
        <v>75</v>
      </c>
      <c r="F11" s="226" t="s">
        <v>126</v>
      </c>
      <c r="G11" s="226" t="s">
        <v>74</v>
      </c>
      <c r="H11" s="226" t="s">
        <v>75</v>
      </c>
      <c r="I11" s="226" t="s">
        <v>126</v>
      </c>
      <c r="J11" s="334"/>
      <c r="K11" s="226" t="s">
        <v>75</v>
      </c>
      <c r="L11" s="226" t="s">
        <v>75</v>
      </c>
      <c r="M11" s="226" t="s">
        <v>75</v>
      </c>
      <c r="N11" s="28" t="s">
        <v>29</v>
      </c>
      <c r="O11" s="336"/>
      <c r="P11" s="28" t="s">
        <v>29</v>
      </c>
      <c r="Q11" s="325"/>
      <c r="R11" s="325"/>
      <c r="S11" s="1">
        <f>'MAY 13'!S36</f>
        <v>94379822</v>
      </c>
      <c r="T11" s="315"/>
      <c r="U11" s="316"/>
      <c r="V11" s="317"/>
      <c r="W11" s="226" t="s">
        <v>75</v>
      </c>
      <c r="X11" s="226" t="s">
        <v>75</v>
      </c>
      <c r="Y11" s="31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'MAY 13'!AI36</f>
        <v>15712448</v>
      </c>
      <c r="AJ11" s="307"/>
      <c r="AK11" s="323"/>
      <c r="AL11" s="226" t="s">
        <v>84</v>
      </c>
      <c r="AM11" s="226" t="s">
        <v>84</v>
      </c>
      <c r="AN11" s="226" t="s">
        <v>84</v>
      </c>
      <c r="AO11" s="226" t="s">
        <v>84</v>
      </c>
      <c r="AP11" s="226" t="s">
        <v>84</v>
      </c>
      <c r="AQ11" s="226" t="s">
        <v>84</v>
      </c>
      <c r="AR11" s="226" t="s">
        <v>84</v>
      </c>
      <c r="AS11" s="1"/>
      <c r="AT11" s="325"/>
      <c r="AU11" s="227" t="s">
        <v>85</v>
      </c>
      <c r="AV11" s="307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283</v>
      </c>
      <c r="B12" s="305" t="s">
        <v>284</v>
      </c>
      <c r="C12" s="305" t="s">
        <v>285</v>
      </c>
      <c r="D12" s="305" t="s">
        <v>286</v>
      </c>
      <c r="E12" s="305" t="s">
        <v>287</v>
      </c>
      <c r="F12" s="305" t="s">
        <v>288</v>
      </c>
      <c r="G12" s="305" t="s">
        <v>289</v>
      </c>
      <c r="H12" s="305" t="s">
        <v>290</v>
      </c>
      <c r="I12" s="305" t="s">
        <v>291</v>
      </c>
      <c r="J12" s="297" t="s">
        <v>292</v>
      </c>
      <c r="K12" s="305" t="s">
        <v>293</v>
      </c>
      <c r="L12" s="305" t="s">
        <v>294</v>
      </c>
      <c r="M12" s="305" t="s">
        <v>295</v>
      </c>
      <c r="N12" s="28" t="s">
        <v>296</v>
      </c>
      <c r="O12" s="298" t="s">
        <v>297</v>
      </c>
      <c r="P12" s="28" t="s">
        <v>298</v>
      </c>
      <c r="Q12" s="300" t="s">
        <v>299</v>
      </c>
      <c r="R12" s="300" t="s">
        <v>300</v>
      </c>
      <c r="S12" s="1" t="s">
        <v>301</v>
      </c>
      <c r="T12" s="302" t="s">
        <v>302</v>
      </c>
      <c r="U12" s="303" t="s">
        <v>303</v>
      </c>
      <c r="V12" s="304" t="s">
        <v>304</v>
      </c>
      <c r="W12" s="305" t="s">
        <v>305</v>
      </c>
      <c r="X12" s="305" t="s">
        <v>306</v>
      </c>
      <c r="Y12" s="305" t="s">
        <v>307</v>
      </c>
      <c r="Z12" s="37" t="s">
        <v>308</v>
      </c>
      <c r="AA12" s="37" t="s">
        <v>309</v>
      </c>
      <c r="AB12" s="37" t="s">
        <v>310</v>
      </c>
      <c r="AC12" s="37" t="s">
        <v>311</v>
      </c>
      <c r="AD12" s="37" t="s">
        <v>312</v>
      </c>
      <c r="AE12" s="37" t="s">
        <v>313</v>
      </c>
      <c r="AF12" s="37" t="s">
        <v>314</v>
      </c>
      <c r="AG12" s="37" t="s">
        <v>315</v>
      </c>
      <c r="AH12" s="38" t="s">
        <v>316</v>
      </c>
      <c r="AI12" s="1" t="s">
        <v>317</v>
      </c>
      <c r="AJ12" s="301" t="s">
        <v>318</v>
      </c>
      <c r="AK12" s="306" t="s">
        <v>319</v>
      </c>
      <c r="AL12" s="305" t="s">
        <v>320</v>
      </c>
      <c r="AM12" s="305" t="s">
        <v>321</v>
      </c>
      <c r="AN12" s="305" t="s">
        <v>322</v>
      </c>
      <c r="AO12" s="305" t="s">
        <v>323</v>
      </c>
      <c r="AP12" s="305" t="s">
        <v>324</v>
      </c>
      <c r="AQ12" s="305" t="s">
        <v>325</v>
      </c>
      <c r="AR12" s="305" t="s">
        <v>326</v>
      </c>
      <c r="AS12" s="1" t="s">
        <v>327</v>
      </c>
      <c r="AT12" s="300" t="s">
        <v>328</v>
      </c>
      <c r="AU12" s="299" t="s">
        <v>329</v>
      </c>
      <c r="AV12" s="301"/>
      <c r="AY12" s="39"/>
      <c r="AZ12" s="39"/>
      <c r="BB12" s="136"/>
    </row>
    <row r="13" spans="1:54" x14ac:dyDescent="0.35">
      <c r="A13" s="357">
        <v>43234</v>
      </c>
      <c r="B13" s="40">
        <v>2</v>
      </c>
      <c r="C13" s="40">
        <v>4.1666666666666664E-2</v>
      </c>
      <c r="D13" s="156">
        <v>3</v>
      </c>
      <c r="E13" s="154">
        <f>D13/1.42</f>
        <v>2.1126760563380285</v>
      </c>
      <c r="F13" s="154">
        <v>2</v>
      </c>
      <c r="G13" s="118">
        <v>70</v>
      </c>
      <c r="H13" s="154">
        <f t="shared" ref="H13:H36" si="0">G13/1.42</f>
        <v>49.295774647887328</v>
      </c>
      <c r="I13" s="154">
        <v>70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7">
        <v>139</v>
      </c>
      <c r="R13" s="157"/>
      <c r="S13" s="157">
        <v>94384336</v>
      </c>
      <c r="T13" s="45">
        <f>IF(ISBLANK(S13),"-",S13-S11)</f>
        <v>4514</v>
      </c>
      <c r="U13" s="46">
        <f>T13*24/1000</f>
        <v>108.336</v>
      </c>
      <c r="V13" s="46">
        <f>T13/1000</f>
        <v>4.5140000000000002</v>
      </c>
      <c r="W13" s="96">
        <v>5.9</v>
      </c>
      <c r="X13" s="96">
        <f t="shared" ref="X13:X36" si="1">W13</f>
        <v>5.9</v>
      </c>
      <c r="Y13" s="97" t="s">
        <v>138</v>
      </c>
      <c r="Z13" s="158">
        <v>0</v>
      </c>
      <c r="AA13" s="158">
        <v>0</v>
      </c>
      <c r="AB13" s="158">
        <v>1187</v>
      </c>
      <c r="AC13" s="158">
        <v>1185</v>
      </c>
      <c r="AD13" s="158">
        <v>0</v>
      </c>
      <c r="AE13" s="158">
        <v>1185</v>
      </c>
      <c r="AF13" s="47" t="s">
        <v>90</v>
      </c>
      <c r="AG13" s="47" t="s">
        <v>90</v>
      </c>
      <c r="AH13" s="98" t="s">
        <v>90</v>
      </c>
      <c r="AI13" s="103">
        <v>15713552</v>
      </c>
      <c r="AJ13" s="45">
        <f>IF(ISBLANK(AI13),"-",AI13-AI11)</f>
        <v>1104</v>
      </c>
      <c r="AK13" s="48">
        <f>AJ13/V13</f>
        <v>244.57244129375275</v>
      </c>
      <c r="AL13" s="155">
        <v>0</v>
      </c>
      <c r="AM13" s="155">
        <v>0</v>
      </c>
      <c r="AN13" s="155">
        <v>1</v>
      </c>
      <c r="AO13" s="155">
        <v>1</v>
      </c>
      <c r="AP13" s="155">
        <v>0</v>
      </c>
      <c r="AQ13" s="155">
        <v>1</v>
      </c>
      <c r="AR13" s="155">
        <v>0.8</v>
      </c>
      <c r="AS13" s="158"/>
      <c r="AT13" s="158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357">
        <v>43234</v>
      </c>
      <c r="B14" s="40">
        <v>2.0416666666666701</v>
      </c>
      <c r="C14" s="40">
        <v>8.3333333333333329E-2</v>
      </c>
      <c r="D14" s="156">
        <v>3</v>
      </c>
      <c r="E14" s="154">
        <f t="shared" ref="E14:E36" si="2">D14/1.42</f>
        <v>2.1126760563380285</v>
      </c>
      <c r="F14" s="154">
        <v>3</v>
      </c>
      <c r="G14" s="118">
        <v>72</v>
      </c>
      <c r="H14" s="154">
        <f t="shared" si="0"/>
        <v>50.70422535211268</v>
      </c>
      <c r="I14" s="154">
        <v>71</v>
      </c>
      <c r="J14" s="41" t="s">
        <v>88</v>
      </c>
      <c r="K14" s="41">
        <f t="shared" ref="K14:K36" si="3">L14-(2/1.42)</f>
        <v>45.774647887323944</v>
      </c>
      <c r="L14" s="42">
        <f>(G14-5)/1.42</f>
        <v>47.183098591549296</v>
      </c>
      <c r="M14" s="41">
        <f>L14+(6/1.42)</f>
        <v>51.408450704225352</v>
      </c>
      <c r="N14" s="43">
        <v>14</v>
      </c>
      <c r="O14" s="44" t="s">
        <v>89</v>
      </c>
      <c r="P14" s="44">
        <v>11.2</v>
      </c>
      <c r="Q14" s="157">
        <v>142</v>
      </c>
      <c r="R14" s="157"/>
      <c r="S14" s="157">
        <v>94388879</v>
      </c>
      <c r="T14" s="45">
        <f t="shared" ref="T14:T36" si="4">IF(ISBLANK(S14),"-",S14-S13)</f>
        <v>4543</v>
      </c>
      <c r="U14" s="46">
        <f t="shared" ref="U14:U37" si="5">T14*24/1000</f>
        <v>109.032</v>
      </c>
      <c r="V14" s="46">
        <f t="shared" ref="V14:V37" si="6">T14/1000</f>
        <v>4.5430000000000001</v>
      </c>
      <c r="W14" s="96">
        <v>7</v>
      </c>
      <c r="X14" s="96">
        <f t="shared" si="1"/>
        <v>7</v>
      </c>
      <c r="Y14" s="97" t="s">
        <v>138</v>
      </c>
      <c r="Z14" s="158">
        <v>0</v>
      </c>
      <c r="AA14" s="158">
        <v>0</v>
      </c>
      <c r="AB14" s="158">
        <v>1187</v>
      </c>
      <c r="AC14" s="158">
        <v>1185</v>
      </c>
      <c r="AD14" s="158">
        <v>0</v>
      </c>
      <c r="AE14" s="158">
        <v>1185</v>
      </c>
      <c r="AF14" s="47" t="s">
        <v>90</v>
      </c>
      <c r="AG14" s="47" t="s">
        <v>90</v>
      </c>
      <c r="AH14" s="98" t="s">
        <v>90</v>
      </c>
      <c r="AI14" s="103">
        <v>15714657</v>
      </c>
      <c r="AJ14" s="45">
        <f t="shared" ref="AJ14:AJ36" si="7">IF(ISBLANK(AI14),"-",AI14-AI13)</f>
        <v>1105</v>
      </c>
      <c r="AK14" s="48">
        <f t="shared" ref="AK14:AK36" si="8">AJ14/V14</f>
        <v>243.23134492626016</v>
      </c>
      <c r="AL14" s="155">
        <v>0</v>
      </c>
      <c r="AM14" s="155">
        <v>0</v>
      </c>
      <c r="AN14" s="155">
        <v>1</v>
      </c>
      <c r="AO14" s="155">
        <v>1</v>
      </c>
      <c r="AP14" s="155">
        <v>0</v>
      </c>
      <c r="AQ14" s="155">
        <v>1</v>
      </c>
      <c r="AR14" s="155">
        <v>0.8</v>
      </c>
      <c r="AS14" s="158"/>
      <c r="AT14" s="158">
        <f t="shared" ref="AT14:AT35" si="9">AS14-AS13</f>
        <v>0</v>
      </c>
      <c r="AU14" s="119">
        <v>0.95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57">
        <v>43234</v>
      </c>
      <c r="B15" s="40">
        <v>2.0833333333333299</v>
      </c>
      <c r="C15" s="40">
        <v>0.125</v>
      </c>
      <c r="D15" s="156">
        <v>3</v>
      </c>
      <c r="E15" s="154">
        <f t="shared" si="2"/>
        <v>2.1126760563380285</v>
      </c>
      <c r="F15" s="154">
        <v>5</v>
      </c>
      <c r="G15" s="118">
        <v>74</v>
      </c>
      <c r="H15" s="154">
        <f t="shared" si="0"/>
        <v>52.112676056338032</v>
      </c>
      <c r="I15" s="154">
        <v>72</v>
      </c>
      <c r="J15" s="41" t="s">
        <v>88</v>
      </c>
      <c r="K15" s="41">
        <f t="shared" si="3"/>
        <v>47.183098591549296</v>
      </c>
      <c r="L15" s="42">
        <f>(G15-5)/1.42</f>
        <v>48.591549295774648</v>
      </c>
      <c r="M15" s="41">
        <f>L15+(6/1.42)</f>
        <v>52.816901408450704</v>
      </c>
      <c r="N15" s="43">
        <v>14</v>
      </c>
      <c r="O15" s="44" t="s">
        <v>89</v>
      </c>
      <c r="P15" s="44">
        <v>11.2</v>
      </c>
      <c r="Q15" s="157">
        <v>142</v>
      </c>
      <c r="R15" s="157"/>
      <c r="S15" s="157">
        <v>94393193</v>
      </c>
      <c r="T15" s="45">
        <f>IF(ISBLANK(S15),"-",S15-S14)</f>
        <v>4314</v>
      </c>
      <c r="U15" s="46">
        <f t="shared" si="5"/>
        <v>103.536</v>
      </c>
      <c r="V15" s="46">
        <f t="shared" si="6"/>
        <v>4.3140000000000001</v>
      </c>
      <c r="W15" s="96">
        <v>8.5</v>
      </c>
      <c r="X15" s="96">
        <f t="shared" si="1"/>
        <v>8.5</v>
      </c>
      <c r="Y15" s="97" t="s">
        <v>138</v>
      </c>
      <c r="Z15" s="158">
        <v>0</v>
      </c>
      <c r="AA15" s="158">
        <v>0</v>
      </c>
      <c r="AB15" s="158">
        <v>1187</v>
      </c>
      <c r="AC15" s="158">
        <v>1185</v>
      </c>
      <c r="AD15" s="158">
        <v>0</v>
      </c>
      <c r="AE15" s="158">
        <v>1185</v>
      </c>
      <c r="AF15" s="47" t="s">
        <v>90</v>
      </c>
      <c r="AG15" s="47" t="s">
        <v>90</v>
      </c>
      <c r="AH15" s="98" t="s">
        <v>90</v>
      </c>
      <c r="AI15" s="103">
        <v>15715761</v>
      </c>
      <c r="AJ15" s="45">
        <f t="shared" si="7"/>
        <v>1104</v>
      </c>
      <c r="AK15" s="48">
        <f t="shared" si="8"/>
        <v>255.91098748261473</v>
      </c>
      <c r="AL15" s="155">
        <v>0</v>
      </c>
      <c r="AM15" s="155">
        <v>0</v>
      </c>
      <c r="AN15" s="155">
        <v>1</v>
      </c>
      <c r="AO15" s="155">
        <v>1</v>
      </c>
      <c r="AP15" s="155">
        <v>0</v>
      </c>
      <c r="AQ15" s="155">
        <v>1</v>
      </c>
      <c r="AR15" s="155">
        <v>0.8</v>
      </c>
      <c r="AS15" s="158"/>
      <c r="AT15" s="158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357">
        <v>43234</v>
      </c>
      <c r="B16" s="40">
        <v>2.125</v>
      </c>
      <c r="C16" s="40">
        <v>0.16666666666666699</v>
      </c>
      <c r="D16" s="156">
        <v>3</v>
      </c>
      <c r="E16" s="154">
        <f t="shared" si="2"/>
        <v>2.1126760563380285</v>
      </c>
      <c r="F16" s="154">
        <v>6</v>
      </c>
      <c r="G16" s="118">
        <v>83</v>
      </c>
      <c r="H16" s="154">
        <f t="shared" si="0"/>
        <v>58.450704225352112</v>
      </c>
      <c r="I16" s="154">
        <v>78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7">
        <v>117</v>
      </c>
      <c r="R16" s="157"/>
      <c r="S16" s="157">
        <v>94397383</v>
      </c>
      <c r="T16" s="45">
        <f t="shared" si="4"/>
        <v>4190</v>
      </c>
      <c r="U16" s="46">
        <f t="shared" si="5"/>
        <v>100.56</v>
      </c>
      <c r="V16" s="46">
        <f t="shared" si="6"/>
        <v>4.1900000000000004</v>
      </c>
      <c r="W16" s="96">
        <v>9.5</v>
      </c>
      <c r="X16" s="96">
        <f t="shared" si="1"/>
        <v>9.5</v>
      </c>
      <c r="Y16" s="97" t="s">
        <v>138</v>
      </c>
      <c r="Z16" s="158">
        <v>0</v>
      </c>
      <c r="AA16" s="158">
        <v>0</v>
      </c>
      <c r="AB16" s="158">
        <v>1167</v>
      </c>
      <c r="AC16" s="158">
        <v>1185</v>
      </c>
      <c r="AD16" s="158">
        <v>0</v>
      </c>
      <c r="AE16" s="158">
        <v>1185</v>
      </c>
      <c r="AF16" s="47" t="s">
        <v>90</v>
      </c>
      <c r="AG16" s="47" t="s">
        <v>90</v>
      </c>
      <c r="AH16" s="98" t="s">
        <v>90</v>
      </c>
      <c r="AI16" s="103">
        <v>15716821</v>
      </c>
      <c r="AJ16" s="45">
        <f t="shared" si="7"/>
        <v>1060</v>
      </c>
      <c r="AK16" s="48">
        <f t="shared" si="8"/>
        <v>252.9832935560859</v>
      </c>
      <c r="AL16" s="155">
        <v>0</v>
      </c>
      <c r="AM16" s="155">
        <v>0</v>
      </c>
      <c r="AN16" s="155">
        <v>1</v>
      </c>
      <c r="AO16" s="155">
        <v>1</v>
      </c>
      <c r="AP16" s="155">
        <v>0</v>
      </c>
      <c r="AQ16" s="155">
        <v>1</v>
      </c>
      <c r="AR16" s="155">
        <v>0.8</v>
      </c>
      <c r="AS16" s="158"/>
      <c r="AT16" s="158">
        <f t="shared" si="9"/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357">
        <v>43234</v>
      </c>
      <c r="B17" s="40">
        <v>2.1666666666666701</v>
      </c>
      <c r="C17" s="40">
        <v>0.20833333333333301</v>
      </c>
      <c r="D17" s="156">
        <v>3</v>
      </c>
      <c r="E17" s="154">
        <f t="shared" si="2"/>
        <v>2.1126760563380285</v>
      </c>
      <c r="F17" s="154">
        <v>7</v>
      </c>
      <c r="G17" s="118">
        <v>83</v>
      </c>
      <c r="H17" s="154">
        <f t="shared" si="0"/>
        <v>58.450704225352112</v>
      </c>
      <c r="I17" s="154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7">
        <v>124</v>
      </c>
      <c r="R17" s="157"/>
      <c r="S17" s="157">
        <v>94402195</v>
      </c>
      <c r="T17" s="45">
        <f t="shared" si="4"/>
        <v>4812</v>
      </c>
      <c r="U17" s="46">
        <f t="shared" si="5"/>
        <v>115.488</v>
      </c>
      <c r="V17" s="46">
        <f t="shared" si="6"/>
        <v>4.8120000000000003</v>
      </c>
      <c r="W17" s="96">
        <v>9.5</v>
      </c>
      <c r="X17" s="96">
        <f t="shared" si="1"/>
        <v>9.5</v>
      </c>
      <c r="Y17" s="97" t="s">
        <v>138</v>
      </c>
      <c r="Z17" s="158">
        <v>0</v>
      </c>
      <c r="AA17" s="158">
        <v>0</v>
      </c>
      <c r="AB17" s="158">
        <v>0</v>
      </c>
      <c r="AC17" s="158">
        <v>1185</v>
      </c>
      <c r="AD17" s="158">
        <v>1187</v>
      </c>
      <c r="AE17" s="158">
        <v>1185</v>
      </c>
      <c r="AF17" s="47" t="s">
        <v>90</v>
      </c>
      <c r="AG17" s="47" t="s">
        <v>90</v>
      </c>
      <c r="AH17" s="98" t="s">
        <v>90</v>
      </c>
      <c r="AI17" s="103">
        <v>15717905</v>
      </c>
      <c r="AJ17" s="45">
        <f t="shared" si="7"/>
        <v>1084</v>
      </c>
      <c r="AK17" s="48">
        <f t="shared" si="8"/>
        <v>225.2701579384871</v>
      </c>
      <c r="AL17" s="155">
        <v>0</v>
      </c>
      <c r="AM17" s="155">
        <v>0</v>
      </c>
      <c r="AN17" s="155">
        <v>0</v>
      </c>
      <c r="AO17" s="155">
        <v>1</v>
      </c>
      <c r="AP17" s="155">
        <v>1</v>
      </c>
      <c r="AQ17" s="155">
        <v>1</v>
      </c>
      <c r="AR17" s="155">
        <v>0</v>
      </c>
      <c r="AS17" s="158"/>
      <c r="AT17" s="158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57">
        <v>43234</v>
      </c>
      <c r="B18" s="40">
        <v>2.2083333333333299</v>
      </c>
      <c r="C18" s="40">
        <v>0.25</v>
      </c>
      <c r="D18" s="156">
        <v>3</v>
      </c>
      <c r="E18" s="154">
        <f t="shared" si="2"/>
        <v>2.1126760563380285</v>
      </c>
      <c r="F18" s="154">
        <v>8</v>
      </c>
      <c r="G18" s="118">
        <v>83</v>
      </c>
      <c r="H18" s="154">
        <f t="shared" si="0"/>
        <v>58.450704225352112</v>
      </c>
      <c r="I18" s="154">
        <v>80</v>
      </c>
      <c r="J18" s="41" t="s">
        <v>88</v>
      </c>
      <c r="K18" s="41">
        <f t="shared" si="3"/>
        <v>57.04225352112676</v>
      </c>
      <c r="L18" s="42">
        <f t="shared" ref="L18:L27" si="10">G18/1.42</f>
        <v>58.450704225352112</v>
      </c>
      <c r="M18" s="41">
        <f>L18+1.42</f>
        <v>59.870704225352114</v>
      </c>
      <c r="N18" s="43">
        <v>19</v>
      </c>
      <c r="O18" s="44" t="s">
        <v>100</v>
      </c>
      <c r="P18" s="44">
        <v>13.1</v>
      </c>
      <c r="Q18" s="157">
        <v>135</v>
      </c>
      <c r="R18" s="157"/>
      <c r="S18" s="157">
        <v>94407670</v>
      </c>
      <c r="T18" s="45">
        <f t="shared" si="4"/>
        <v>5475</v>
      </c>
      <c r="U18" s="46">
        <f t="shared" si="5"/>
        <v>131.4</v>
      </c>
      <c r="V18" s="46">
        <f t="shared" si="6"/>
        <v>5.4749999999999996</v>
      </c>
      <c r="W18" s="96">
        <v>9.5</v>
      </c>
      <c r="X18" s="96">
        <f t="shared" si="1"/>
        <v>9.5</v>
      </c>
      <c r="Y18" s="97" t="s">
        <v>138</v>
      </c>
      <c r="Z18" s="158">
        <v>0</v>
      </c>
      <c r="AA18" s="158">
        <v>0</v>
      </c>
      <c r="AB18" s="158">
        <v>0</v>
      </c>
      <c r="AC18" s="158">
        <v>1185</v>
      </c>
      <c r="AD18" s="158">
        <v>1187</v>
      </c>
      <c r="AE18" s="158">
        <v>1185</v>
      </c>
      <c r="AF18" s="47" t="s">
        <v>90</v>
      </c>
      <c r="AG18" s="47" t="s">
        <v>90</v>
      </c>
      <c r="AH18" s="98" t="s">
        <v>90</v>
      </c>
      <c r="AI18" s="103">
        <v>15719005</v>
      </c>
      <c r="AJ18" s="45">
        <f t="shared" si="7"/>
        <v>1100</v>
      </c>
      <c r="AK18" s="48">
        <f t="shared" si="8"/>
        <v>200.91324200913243</v>
      </c>
      <c r="AL18" s="155">
        <v>0</v>
      </c>
      <c r="AM18" s="155">
        <v>0</v>
      </c>
      <c r="AN18" s="155">
        <v>0</v>
      </c>
      <c r="AO18" s="155">
        <v>1</v>
      </c>
      <c r="AP18" s="155">
        <v>1</v>
      </c>
      <c r="AQ18" s="155">
        <v>1</v>
      </c>
      <c r="AR18" s="155">
        <v>0</v>
      </c>
      <c r="AS18" s="158"/>
      <c r="AT18" s="158">
        <f t="shared" si="9"/>
        <v>0</v>
      </c>
      <c r="AU18" s="119">
        <v>0.83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57">
        <v>43234</v>
      </c>
      <c r="B19" s="40">
        <v>2.25</v>
      </c>
      <c r="C19" s="40">
        <v>0.29166666666666669</v>
      </c>
      <c r="D19" s="156">
        <v>3</v>
      </c>
      <c r="E19" s="154">
        <f t="shared" si="2"/>
        <v>2.1126760563380285</v>
      </c>
      <c r="F19" s="154">
        <v>8</v>
      </c>
      <c r="G19" s="118">
        <v>80</v>
      </c>
      <c r="H19" s="154">
        <f t="shared" si="0"/>
        <v>56.338028169014088</v>
      </c>
      <c r="I19" s="154">
        <v>78</v>
      </c>
      <c r="J19" s="41" t="s">
        <v>88</v>
      </c>
      <c r="K19" s="41">
        <f t="shared" si="3"/>
        <v>54.929577464788736</v>
      </c>
      <c r="L19" s="42">
        <f t="shared" si="10"/>
        <v>56.338028169014088</v>
      </c>
      <c r="M19" s="41">
        <f>L19+1.42</f>
        <v>57.758028169014089</v>
      </c>
      <c r="N19" s="43">
        <v>19</v>
      </c>
      <c r="O19" s="44" t="s">
        <v>100</v>
      </c>
      <c r="P19" s="44">
        <v>16.7</v>
      </c>
      <c r="Q19" s="157">
        <v>140</v>
      </c>
      <c r="R19" s="157"/>
      <c r="S19" s="157">
        <v>94412122</v>
      </c>
      <c r="T19" s="45">
        <f t="shared" si="4"/>
        <v>4452</v>
      </c>
      <c r="U19" s="46">
        <f t="shared" si="5"/>
        <v>106.848</v>
      </c>
      <c r="V19" s="46">
        <f t="shared" si="6"/>
        <v>4.452</v>
      </c>
      <c r="W19" s="96">
        <v>9.5</v>
      </c>
      <c r="X19" s="96">
        <f t="shared" si="1"/>
        <v>9.5</v>
      </c>
      <c r="Y19" s="97" t="s">
        <v>138</v>
      </c>
      <c r="Z19" s="158">
        <v>0</v>
      </c>
      <c r="AA19" s="158">
        <v>0</v>
      </c>
      <c r="AB19" s="158">
        <v>0</v>
      </c>
      <c r="AC19" s="158">
        <v>1185</v>
      </c>
      <c r="AD19" s="158">
        <v>1187</v>
      </c>
      <c r="AE19" s="158">
        <v>1185</v>
      </c>
      <c r="AF19" s="47" t="s">
        <v>90</v>
      </c>
      <c r="AG19" s="47" t="s">
        <v>90</v>
      </c>
      <c r="AH19" s="98" t="s">
        <v>90</v>
      </c>
      <c r="AI19" s="103">
        <v>15720050</v>
      </c>
      <c r="AJ19" s="45">
        <f t="shared" si="7"/>
        <v>1045</v>
      </c>
      <c r="AK19" s="48">
        <f t="shared" si="8"/>
        <v>234.72596585804132</v>
      </c>
      <c r="AL19" s="155">
        <v>0</v>
      </c>
      <c r="AM19" s="155">
        <v>0</v>
      </c>
      <c r="AN19" s="155">
        <v>0</v>
      </c>
      <c r="AO19" s="155">
        <v>1</v>
      </c>
      <c r="AP19" s="155">
        <v>1</v>
      </c>
      <c r="AQ19" s="155">
        <v>1</v>
      </c>
      <c r="AR19" s="155">
        <v>0</v>
      </c>
      <c r="AS19" s="158"/>
      <c r="AT19" s="158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57">
        <v>43234</v>
      </c>
      <c r="B20" s="40">
        <v>2.2916666666666701</v>
      </c>
      <c r="C20" s="40">
        <v>0.33333333333333298</v>
      </c>
      <c r="D20" s="156">
        <v>3</v>
      </c>
      <c r="E20" s="154">
        <f t="shared" si="2"/>
        <v>2.1126760563380285</v>
      </c>
      <c r="F20" s="154">
        <v>8</v>
      </c>
      <c r="G20" s="118">
        <v>77</v>
      </c>
      <c r="H20" s="154">
        <f t="shared" si="0"/>
        <v>54.225352112676056</v>
      </c>
      <c r="I20" s="154">
        <v>75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7">
        <v>140</v>
      </c>
      <c r="R20" s="157"/>
      <c r="S20" s="157">
        <v>94416495</v>
      </c>
      <c r="T20" s="45">
        <f t="shared" si="4"/>
        <v>4373</v>
      </c>
      <c r="U20" s="46">
        <f>T20*24/1000</f>
        <v>104.952</v>
      </c>
      <c r="V20" s="46">
        <f t="shared" si="6"/>
        <v>4.3730000000000002</v>
      </c>
      <c r="W20" s="96">
        <v>9.5</v>
      </c>
      <c r="X20" s="96">
        <f t="shared" si="1"/>
        <v>9.5</v>
      </c>
      <c r="Y20" s="97" t="s">
        <v>138</v>
      </c>
      <c r="Z20" s="158">
        <v>0</v>
      </c>
      <c r="AA20" s="158">
        <v>0</v>
      </c>
      <c r="AB20" s="158">
        <v>0</v>
      </c>
      <c r="AC20" s="158">
        <v>1185</v>
      </c>
      <c r="AD20" s="158">
        <v>1188</v>
      </c>
      <c r="AE20" s="158">
        <v>1185</v>
      </c>
      <c r="AF20" s="47" t="s">
        <v>90</v>
      </c>
      <c r="AG20" s="47" t="s">
        <v>90</v>
      </c>
      <c r="AH20" s="98" t="s">
        <v>90</v>
      </c>
      <c r="AI20" s="103">
        <v>15721160</v>
      </c>
      <c r="AJ20" s="45">
        <f t="shared" si="7"/>
        <v>1110</v>
      </c>
      <c r="AK20" s="48">
        <f t="shared" si="8"/>
        <v>253.83032243311226</v>
      </c>
      <c r="AL20" s="155">
        <v>0</v>
      </c>
      <c r="AM20" s="155">
        <v>0</v>
      </c>
      <c r="AN20" s="155">
        <v>0</v>
      </c>
      <c r="AO20" s="155">
        <v>1</v>
      </c>
      <c r="AP20" s="155">
        <v>1</v>
      </c>
      <c r="AQ20" s="155">
        <v>1</v>
      </c>
      <c r="AR20" s="155">
        <v>0</v>
      </c>
      <c r="AS20" s="158"/>
      <c r="AT20" s="158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357">
        <v>43234</v>
      </c>
      <c r="B21" s="40">
        <v>2.3333333333333299</v>
      </c>
      <c r="C21" s="40">
        <v>0.375</v>
      </c>
      <c r="D21" s="156">
        <v>3</v>
      </c>
      <c r="E21" s="154">
        <f t="shared" si="2"/>
        <v>2.1126760563380285</v>
      </c>
      <c r="F21" s="154">
        <v>6</v>
      </c>
      <c r="G21" s="118">
        <v>79</v>
      </c>
      <c r="H21" s="154">
        <f t="shared" si="0"/>
        <v>55.633802816901408</v>
      </c>
      <c r="I21" s="154">
        <v>77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7">
        <v>132</v>
      </c>
      <c r="R21" s="157"/>
      <c r="S21" s="157">
        <v>94420838</v>
      </c>
      <c r="T21" s="45">
        <f t="shared" si="4"/>
        <v>4343</v>
      </c>
      <c r="U21" s="46">
        <f t="shared" si="5"/>
        <v>104.232</v>
      </c>
      <c r="V21" s="46">
        <f t="shared" si="6"/>
        <v>4.343</v>
      </c>
      <c r="W21" s="96">
        <v>8.9</v>
      </c>
      <c r="X21" s="96">
        <f t="shared" si="1"/>
        <v>8.9</v>
      </c>
      <c r="Y21" s="97" t="s">
        <v>169</v>
      </c>
      <c r="Z21" s="158">
        <v>0</v>
      </c>
      <c r="AA21" s="158">
        <v>1027</v>
      </c>
      <c r="AB21" s="158">
        <v>0</v>
      </c>
      <c r="AC21" s="158">
        <v>1185</v>
      </c>
      <c r="AD21" s="158">
        <v>1187</v>
      </c>
      <c r="AE21" s="158">
        <v>1185</v>
      </c>
      <c r="AF21" s="47" t="s">
        <v>90</v>
      </c>
      <c r="AG21" s="47" t="s">
        <v>90</v>
      </c>
      <c r="AH21" s="98" t="s">
        <v>90</v>
      </c>
      <c r="AI21" s="103">
        <v>15722357</v>
      </c>
      <c r="AJ21" s="45">
        <f t="shared" si="7"/>
        <v>1197</v>
      </c>
      <c r="AK21" s="48">
        <f t="shared" si="8"/>
        <v>275.61593368639188</v>
      </c>
      <c r="AL21" s="155">
        <v>0</v>
      </c>
      <c r="AM21" s="155">
        <v>1</v>
      </c>
      <c r="AN21" s="155">
        <v>0</v>
      </c>
      <c r="AO21" s="155">
        <v>1</v>
      </c>
      <c r="AP21" s="155">
        <v>1</v>
      </c>
      <c r="AQ21" s="155">
        <v>1</v>
      </c>
      <c r="AR21" s="155">
        <v>0</v>
      </c>
      <c r="AS21" s="158"/>
      <c r="AT21" s="158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205</v>
      </c>
    </row>
    <row r="22" spans="1:54" x14ac:dyDescent="0.35">
      <c r="A22" s="357">
        <v>43234</v>
      </c>
      <c r="B22" s="40">
        <v>2.375</v>
      </c>
      <c r="C22" s="40">
        <v>0.41666666666666669</v>
      </c>
      <c r="D22" s="156">
        <v>3</v>
      </c>
      <c r="E22" s="154">
        <f t="shared" si="2"/>
        <v>2.1126760563380285</v>
      </c>
      <c r="F22" s="154">
        <v>5</v>
      </c>
      <c r="G22" s="118">
        <v>78</v>
      </c>
      <c r="H22" s="154">
        <f t="shared" si="0"/>
        <v>54.929577464788736</v>
      </c>
      <c r="I22" s="154">
        <v>75</v>
      </c>
      <c r="J22" s="41" t="s">
        <v>88</v>
      </c>
      <c r="K22" s="41">
        <f t="shared" si="3"/>
        <v>53.521126760563384</v>
      </c>
      <c r="L22" s="42">
        <f t="shared" si="10"/>
        <v>54.929577464788736</v>
      </c>
      <c r="M22" s="41">
        <f t="shared" si="11"/>
        <v>56.349577464788737</v>
      </c>
      <c r="N22" s="43">
        <v>19</v>
      </c>
      <c r="O22" s="44" t="s">
        <v>100</v>
      </c>
      <c r="P22" s="44">
        <v>17.7</v>
      </c>
      <c r="Q22" s="157">
        <v>133</v>
      </c>
      <c r="R22" s="157"/>
      <c r="S22" s="157">
        <v>94424540</v>
      </c>
      <c r="T22" s="45">
        <f t="shared" si="4"/>
        <v>3702</v>
      </c>
      <c r="U22" s="46">
        <f t="shared" si="5"/>
        <v>88.847999999999999</v>
      </c>
      <c r="V22" s="46">
        <f t="shared" si="6"/>
        <v>3.702</v>
      </c>
      <c r="W22" s="96">
        <v>8.4</v>
      </c>
      <c r="X22" s="96">
        <f t="shared" si="1"/>
        <v>8.4</v>
      </c>
      <c r="Y22" s="97" t="s">
        <v>169</v>
      </c>
      <c r="Z22" s="158">
        <v>0</v>
      </c>
      <c r="AA22" s="158">
        <v>1028</v>
      </c>
      <c r="AB22" s="158">
        <v>0</v>
      </c>
      <c r="AC22" s="158">
        <v>1185</v>
      </c>
      <c r="AD22" s="158">
        <v>1187</v>
      </c>
      <c r="AE22" s="158">
        <v>1185</v>
      </c>
      <c r="AF22" s="47" t="s">
        <v>90</v>
      </c>
      <c r="AG22" s="47" t="s">
        <v>90</v>
      </c>
      <c r="AH22" s="98" t="s">
        <v>90</v>
      </c>
      <c r="AI22" s="103">
        <v>15723541</v>
      </c>
      <c r="AJ22" s="45">
        <f t="shared" si="7"/>
        <v>1184</v>
      </c>
      <c r="AK22" s="48">
        <f t="shared" si="8"/>
        <v>319.82712047541872</v>
      </c>
      <c r="AL22" s="155">
        <v>0</v>
      </c>
      <c r="AM22" s="155">
        <v>1</v>
      </c>
      <c r="AN22" s="155">
        <v>0</v>
      </c>
      <c r="AO22" s="155">
        <v>1</v>
      </c>
      <c r="AP22" s="155">
        <v>1</v>
      </c>
      <c r="AQ22" s="155">
        <v>1</v>
      </c>
      <c r="AR22" s="155">
        <v>0</v>
      </c>
      <c r="AS22" s="158"/>
      <c r="AT22" s="158">
        <f t="shared" si="9"/>
        <v>0</v>
      </c>
      <c r="AU22" s="119">
        <v>1.01</v>
      </c>
      <c r="AV22" s="50" t="s">
        <v>125</v>
      </c>
      <c r="BB22" s="136" t="s">
        <v>157</v>
      </c>
    </row>
    <row r="23" spans="1:54" x14ac:dyDescent="0.35">
      <c r="A23" s="357">
        <v>43234</v>
      </c>
      <c r="B23" s="40">
        <v>2.4166666666666701</v>
      </c>
      <c r="C23" s="40">
        <v>0.45833333333333298</v>
      </c>
      <c r="D23" s="156">
        <v>3</v>
      </c>
      <c r="E23" s="154">
        <f t="shared" si="2"/>
        <v>2.1126760563380285</v>
      </c>
      <c r="F23" s="154">
        <v>5</v>
      </c>
      <c r="G23" s="118">
        <v>78</v>
      </c>
      <c r="H23" s="154">
        <f t="shared" si="0"/>
        <v>54.929577464788736</v>
      </c>
      <c r="I23" s="154">
        <v>75</v>
      </c>
      <c r="J23" s="41" t="s">
        <v>88</v>
      </c>
      <c r="K23" s="41">
        <f t="shared" si="3"/>
        <v>53.521126760563384</v>
      </c>
      <c r="L23" s="42">
        <f t="shared" si="10"/>
        <v>54.929577464788736</v>
      </c>
      <c r="M23" s="41">
        <f t="shared" si="11"/>
        <v>56.349577464788737</v>
      </c>
      <c r="N23" s="43">
        <v>19</v>
      </c>
      <c r="O23" s="44" t="s">
        <v>100</v>
      </c>
      <c r="P23" s="44">
        <v>17.7</v>
      </c>
      <c r="Q23" s="157">
        <v>132</v>
      </c>
      <c r="R23" s="157"/>
      <c r="S23" s="157">
        <v>94428770</v>
      </c>
      <c r="T23" s="45">
        <f t="shared" si="4"/>
        <v>4230</v>
      </c>
      <c r="U23" s="46">
        <f t="shared" si="5"/>
        <v>101.52</v>
      </c>
      <c r="V23" s="46">
        <f t="shared" si="6"/>
        <v>4.2300000000000004</v>
      </c>
      <c r="W23" s="96">
        <v>7.7</v>
      </c>
      <c r="X23" s="96">
        <f>W23</f>
        <v>7.7</v>
      </c>
      <c r="Y23" s="97" t="s">
        <v>169</v>
      </c>
      <c r="Z23" s="158">
        <v>0</v>
      </c>
      <c r="AA23" s="158">
        <v>1027</v>
      </c>
      <c r="AB23" s="158">
        <v>0</v>
      </c>
      <c r="AC23" s="158">
        <v>1185</v>
      </c>
      <c r="AD23" s="158">
        <v>1187</v>
      </c>
      <c r="AE23" s="158">
        <v>1185</v>
      </c>
      <c r="AF23" s="47" t="s">
        <v>90</v>
      </c>
      <c r="AG23" s="47" t="s">
        <v>90</v>
      </c>
      <c r="AH23" s="98" t="s">
        <v>90</v>
      </c>
      <c r="AI23" s="103">
        <v>15724934</v>
      </c>
      <c r="AJ23" s="45">
        <f t="shared" si="7"/>
        <v>1393</v>
      </c>
      <c r="AK23" s="48">
        <f t="shared" si="8"/>
        <v>329.31442080378247</v>
      </c>
      <c r="AL23" s="155">
        <v>0</v>
      </c>
      <c r="AM23" s="155">
        <v>1</v>
      </c>
      <c r="AN23" s="155">
        <v>0</v>
      </c>
      <c r="AO23" s="155">
        <v>1</v>
      </c>
      <c r="AP23" s="155">
        <v>1</v>
      </c>
      <c r="AQ23" s="155">
        <v>1</v>
      </c>
      <c r="AR23" s="155">
        <v>0</v>
      </c>
      <c r="AS23" s="158"/>
      <c r="AT23" s="158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357">
        <v>43234</v>
      </c>
      <c r="B24" s="40">
        <v>2.4583333333333299</v>
      </c>
      <c r="C24" s="40">
        <v>0.5</v>
      </c>
      <c r="D24" s="156">
        <v>3</v>
      </c>
      <c r="E24" s="154">
        <f t="shared" si="2"/>
        <v>2.1126760563380285</v>
      </c>
      <c r="F24" s="154">
        <v>3</v>
      </c>
      <c r="G24" s="118">
        <v>76</v>
      </c>
      <c r="H24" s="154">
        <f t="shared" si="0"/>
        <v>53.521126760563384</v>
      </c>
      <c r="I24" s="154">
        <v>73</v>
      </c>
      <c r="J24" s="41" t="s">
        <v>88</v>
      </c>
      <c r="K24" s="41">
        <f t="shared" si="3"/>
        <v>52.112676056338032</v>
      </c>
      <c r="L24" s="42">
        <f t="shared" si="10"/>
        <v>53.521126760563384</v>
      </c>
      <c r="M24" s="41">
        <f t="shared" si="11"/>
        <v>54.941126760563385</v>
      </c>
      <c r="N24" s="43">
        <v>19</v>
      </c>
      <c r="O24" s="44" t="s">
        <v>100</v>
      </c>
      <c r="P24" s="44">
        <v>17.3</v>
      </c>
      <c r="Q24" s="157">
        <v>130</v>
      </c>
      <c r="R24" s="157"/>
      <c r="S24" s="157">
        <v>94432703</v>
      </c>
      <c r="T24" s="45">
        <f t="shared" si="4"/>
        <v>3933</v>
      </c>
      <c r="U24" s="46">
        <f>T24*24/1000</f>
        <v>94.391999999999996</v>
      </c>
      <c r="V24" s="46">
        <f t="shared" si="6"/>
        <v>3.9329999999999998</v>
      </c>
      <c r="W24" s="96">
        <v>7.1</v>
      </c>
      <c r="X24" s="96">
        <f t="shared" si="1"/>
        <v>7.1</v>
      </c>
      <c r="Y24" s="97" t="s">
        <v>169</v>
      </c>
      <c r="Z24" s="158">
        <v>0</v>
      </c>
      <c r="AA24" s="158">
        <v>1027</v>
      </c>
      <c r="AB24" s="158">
        <v>0</v>
      </c>
      <c r="AC24" s="158">
        <v>1185</v>
      </c>
      <c r="AD24" s="158">
        <v>1187</v>
      </c>
      <c r="AE24" s="158">
        <v>1185</v>
      </c>
      <c r="AF24" s="47" t="s">
        <v>90</v>
      </c>
      <c r="AG24" s="47" t="s">
        <v>90</v>
      </c>
      <c r="AH24" s="98" t="s">
        <v>90</v>
      </c>
      <c r="AI24" s="103">
        <v>15725918</v>
      </c>
      <c r="AJ24" s="45">
        <f t="shared" si="7"/>
        <v>984</v>
      </c>
      <c r="AK24" s="48">
        <f t="shared" si="8"/>
        <v>250.19069412662091</v>
      </c>
      <c r="AL24" s="155">
        <v>0</v>
      </c>
      <c r="AM24" s="155">
        <v>1</v>
      </c>
      <c r="AN24" s="155">
        <v>0</v>
      </c>
      <c r="AO24" s="155">
        <v>1</v>
      </c>
      <c r="AP24" s="155">
        <v>1</v>
      </c>
      <c r="AQ24" s="155">
        <v>1</v>
      </c>
      <c r="AR24" s="155">
        <v>0</v>
      </c>
      <c r="AS24" s="158"/>
      <c r="AT24" s="158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357">
        <v>43234</v>
      </c>
      <c r="B25" s="40">
        <v>2.5</v>
      </c>
      <c r="C25" s="40">
        <v>0.54166666666666696</v>
      </c>
      <c r="D25" s="156">
        <v>3</v>
      </c>
      <c r="E25" s="154">
        <f t="shared" si="2"/>
        <v>2.1126760563380285</v>
      </c>
      <c r="F25" s="154">
        <v>2</v>
      </c>
      <c r="G25" s="118">
        <v>76</v>
      </c>
      <c r="H25" s="154">
        <f t="shared" si="0"/>
        <v>53.521126760563384</v>
      </c>
      <c r="I25" s="154">
        <v>73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7">
        <v>129</v>
      </c>
      <c r="R25" s="157"/>
      <c r="S25" s="157">
        <v>94436635</v>
      </c>
      <c r="T25" s="45">
        <f t="shared" si="4"/>
        <v>3932</v>
      </c>
      <c r="U25" s="46">
        <f>T25*24/1000</f>
        <v>94.367999999999995</v>
      </c>
      <c r="V25" s="46">
        <f t="shared" si="6"/>
        <v>3.9319999999999999</v>
      </c>
      <c r="W25" s="96">
        <v>6.5</v>
      </c>
      <c r="X25" s="96">
        <f t="shared" si="1"/>
        <v>6.5</v>
      </c>
      <c r="Y25" s="97" t="s">
        <v>169</v>
      </c>
      <c r="Z25" s="158">
        <v>0</v>
      </c>
      <c r="AA25" s="158">
        <v>1027</v>
      </c>
      <c r="AB25" s="158">
        <v>0</v>
      </c>
      <c r="AC25" s="158">
        <v>1185</v>
      </c>
      <c r="AD25" s="158">
        <v>1187</v>
      </c>
      <c r="AE25" s="158">
        <v>1185</v>
      </c>
      <c r="AF25" s="47" t="s">
        <v>90</v>
      </c>
      <c r="AG25" s="47" t="s">
        <v>90</v>
      </c>
      <c r="AH25" s="98" t="s">
        <v>90</v>
      </c>
      <c r="AI25" s="103">
        <v>15727091</v>
      </c>
      <c r="AJ25" s="45">
        <f t="shared" si="7"/>
        <v>1173</v>
      </c>
      <c r="AK25" s="48">
        <f t="shared" si="8"/>
        <v>298.32146490335708</v>
      </c>
      <c r="AL25" s="155">
        <v>0</v>
      </c>
      <c r="AM25" s="155">
        <v>1</v>
      </c>
      <c r="AN25" s="155">
        <v>0</v>
      </c>
      <c r="AO25" s="155">
        <v>1</v>
      </c>
      <c r="AP25" s="155">
        <v>1</v>
      </c>
      <c r="AQ25" s="155">
        <v>1</v>
      </c>
      <c r="AR25" s="155">
        <v>0</v>
      </c>
      <c r="AS25" s="158"/>
      <c r="AT25" s="158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57">
        <v>43234</v>
      </c>
      <c r="B26" s="40">
        <v>2.5416666666666701</v>
      </c>
      <c r="C26" s="40">
        <v>0.58333333333333404</v>
      </c>
      <c r="D26" s="156">
        <v>3</v>
      </c>
      <c r="E26" s="154">
        <f t="shared" si="2"/>
        <v>2.1126760563380285</v>
      </c>
      <c r="F26" s="154">
        <v>2</v>
      </c>
      <c r="G26" s="118">
        <v>77</v>
      </c>
      <c r="H26" s="154">
        <f>G26/1.42</f>
        <v>54.225352112676056</v>
      </c>
      <c r="I26" s="154">
        <v>74</v>
      </c>
      <c r="J26" s="41" t="s">
        <v>88</v>
      </c>
      <c r="K26" s="41">
        <f t="shared" si="3"/>
        <v>52.816901408450704</v>
      </c>
      <c r="L26" s="42">
        <f t="shared" si="10"/>
        <v>54.225352112676056</v>
      </c>
      <c r="M26" s="41">
        <f t="shared" ref="M26:M36" si="12">L26+(6/1.42)</f>
        <v>58.450704225352112</v>
      </c>
      <c r="N26" s="43">
        <v>18</v>
      </c>
      <c r="O26" s="44" t="s">
        <v>100</v>
      </c>
      <c r="P26" s="44">
        <v>17.3</v>
      </c>
      <c r="Q26" s="157">
        <v>128</v>
      </c>
      <c r="R26" s="157"/>
      <c r="S26" s="157">
        <v>94440515</v>
      </c>
      <c r="T26" s="45">
        <f t="shared" si="4"/>
        <v>3880</v>
      </c>
      <c r="U26" s="46">
        <f t="shared" si="5"/>
        <v>93.12</v>
      </c>
      <c r="V26" s="46">
        <f t="shared" si="6"/>
        <v>3.88</v>
      </c>
      <c r="W26" s="96">
        <v>6.1</v>
      </c>
      <c r="X26" s="96">
        <f t="shared" si="1"/>
        <v>6.1</v>
      </c>
      <c r="Y26" s="97" t="s">
        <v>169</v>
      </c>
      <c r="Z26" s="158">
        <v>0</v>
      </c>
      <c r="AA26" s="158">
        <v>1028</v>
      </c>
      <c r="AB26" s="158">
        <v>0</v>
      </c>
      <c r="AC26" s="158">
        <v>1185</v>
      </c>
      <c r="AD26" s="158">
        <v>1187</v>
      </c>
      <c r="AE26" s="158">
        <v>1185</v>
      </c>
      <c r="AF26" s="47" t="s">
        <v>90</v>
      </c>
      <c r="AG26" s="47" t="s">
        <v>90</v>
      </c>
      <c r="AH26" s="98" t="s">
        <v>90</v>
      </c>
      <c r="AI26" s="103">
        <v>15728241</v>
      </c>
      <c r="AJ26" s="45">
        <f t="shared" si="7"/>
        <v>1150</v>
      </c>
      <c r="AK26" s="48">
        <f t="shared" si="8"/>
        <v>296.39175257731961</v>
      </c>
      <c r="AL26" s="155">
        <v>0</v>
      </c>
      <c r="AM26" s="155">
        <v>1</v>
      </c>
      <c r="AN26" s="155">
        <v>0</v>
      </c>
      <c r="AO26" s="155">
        <v>1</v>
      </c>
      <c r="AP26" s="155">
        <v>1</v>
      </c>
      <c r="AQ26" s="155">
        <v>1</v>
      </c>
      <c r="AR26" s="155">
        <v>0</v>
      </c>
      <c r="AS26" s="158"/>
      <c r="AT26" s="158">
        <f t="shared" si="9"/>
        <v>0</v>
      </c>
      <c r="AU26" s="119">
        <v>1.1000000000000001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57">
        <v>43234</v>
      </c>
      <c r="B27" s="40">
        <v>2.5833333333333299</v>
      </c>
      <c r="C27" s="40">
        <v>0.625</v>
      </c>
      <c r="D27" s="156">
        <v>3</v>
      </c>
      <c r="E27" s="154">
        <f t="shared" si="2"/>
        <v>2.1126760563380285</v>
      </c>
      <c r="F27" s="154">
        <v>1</v>
      </c>
      <c r="G27" s="118">
        <v>78</v>
      </c>
      <c r="H27" s="154">
        <f>G27/1.42</f>
        <v>54.929577464788736</v>
      </c>
      <c r="I27" s="154">
        <v>75</v>
      </c>
      <c r="J27" s="41" t="s">
        <v>88</v>
      </c>
      <c r="K27" s="41">
        <f t="shared" si="3"/>
        <v>53.521126760563384</v>
      </c>
      <c r="L27" s="42">
        <f t="shared" si="10"/>
        <v>54.929577464788736</v>
      </c>
      <c r="M27" s="41">
        <f t="shared" si="12"/>
        <v>59.154929577464792</v>
      </c>
      <c r="N27" s="43">
        <v>18</v>
      </c>
      <c r="O27" s="44" t="s">
        <v>100</v>
      </c>
      <c r="P27" s="44">
        <v>16.899999999999999</v>
      </c>
      <c r="Q27" s="157">
        <v>129</v>
      </c>
      <c r="R27" s="157"/>
      <c r="S27" s="157">
        <v>94444996</v>
      </c>
      <c r="T27" s="45">
        <f t="shared" si="4"/>
        <v>4481</v>
      </c>
      <c r="U27" s="46">
        <f t="shared" si="5"/>
        <v>107.544</v>
      </c>
      <c r="V27" s="46">
        <f t="shared" si="6"/>
        <v>4.4809999999999999</v>
      </c>
      <c r="W27" s="96">
        <v>5.6</v>
      </c>
      <c r="X27" s="96">
        <f t="shared" si="1"/>
        <v>5.6</v>
      </c>
      <c r="Y27" s="97" t="s">
        <v>169</v>
      </c>
      <c r="Z27" s="158">
        <v>0</v>
      </c>
      <c r="AA27" s="158">
        <v>1016</v>
      </c>
      <c r="AB27" s="158">
        <v>0</v>
      </c>
      <c r="AC27" s="158">
        <v>1185</v>
      </c>
      <c r="AD27" s="158">
        <v>1187</v>
      </c>
      <c r="AE27" s="158">
        <v>1185</v>
      </c>
      <c r="AF27" s="47" t="s">
        <v>90</v>
      </c>
      <c r="AG27" s="47" t="s">
        <v>90</v>
      </c>
      <c r="AH27" s="98" t="s">
        <v>90</v>
      </c>
      <c r="AI27" s="103">
        <v>15729391</v>
      </c>
      <c r="AJ27" s="45">
        <f t="shared" si="7"/>
        <v>1150</v>
      </c>
      <c r="AK27" s="48">
        <f t="shared" si="8"/>
        <v>256.63914304842672</v>
      </c>
      <c r="AL27" s="155">
        <v>0</v>
      </c>
      <c r="AM27" s="155">
        <v>1</v>
      </c>
      <c r="AN27" s="155">
        <v>0</v>
      </c>
      <c r="AO27" s="155">
        <v>1</v>
      </c>
      <c r="AP27" s="155">
        <v>1</v>
      </c>
      <c r="AQ27" s="155">
        <v>1</v>
      </c>
      <c r="AR27" s="155">
        <v>0</v>
      </c>
      <c r="AS27" s="158"/>
      <c r="AT27" s="158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57">
        <v>43234</v>
      </c>
      <c r="B28" s="40">
        <v>2.625</v>
      </c>
      <c r="C28" s="40">
        <v>0.66666666666666696</v>
      </c>
      <c r="D28" s="156">
        <v>3</v>
      </c>
      <c r="E28" s="154">
        <f t="shared" si="2"/>
        <v>2.1126760563380285</v>
      </c>
      <c r="F28" s="154">
        <v>0</v>
      </c>
      <c r="G28" s="118">
        <v>78</v>
      </c>
      <c r="H28" s="154">
        <f t="shared" si="0"/>
        <v>54.929577464788736</v>
      </c>
      <c r="I28" s="154">
        <v>76</v>
      </c>
      <c r="J28" s="41" t="s">
        <v>88</v>
      </c>
      <c r="K28" s="41">
        <f t="shared" si="3"/>
        <v>51.408450704225352</v>
      </c>
      <c r="L28" s="42">
        <f>(G28-3)/1.42</f>
        <v>52.816901408450704</v>
      </c>
      <c r="M28" s="41">
        <f t="shared" si="12"/>
        <v>57.04225352112676</v>
      </c>
      <c r="N28" s="43">
        <v>18</v>
      </c>
      <c r="O28" s="44" t="s">
        <v>100</v>
      </c>
      <c r="P28" s="44">
        <v>16.7</v>
      </c>
      <c r="Q28" s="157">
        <v>130</v>
      </c>
      <c r="R28" s="157"/>
      <c r="S28" s="157">
        <v>94449375</v>
      </c>
      <c r="T28" s="45">
        <f t="shared" si="4"/>
        <v>4379</v>
      </c>
      <c r="U28" s="46">
        <f t="shared" si="5"/>
        <v>105.096</v>
      </c>
      <c r="V28" s="46">
        <f t="shared" si="6"/>
        <v>4.3789999999999996</v>
      </c>
      <c r="W28" s="96">
        <v>5.3</v>
      </c>
      <c r="X28" s="96">
        <f t="shared" si="1"/>
        <v>5.3</v>
      </c>
      <c r="Y28" s="97" t="s">
        <v>169</v>
      </c>
      <c r="Z28" s="158">
        <v>0</v>
      </c>
      <c r="AA28" s="158">
        <v>1015</v>
      </c>
      <c r="AB28" s="158">
        <v>0</v>
      </c>
      <c r="AC28" s="158">
        <v>1185</v>
      </c>
      <c r="AD28" s="158">
        <v>1187</v>
      </c>
      <c r="AE28" s="158">
        <v>1185</v>
      </c>
      <c r="AF28" s="47" t="s">
        <v>90</v>
      </c>
      <c r="AG28" s="47" t="s">
        <v>90</v>
      </c>
      <c r="AH28" s="98" t="s">
        <v>90</v>
      </c>
      <c r="AI28" s="103">
        <v>15730521</v>
      </c>
      <c r="AJ28" s="45">
        <f>IF(ISBLANK(AI28),"-",AI28-AI27)</f>
        <v>1130</v>
      </c>
      <c r="AK28" s="48">
        <f t="shared" si="8"/>
        <v>258.04978305549213</v>
      </c>
      <c r="AL28" s="155">
        <v>0</v>
      </c>
      <c r="AM28" s="155">
        <v>1</v>
      </c>
      <c r="AN28" s="155">
        <v>0</v>
      </c>
      <c r="AO28" s="155">
        <v>1</v>
      </c>
      <c r="AP28" s="155">
        <v>1</v>
      </c>
      <c r="AQ28" s="155">
        <v>1</v>
      </c>
      <c r="AR28" s="155">
        <v>0</v>
      </c>
      <c r="AS28" s="158"/>
      <c r="AT28" s="158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357">
        <v>43234</v>
      </c>
      <c r="B29" s="40">
        <v>2.6666666666666701</v>
      </c>
      <c r="C29" s="40">
        <v>0.70833333333333404</v>
      </c>
      <c r="D29" s="156">
        <v>3</v>
      </c>
      <c r="E29" s="154">
        <f t="shared" si="2"/>
        <v>2.1126760563380285</v>
      </c>
      <c r="F29" s="154">
        <v>1</v>
      </c>
      <c r="G29" s="118">
        <v>76</v>
      </c>
      <c r="H29" s="154">
        <f t="shared" si="0"/>
        <v>53.521126760563384</v>
      </c>
      <c r="I29" s="154">
        <v>74</v>
      </c>
      <c r="J29" s="41" t="s">
        <v>88</v>
      </c>
      <c r="K29" s="41">
        <f t="shared" si="3"/>
        <v>50</v>
      </c>
      <c r="L29" s="42">
        <f t="shared" ref="L29:L34" si="13">(G29-3)/1.42</f>
        <v>51.408450704225352</v>
      </c>
      <c r="M29" s="41">
        <f t="shared" si="12"/>
        <v>55.633802816901408</v>
      </c>
      <c r="N29" s="43">
        <v>18</v>
      </c>
      <c r="O29" s="44" t="s">
        <v>100</v>
      </c>
      <c r="P29" s="44">
        <v>16.7</v>
      </c>
      <c r="Q29" s="157">
        <v>129</v>
      </c>
      <c r="R29" s="157"/>
      <c r="S29" s="157">
        <v>94453530</v>
      </c>
      <c r="T29" s="45">
        <f t="shared" si="4"/>
        <v>4155</v>
      </c>
      <c r="U29" s="46">
        <f t="shared" si="5"/>
        <v>99.72</v>
      </c>
      <c r="V29" s="46">
        <f t="shared" si="6"/>
        <v>4.1550000000000002</v>
      </c>
      <c r="W29" s="96">
        <v>4.9000000000000004</v>
      </c>
      <c r="X29" s="96">
        <f t="shared" si="1"/>
        <v>4.9000000000000004</v>
      </c>
      <c r="Y29" s="97" t="s">
        <v>169</v>
      </c>
      <c r="Z29" s="158">
        <v>0</v>
      </c>
      <c r="AA29" s="158">
        <v>1016</v>
      </c>
      <c r="AB29" s="158">
        <v>0</v>
      </c>
      <c r="AC29" s="158">
        <v>1185</v>
      </c>
      <c r="AD29" s="158">
        <v>1187</v>
      </c>
      <c r="AE29" s="158">
        <v>1185</v>
      </c>
      <c r="AF29" s="47" t="s">
        <v>90</v>
      </c>
      <c r="AG29" s="47" t="s">
        <v>90</v>
      </c>
      <c r="AH29" s="98" t="s">
        <v>90</v>
      </c>
      <c r="AI29" s="103">
        <v>15731690</v>
      </c>
      <c r="AJ29" s="45">
        <f t="shared" si="7"/>
        <v>1169</v>
      </c>
      <c r="AK29" s="48">
        <f>AJ28/V29</f>
        <v>271.96149217809864</v>
      </c>
      <c r="AL29" s="155">
        <v>0</v>
      </c>
      <c r="AM29" s="155">
        <v>1</v>
      </c>
      <c r="AN29" s="155">
        <v>0</v>
      </c>
      <c r="AO29" s="155">
        <v>1</v>
      </c>
      <c r="AP29" s="155">
        <v>1</v>
      </c>
      <c r="AQ29" s="155">
        <v>1</v>
      </c>
      <c r="AR29" s="155">
        <v>0</v>
      </c>
      <c r="AS29" s="158"/>
      <c r="AT29" s="158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357">
        <v>43234</v>
      </c>
      <c r="B30" s="40">
        <v>2.7083333333333299</v>
      </c>
      <c r="C30" s="40">
        <v>0.750000000000002</v>
      </c>
      <c r="D30" s="156">
        <v>3</v>
      </c>
      <c r="E30" s="154">
        <f t="shared" si="2"/>
        <v>2.1126760563380285</v>
      </c>
      <c r="F30" s="154">
        <v>-1</v>
      </c>
      <c r="G30" s="118">
        <v>76</v>
      </c>
      <c r="H30" s="154">
        <f t="shared" si="0"/>
        <v>53.521126760563384</v>
      </c>
      <c r="I30" s="154">
        <v>74</v>
      </c>
      <c r="J30" s="41" t="s">
        <v>88</v>
      </c>
      <c r="K30" s="41">
        <f t="shared" si="3"/>
        <v>50</v>
      </c>
      <c r="L30" s="42">
        <f t="shared" si="13"/>
        <v>51.408450704225352</v>
      </c>
      <c r="M30" s="41">
        <f t="shared" si="12"/>
        <v>55.633802816901408</v>
      </c>
      <c r="N30" s="43">
        <v>18</v>
      </c>
      <c r="O30" s="44" t="s">
        <v>100</v>
      </c>
      <c r="P30" s="44">
        <v>16.7</v>
      </c>
      <c r="Q30" s="157">
        <v>130</v>
      </c>
      <c r="R30" s="157"/>
      <c r="S30" s="157">
        <v>94458009</v>
      </c>
      <c r="T30" s="45">
        <f t="shared" si="4"/>
        <v>4479</v>
      </c>
      <c r="U30" s="46">
        <f t="shared" si="5"/>
        <v>107.496</v>
      </c>
      <c r="V30" s="46">
        <f t="shared" si="6"/>
        <v>4.4790000000000001</v>
      </c>
      <c r="W30" s="96">
        <v>4.5</v>
      </c>
      <c r="X30" s="96">
        <f t="shared" si="1"/>
        <v>4.5</v>
      </c>
      <c r="Y30" s="97" t="s">
        <v>169</v>
      </c>
      <c r="Z30" s="158">
        <v>0</v>
      </c>
      <c r="AA30" s="158">
        <v>1016</v>
      </c>
      <c r="AB30" s="158">
        <v>0</v>
      </c>
      <c r="AC30" s="158">
        <v>1185</v>
      </c>
      <c r="AD30" s="158">
        <v>1187</v>
      </c>
      <c r="AE30" s="158">
        <v>1185</v>
      </c>
      <c r="AF30" s="47" t="s">
        <v>90</v>
      </c>
      <c r="AG30" s="47" t="s">
        <v>90</v>
      </c>
      <c r="AH30" s="98" t="s">
        <v>90</v>
      </c>
      <c r="AI30" s="103">
        <v>15732858</v>
      </c>
      <c r="AJ30" s="45">
        <f t="shared" si="7"/>
        <v>1168</v>
      </c>
      <c r="AK30" s="48">
        <f>AJ29/V30</f>
        <v>260.99575798169235</v>
      </c>
      <c r="AL30" s="155">
        <v>0</v>
      </c>
      <c r="AM30" s="155">
        <v>1</v>
      </c>
      <c r="AN30" s="155">
        <v>0</v>
      </c>
      <c r="AO30" s="155">
        <v>1</v>
      </c>
      <c r="AP30" s="155">
        <v>1</v>
      </c>
      <c r="AQ30" s="155">
        <v>1</v>
      </c>
      <c r="AR30" s="155">
        <v>0</v>
      </c>
      <c r="AS30" s="158"/>
      <c r="AT30" s="158">
        <f t="shared" si="9"/>
        <v>0</v>
      </c>
      <c r="AU30" s="159">
        <v>1.03</v>
      </c>
      <c r="AV30" s="50" t="s">
        <v>124</v>
      </c>
      <c r="AY30" s="55" t="s">
        <v>114</v>
      </c>
      <c r="AZ30" s="55">
        <v>101.325</v>
      </c>
      <c r="BB30" s="74" t="s">
        <v>143</v>
      </c>
    </row>
    <row r="31" spans="1:54" x14ac:dyDescent="0.35">
      <c r="A31" s="357">
        <v>43234</v>
      </c>
      <c r="B31" s="40">
        <v>2.75</v>
      </c>
      <c r="C31" s="40">
        <v>0.79166666666666896</v>
      </c>
      <c r="D31" s="156">
        <v>3</v>
      </c>
      <c r="E31" s="154">
        <f t="shared" si="2"/>
        <v>2.1126760563380285</v>
      </c>
      <c r="F31" s="154">
        <v>-2</v>
      </c>
      <c r="G31" s="118">
        <v>76</v>
      </c>
      <c r="H31" s="154">
        <f t="shared" si="0"/>
        <v>53.521126760563384</v>
      </c>
      <c r="I31" s="154">
        <v>73</v>
      </c>
      <c r="J31" s="41" t="s">
        <v>88</v>
      </c>
      <c r="K31" s="41">
        <f t="shared" si="3"/>
        <v>50</v>
      </c>
      <c r="L31" s="42">
        <f t="shared" si="13"/>
        <v>51.408450704225352</v>
      </c>
      <c r="M31" s="41">
        <f t="shared" si="12"/>
        <v>55.633802816901408</v>
      </c>
      <c r="N31" s="43">
        <v>18</v>
      </c>
      <c r="O31" s="44" t="s">
        <v>100</v>
      </c>
      <c r="P31" s="44">
        <v>16.600000000000001</v>
      </c>
      <c r="Q31" s="157">
        <v>129</v>
      </c>
      <c r="R31" s="157"/>
      <c r="S31" s="157">
        <v>94463039</v>
      </c>
      <c r="T31" s="45">
        <f t="shared" si="4"/>
        <v>5030</v>
      </c>
      <c r="U31" s="46">
        <f t="shared" si="5"/>
        <v>120.72</v>
      </c>
      <c r="V31" s="46">
        <f t="shared" si="6"/>
        <v>5.03</v>
      </c>
      <c r="W31" s="96">
        <v>4</v>
      </c>
      <c r="X31" s="96">
        <f t="shared" si="1"/>
        <v>4</v>
      </c>
      <c r="Y31" s="97" t="s">
        <v>169</v>
      </c>
      <c r="Z31" s="158">
        <v>0</v>
      </c>
      <c r="AA31" s="158">
        <v>1015</v>
      </c>
      <c r="AB31" s="158">
        <v>0</v>
      </c>
      <c r="AC31" s="158">
        <v>1185</v>
      </c>
      <c r="AD31" s="158">
        <v>1187</v>
      </c>
      <c r="AE31" s="158">
        <v>1185</v>
      </c>
      <c r="AF31" s="47" t="s">
        <v>90</v>
      </c>
      <c r="AG31" s="47" t="s">
        <v>90</v>
      </c>
      <c r="AH31" s="98" t="s">
        <v>90</v>
      </c>
      <c r="AI31" s="103">
        <v>15734004</v>
      </c>
      <c r="AJ31" s="45">
        <f t="shared" si="7"/>
        <v>1146</v>
      </c>
      <c r="AK31" s="48">
        <f t="shared" si="8"/>
        <v>227.83300198807157</v>
      </c>
      <c r="AL31" s="155">
        <v>0</v>
      </c>
      <c r="AM31" s="155">
        <v>1</v>
      </c>
      <c r="AN31" s="155">
        <v>0</v>
      </c>
      <c r="AO31" s="155">
        <v>1</v>
      </c>
      <c r="AP31" s="155">
        <v>1</v>
      </c>
      <c r="AQ31" s="155">
        <v>1</v>
      </c>
      <c r="AR31" s="155">
        <v>0</v>
      </c>
      <c r="AS31" s="158"/>
      <c r="AT31" s="158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357">
        <v>43234</v>
      </c>
      <c r="B32" s="40">
        <v>2.7916666666666701</v>
      </c>
      <c r="C32" s="40">
        <v>0.83333333333333703</v>
      </c>
      <c r="D32" s="156">
        <v>3</v>
      </c>
      <c r="E32" s="154">
        <f t="shared" si="2"/>
        <v>2.1126760563380285</v>
      </c>
      <c r="F32" s="154">
        <v>-3</v>
      </c>
      <c r="G32" s="118">
        <v>75</v>
      </c>
      <c r="H32" s="154">
        <f t="shared" si="0"/>
        <v>52.816901408450704</v>
      </c>
      <c r="I32" s="154">
        <v>72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7">
        <v>128</v>
      </c>
      <c r="R32" s="157"/>
      <c r="S32" s="157">
        <v>94467794</v>
      </c>
      <c r="T32" s="45">
        <f t="shared" si="4"/>
        <v>4755</v>
      </c>
      <c r="U32" s="46">
        <f t="shared" si="5"/>
        <v>114.12</v>
      </c>
      <c r="V32" s="46">
        <f t="shared" si="6"/>
        <v>4.7549999999999999</v>
      </c>
      <c r="W32" s="96">
        <v>3.6</v>
      </c>
      <c r="X32" s="96">
        <f t="shared" si="1"/>
        <v>3.6</v>
      </c>
      <c r="Y32" s="97" t="s">
        <v>169</v>
      </c>
      <c r="Z32" s="158">
        <v>0</v>
      </c>
      <c r="AA32" s="158">
        <v>1016</v>
      </c>
      <c r="AB32" s="158">
        <v>0</v>
      </c>
      <c r="AC32" s="158">
        <v>1185</v>
      </c>
      <c r="AD32" s="158">
        <v>1187</v>
      </c>
      <c r="AE32" s="158">
        <v>1185</v>
      </c>
      <c r="AF32" s="47" t="s">
        <v>90</v>
      </c>
      <c r="AG32" s="47" t="s">
        <v>90</v>
      </c>
      <c r="AH32" s="98" t="s">
        <v>90</v>
      </c>
      <c r="AI32" s="103">
        <v>15735157</v>
      </c>
      <c r="AJ32" s="45">
        <f t="shared" si="7"/>
        <v>1153</v>
      </c>
      <c r="AK32" s="48">
        <f t="shared" si="8"/>
        <v>242.48159831756047</v>
      </c>
      <c r="AL32" s="155">
        <v>0</v>
      </c>
      <c r="AM32" s="155">
        <v>1</v>
      </c>
      <c r="AN32" s="155">
        <v>0</v>
      </c>
      <c r="AO32" s="155">
        <v>1</v>
      </c>
      <c r="AP32" s="155">
        <v>1</v>
      </c>
      <c r="AQ32" s="155">
        <v>1</v>
      </c>
      <c r="AR32" s="155">
        <v>0</v>
      </c>
      <c r="AS32" s="158"/>
      <c r="AT32" s="158">
        <v>0</v>
      </c>
      <c r="AU32" s="49"/>
      <c r="AV32" s="50" t="s">
        <v>124</v>
      </c>
      <c r="AY32" s="308" t="s">
        <v>115</v>
      </c>
      <c r="AZ32" s="308"/>
      <c r="BB32" s="74" t="s">
        <v>156</v>
      </c>
    </row>
    <row r="33" spans="1:54" x14ac:dyDescent="0.35">
      <c r="A33" s="357">
        <v>43234</v>
      </c>
      <c r="B33" s="40">
        <v>2.8333333333333299</v>
      </c>
      <c r="C33" s="40">
        <v>0.875</v>
      </c>
      <c r="D33" s="156">
        <v>3</v>
      </c>
      <c r="E33" s="154">
        <f t="shared" si="2"/>
        <v>2.1126760563380285</v>
      </c>
      <c r="F33" s="154">
        <v>-2</v>
      </c>
      <c r="G33" s="118">
        <v>76</v>
      </c>
      <c r="H33" s="154">
        <f t="shared" si="0"/>
        <v>53.521126760563384</v>
      </c>
      <c r="I33" s="154">
        <v>74</v>
      </c>
      <c r="J33" s="41" t="s">
        <v>88</v>
      </c>
      <c r="K33" s="41">
        <f t="shared" si="3"/>
        <v>50</v>
      </c>
      <c r="L33" s="42">
        <f t="shared" si="13"/>
        <v>51.408450704225352</v>
      </c>
      <c r="M33" s="41">
        <f t="shared" si="12"/>
        <v>55.633802816901408</v>
      </c>
      <c r="N33" s="43">
        <v>18</v>
      </c>
      <c r="O33" s="44" t="s">
        <v>100</v>
      </c>
      <c r="P33" s="44">
        <v>16.100000000000001</v>
      </c>
      <c r="Q33" s="157">
        <v>127</v>
      </c>
      <c r="R33" s="157"/>
      <c r="S33" s="157">
        <v>94472659</v>
      </c>
      <c r="T33" s="45">
        <f t="shared" si="4"/>
        <v>4865</v>
      </c>
      <c r="U33" s="46">
        <f t="shared" si="5"/>
        <v>116.76</v>
      </c>
      <c r="V33" s="46">
        <f t="shared" si="6"/>
        <v>4.8650000000000002</v>
      </c>
      <c r="W33" s="96">
        <v>3.2</v>
      </c>
      <c r="X33" s="96">
        <f t="shared" si="1"/>
        <v>3.2</v>
      </c>
      <c r="Y33" s="97" t="s">
        <v>169</v>
      </c>
      <c r="Z33" s="158">
        <v>0</v>
      </c>
      <c r="AA33" s="158">
        <v>1026</v>
      </c>
      <c r="AB33" s="158">
        <v>0</v>
      </c>
      <c r="AC33" s="158">
        <v>1185</v>
      </c>
      <c r="AD33" s="158">
        <v>1187</v>
      </c>
      <c r="AE33" s="158">
        <v>1185</v>
      </c>
      <c r="AF33" s="47" t="s">
        <v>90</v>
      </c>
      <c r="AG33" s="47" t="s">
        <v>90</v>
      </c>
      <c r="AH33" s="98" t="s">
        <v>90</v>
      </c>
      <c r="AI33" s="103">
        <v>15736339</v>
      </c>
      <c r="AJ33" s="45">
        <f t="shared" si="7"/>
        <v>1182</v>
      </c>
      <c r="AK33" s="48">
        <f t="shared" si="8"/>
        <v>242.95991778006166</v>
      </c>
      <c r="AL33" s="155">
        <v>0</v>
      </c>
      <c r="AM33" s="155">
        <v>1</v>
      </c>
      <c r="AN33" s="155">
        <v>0</v>
      </c>
      <c r="AO33" s="155">
        <v>1</v>
      </c>
      <c r="AP33" s="155">
        <v>1</v>
      </c>
      <c r="AQ33" s="155">
        <v>1</v>
      </c>
      <c r="AR33" s="155">
        <v>0</v>
      </c>
      <c r="AS33" s="158"/>
      <c r="AT33" s="158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57">
        <v>43234</v>
      </c>
      <c r="B34" s="40">
        <v>2.875</v>
      </c>
      <c r="C34" s="40">
        <v>0.91666666666667096</v>
      </c>
      <c r="D34" s="156">
        <v>3</v>
      </c>
      <c r="E34" s="154">
        <f t="shared" si="2"/>
        <v>2.1126760563380285</v>
      </c>
      <c r="F34" s="154">
        <v>-1</v>
      </c>
      <c r="G34" s="118">
        <v>77</v>
      </c>
      <c r="H34" s="154">
        <f t="shared" si="0"/>
        <v>54.225352112676056</v>
      </c>
      <c r="I34" s="154">
        <v>74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7">
        <v>128</v>
      </c>
      <c r="R34" s="157"/>
      <c r="S34" s="157">
        <v>94477076</v>
      </c>
      <c r="T34" s="45">
        <f t="shared" si="4"/>
        <v>4417</v>
      </c>
      <c r="U34" s="46">
        <f t="shared" si="5"/>
        <v>106.008</v>
      </c>
      <c r="V34" s="46">
        <f t="shared" si="6"/>
        <v>4.4169999999999998</v>
      </c>
      <c r="W34" s="96">
        <v>2.9</v>
      </c>
      <c r="X34" s="96">
        <f t="shared" si="1"/>
        <v>2.9</v>
      </c>
      <c r="Y34" s="97" t="s">
        <v>169</v>
      </c>
      <c r="Z34" s="158">
        <v>0</v>
      </c>
      <c r="AA34" s="158">
        <v>1016</v>
      </c>
      <c r="AB34" s="158">
        <v>0</v>
      </c>
      <c r="AC34" s="158">
        <v>1185</v>
      </c>
      <c r="AD34" s="158">
        <v>1187</v>
      </c>
      <c r="AE34" s="158">
        <v>1185</v>
      </c>
      <c r="AF34" s="47" t="s">
        <v>90</v>
      </c>
      <c r="AG34" s="47" t="s">
        <v>90</v>
      </c>
      <c r="AH34" s="98" t="s">
        <v>90</v>
      </c>
      <c r="AI34" s="103">
        <v>15737481</v>
      </c>
      <c r="AJ34" s="45">
        <f t="shared" si="7"/>
        <v>1142</v>
      </c>
      <c r="AK34" s="48">
        <f t="shared" si="8"/>
        <v>258.54652479058183</v>
      </c>
      <c r="AL34" s="155">
        <v>0</v>
      </c>
      <c r="AM34" s="155">
        <v>1</v>
      </c>
      <c r="AN34" s="155">
        <v>0</v>
      </c>
      <c r="AO34" s="155">
        <v>1</v>
      </c>
      <c r="AP34" s="155">
        <v>1</v>
      </c>
      <c r="AQ34" s="155">
        <v>1</v>
      </c>
      <c r="AR34" s="155">
        <v>0</v>
      </c>
      <c r="AS34" s="158"/>
      <c r="AT34" s="158">
        <f>AS34-AS33</f>
        <v>0</v>
      </c>
      <c r="AU34" s="119">
        <v>0.97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357">
        <v>43234</v>
      </c>
      <c r="B35" s="40">
        <v>2.9166666666666701</v>
      </c>
      <c r="C35" s="40">
        <v>0.95833333333333803</v>
      </c>
      <c r="D35" s="156">
        <v>3</v>
      </c>
      <c r="E35" s="154">
        <f t="shared" si="2"/>
        <v>2.1126760563380285</v>
      </c>
      <c r="F35" s="154">
        <v>1</v>
      </c>
      <c r="G35" s="118">
        <v>72</v>
      </c>
      <c r="H35" s="154">
        <f t="shared" si="0"/>
        <v>50.70422535211268</v>
      </c>
      <c r="I35" s="154">
        <v>71</v>
      </c>
      <c r="J35" s="41" t="s">
        <v>88</v>
      </c>
      <c r="K35" s="41">
        <f>L35-(2/1.42)</f>
        <v>45.774647887323944</v>
      </c>
      <c r="L35" s="42">
        <f>(G35-5)/1.42</f>
        <v>47.183098591549296</v>
      </c>
      <c r="M35" s="41">
        <f t="shared" si="12"/>
        <v>51.408450704225352</v>
      </c>
      <c r="N35" s="43">
        <v>14</v>
      </c>
      <c r="O35" s="44" t="s">
        <v>116</v>
      </c>
      <c r="P35" s="44">
        <v>11.9</v>
      </c>
      <c r="Q35" s="157">
        <v>141</v>
      </c>
      <c r="R35" s="157"/>
      <c r="S35" s="157">
        <v>94481585</v>
      </c>
      <c r="T35" s="45">
        <f t="shared" si="4"/>
        <v>4509</v>
      </c>
      <c r="U35" s="46">
        <f t="shared" si="5"/>
        <v>108.21599999999999</v>
      </c>
      <c r="V35" s="46">
        <f t="shared" si="6"/>
        <v>4.5090000000000003</v>
      </c>
      <c r="W35" s="96">
        <v>3.2</v>
      </c>
      <c r="X35" s="96">
        <f t="shared" si="1"/>
        <v>3.2</v>
      </c>
      <c r="Y35" s="97" t="s">
        <v>138</v>
      </c>
      <c r="Z35" s="158">
        <v>0</v>
      </c>
      <c r="AA35" s="158">
        <v>0</v>
      </c>
      <c r="AB35" s="158">
        <v>0</v>
      </c>
      <c r="AC35" s="158">
        <v>1185</v>
      </c>
      <c r="AD35" s="158">
        <v>1187</v>
      </c>
      <c r="AE35" s="158">
        <v>1185</v>
      </c>
      <c r="AF35" s="47" t="s">
        <v>90</v>
      </c>
      <c r="AG35" s="47" t="s">
        <v>90</v>
      </c>
      <c r="AH35" s="98" t="s">
        <v>90</v>
      </c>
      <c r="AI35" s="103">
        <v>15738566</v>
      </c>
      <c r="AJ35" s="45">
        <f t="shared" si="7"/>
        <v>1085</v>
      </c>
      <c r="AK35" s="48">
        <f t="shared" si="8"/>
        <v>240.62985140829451</v>
      </c>
      <c r="AL35" s="155">
        <v>0</v>
      </c>
      <c r="AM35" s="155">
        <v>0</v>
      </c>
      <c r="AN35" s="155">
        <v>0</v>
      </c>
      <c r="AO35" s="155">
        <v>1</v>
      </c>
      <c r="AP35" s="155">
        <v>1</v>
      </c>
      <c r="AQ35" s="155">
        <v>1</v>
      </c>
      <c r="AR35" s="155">
        <v>0.3</v>
      </c>
      <c r="AS35" s="158"/>
      <c r="AT35" s="158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357">
        <v>43234</v>
      </c>
      <c r="B36" s="40">
        <v>2.9583333333333299</v>
      </c>
      <c r="C36" s="40">
        <v>1</v>
      </c>
      <c r="D36" s="156">
        <v>3</v>
      </c>
      <c r="E36" s="154">
        <f t="shared" si="2"/>
        <v>2.1126760563380285</v>
      </c>
      <c r="F36" s="154">
        <v>2</v>
      </c>
      <c r="G36" s="118">
        <v>76</v>
      </c>
      <c r="H36" s="154">
        <f t="shared" si="0"/>
        <v>53.521126760563384</v>
      </c>
      <c r="I36" s="154">
        <v>72</v>
      </c>
      <c r="J36" s="41" t="s">
        <v>88</v>
      </c>
      <c r="K36" s="41">
        <f t="shared" si="3"/>
        <v>48.591549295774648</v>
      </c>
      <c r="L36" s="42">
        <f>(G36-5)/1.42</f>
        <v>50</v>
      </c>
      <c r="M36" s="41">
        <f t="shared" si="12"/>
        <v>54.225352112676056</v>
      </c>
      <c r="N36" s="43">
        <v>14</v>
      </c>
      <c r="O36" s="44" t="s">
        <v>116</v>
      </c>
      <c r="P36" s="58">
        <v>11.5</v>
      </c>
      <c r="Q36" s="157">
        <v>139</v>
      </c>
      <c r="R36" s="157"/>
      <c r="S36" s="157">
        <v>94486187</v>
      </c>
      <c r="T36" s="45">
        <f t="shared" si="4"/>
        <v>4602</v>
      </c>
      <c r="U36" s="46">
        <f t="shared" si="5"/>
        <v>110.44799999999999</v>
      </c>
      <c r="V36" s="46">
        <f t="shared" si="6"/>
        <v>4.6020000000000003</v>
      </c>
      <c r="W36" s="96">
        <v>4.2</v>
      </c>
      <c r="X36" s="96">
        <f t="shared" si="1"/>
        <v>4.2</v>
      </c>
      <c r="Y36" s="97" t="s">
        <v>138</v>
      </c>
      <c r="Z36" s="158">
        <v>0</v>
      </c>
      <c r="AA36" s="158">
        <v>0</v>
      </c>
      <c r="AB36" s="158">
        <v>0</v>
      </c>
      <c r="AC36" s="158">
        <v>1185</v>
      </c>
      <c r="AD36" s="158">
        <v>1187</v>
      </c>
      <c r="AE36" s="158">
        <v>1185</v>
      </c>
      <c r="AF36" s="47" t="s">
        <v>90</v>
      </c>
      <c r="AG36" s="47" t="s">
        <v>90</v>
      </c>
      <c r="AH36" s="98" t="s">
        <v>90</v>
      </c>
      <c r="AI36" s="103">
        <v>15739727</v>
      </c>
      <c r="AJ36" s="45">
        <f t="shared" si="7"/>
        <v>1161</v>
      </c>
      <c r="AK36" s="48">
        <f t="shared" si="8"/>
        <v>252.28161668839633</v>
      </c>
      <c r="AL36" s="155">
        <v>0</v>
      </c>
      <c r="AM36" s="155">
        <v>0</v>
      </c>
      <c r="AN36" s="155">
        <v>0</v>
      </c>
      <c r="AO36" s="155">
        <v>1</v>
      </c>
      <c r="AP36" s="155">
        <v>1</v>
      </c>
      <c r="AQ36" s="155">
        <v>1</v>
      </c>
      <c r="AR36" s="155">
        <v>0.3</v>
      </c>
      <c r="AS36" s="158"/>
      <c r="AT36" s="158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73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09" t="s">
        <v>118</v>
      </c>
      <c r="O37" s="310"/>
      <c r="P37" s="311"/>
      <c r="Q37" s="101"/>
      <c r="R37" s="101"/>
      <c r="S37" s="101"/>
      <c r="T37" s="60">
        <f>SUM(T13:T36)</f>
        <v>106365</v>
      </c>
      <c r="U37" s="46">
        <f t="shared" si="5"/>
        <v>2552.7600000000002</v>
      </c>
      <c r="V37" s="46">
        <f t="shared" si="6"/>
        <v>106.36499999999999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27279</v>
      </c>
      <c r="AK37" s="61">
        <f>$AJ$37/$V37</f>
        <v>256.4659427443238</v>
      </c>
      <c r="AL37" s="155"/>
      <c r="AM37" s="155"/>
      <c r="AN37" s="155"/>
      <c r="AO37" s="155"/>
      <c r="AP37" s="155"/>
      <c r="AQ37" s="155"/>
      <c r="AR37" s="62"/>
      <c r="AS37" s="63">
        <f>AS36-AS11</f>
        <v>0</v>
      </c>
      <c r="AT37" s="64">
        <f>SUM(AT13:AT36)</f>
        <v>0</v>
      </c>
      <c r="AU37" s="65">
        <f>AVERAGE(AU13:AU36)</f>
        <v>0.98166666666666658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7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8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8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4"/>
      <c r="D47" s="164"/>
      <c r="E47" s="164"/>
      <c r="F47" s="164"/>
      <c r="G47" s="164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71" t="s">
        <v>226</v>
      </c>
      <c r="C48" s="172"/>
      <c r="D48" s="172"/>
      <c r="E48" s="172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15" t="s">
        <v>227</v>
      </c>
      <c r="C49" s="170"/>
      <c r="D49" s="170"/>
      <c r="E49" s="170"/>
      <c r="F49" s="161"/>
      <c r="G49" s="161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15" t="s">
        <v>228</v>
      </c>
      <c r="C50" s="143"/>
      <c r="D50" s="143"/>
      <c r="E50" s="143"/>
      <c r="F50" s="130"/>
      <c r="G50" s="130"/>
      <c r="H50" s="160"/>
      <c r="I50" s="160"/>
      <c r="J50" s="160"/>
      <c r="K50" s="160"/>
      <c r="L50" s="160"/>
      <c r="M50" s="160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210</v>
      </c>
      <c r="B51" s="132" t="s">
        <v>152</v>
      </c>
      <c r="C51" s="143"/>
      <c r="D51" s="143"/>
      <c r="E51" s="143"/>
      <c r="F51" s="130"/>
      <c r="G51" s="130"/>
      <c r="H51" s="160"/>
      <c r="I51" s="160"/>
      <c r="J51" s="160"/>
      <c r="K51" s="160"/>
      <c r="L51" s="160"/>
      <c r="M51" s="160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163</v>
      </c>
      <c r="C52" s="120"/>
      <c r="D52" s="115"/>
      <c r="E52" s="115"/>
      <c r="F52" s="115"/>
      <c r="G52" s="115"/>
      <c r="H52" s="160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15" t="s">
        <v>229</v>
      </c>
      <c r="C53" s="170"/>
      <c r="D53" s="170"/>
      <c r="E53" s="170"/>
      <c r="F53" s="170"/>
      <c r="G53" s="115"/>
      <c r="H53" s="115"/>
      <c r="I53" s="115"/>
      <c r="J53" s="115"/>
      <c r="K53" s="115"/>
      <c r="L53" s="115"/>
      <c r="M53" s="115"/>
      <c r="N53" s="163"/>
      <c r="O53" s="163"/>
      <c r="P53" s="163"/>
      <c r="Q53" s="163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32" t="s">
        <v>230</v>
      </c>
      <c r="C54" s="153"/>
      <c r="D54" s="170"/>
      <c r="E54" s="170"/>
      <c r="F54" s="170"/>
      <c r="G54" s="170"/>
      <c r="H54" s="170"/>
      <c r="I54" s="170"/>
      <c r="J54" s="169"/>
      <c r="K54" s="166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166</v>
      </c>
      <c r="C55" s="115"/>
      <c r="D55" s="170"/>
      <c r="E55" s="153"/>
      <c r="F55" s="153"/>
      <c r="G55" s="153"/>
      <c r="H55" s="153"/>
      <c r="I55" s="153"/>
      <c r="J55" s="169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170</v>
      </c>
      <c r="C56" s="115"/>
      <c r="D56" s="170"/>
      <c r="E56" s="153"/>
      <c r="F56" s="153"/>
      <c r="G56" s="153"/>
      <c r="H56" s="153"/>
      <c r="I56" s="153"/>
      <c r="J56" s="153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32" t="s">
        <v>171</v>
      </c>
      <c r="C57" s="170"/>
      <c r="D57" s="170"/>
      <c r="E57" s="153"/>
      <c r="F57" s="153"/>
      <c r="G57" s="153"/>
      <c r="H57" s="153"/>
      <c r="I57" s="153"/>
      <c r="J57" s="153"/>
      <c r="K57" s="166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172</v>
      </c>
      <c r="C58" s="170"/>
      <c r="D58" s="170"/>
      <c r="E58" s="115"/>
      <c r="F58" s="115"/>
      <c r="G58" s="115"/>
      <c r="H58" s="115"/>
      <c r="I58" s="153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3" t="s">
        <v>231</v>
      </c>
      <c r="C59" s="170"/>
      <c r="D59" s="170"/>
      <c r="E59" s="153"/>
      <c r="F59" s="153"/>
      <c r="G59" s="153"/>
      <c r="H59" s="153"/>
      <c r="I59" s="153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32" t="s">
        <v>174</v>
      </c>
      <c r="C60" s="170"/>
      <c r="D60" s="223"/>
      <c r="E60" s="223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62" t="s">
        <v>195</v>
      </c>
      <c r="C61" s="153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32"/>
      <c r="C62" s="115"/>
      <c r="D62" s="100"/>
      <c r="E62" s="100"/>
      <c r="F62" s="115"/>
      <c r="G62" s="115"/>
      <c r="H62" s="92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6"/>
      <c r="E63" s="166"/>
      <c r="F63" s="166"/>
      <c r="G63" s="166"/>
      <c r="H63" s="166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53"/>
      <c r="C64" s="115"/>
      <c r="D64" s="100"/>
      <c r="E64" s="100"/>
      <c r="F64" s="115"/>
      <c r="G64" s="115"/>
      <c r="H64" s="92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6"/>
      <c r="E65" s="166"/>
      <c r="F65" s="166"/>
      <c r="G65" s="166"/>
      <c r="H65" s="166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AV65" s="86"/>
      <c r="AW65" s="86"/>
      <c r="AX65" s="86"/>
      <c r="AY65" s="86"/>
      <c r="AZ65" s="86"/>
      <c r="BA65" s="86"/>
      <c r="BB65" s="86"/>
    </row>
    <row r="66" spans="2:54" x14ac:dyDescent="0.35">
      <c r="B66" s="162"/>
      <c r="C66" s="115"/>
      <c r="D66" s="166"/>
      <c r="E66" s="166"/>
      <c r="F66" s="166"/>
      <c r="G66" s="166"/>
      <c r="H66" s="166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6"/>
      <c r="E67" s="166"/>
      <c r="F67" s="166"/>
      <c r="G67" s="166"/>
      <c r="H67" s="166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E13:F36 H13:I36 AF13:AH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Q13:Q36 S13:S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3" name="Range1_16_1_1_1_1_1_1_2_2_2_2_2_2_2_2_2_2_2_2_2_2_2_2_2_2_2_2_2_2_2_1_2_2_2_2_2_2_2_2_2_2_3_2_2_2_2_2_2_2_2_2_2_1_1_1_1_2_2_1_1_1_1_1_1_1_1_1_1_1_1_1_1_3"/>
    <protectedRange sqref="B49:B50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5"/>
    <protectedRange sqref="R4:W4" name="Range1_16_1_1_1_1_1_1_2_2_2_2_2_2_2_2_2_2_2_2_2_2_2_2_2_2_2_2_2_2_2_1_2_2_2_2_2_2_2_2_2_2_3_2_2_2_2_2_2_2_2_2_2_1_1_1_1_2_2_1_1_1_1_1_1_1_1_1_1_1_1_1_1_2_1_2"/>
    <protectedRange sqref="R5:W5" name="Range1_16_1_1_1_1_1_1_2_2_2_2_2_2_2_2_2_2_2_2_2_2_2_2_2_2_2_2_2_2_2_1_2_2_2_2_2_2_2_2_2_2_3_2_2_2_2_2_2_2_2_2_2_1_1_1_1_2_2_1_1_1_1_1_1_1_1_1_1_3_1_3_2_1_1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305" priority="5" operator="containsText" text="N/A">
      <formula>NOT(ISERROR(SEARCH("N/A",Z13)))</formula>
    </cfRule>
    <cfRule type="cellIs" dxfId="304" priority="17" operator="equal">
      <formula>0</formula>
    </cfRule>
  </conditionalFormatting>
  <conditionalFormatting sqref="Z13:AG36">
    <cfRule type="cellIs" dxfId="303" priority="16" operator="greaterThanOrEqual">
      <formula>1185</formula>
    </cfRule>
  </conditionalFormatting>
  <conditionalFormatting sqref="Z13:AG36">
    <cfRule type="cellIs" dxfId="302" priority="15" operator="between">
      <formula>0.1</formula>
      <formula>1184</formula>
    </cfRule>
  </conditionalFormatting>
  <conditionalFormatting sqref="Z8:Z9 AT13:AT36 AL37:AQ37 AL13:AR36">
    <cfRule type="cellIs" dxfId="301" priority="14" operator="equal">
      <formula>0</formula>
    </cfRule>
  </conditionalFormatting>
  <conditionalFormatting sqref="Z8:Z9 AT13:AT36 AL37:AQ37 AL13:AR36">
    <cfRule type="cellIs" dxfId="300" priority="13" operator="greaterThan">
      <formula>1179</formula>
    </cfRule>
  </conditionalFormatting>
  <conditionalFormatting sqref="Z8:Z9 AT13:AT36 AL37:AQ37 AL13:AR36">
    <cfRule type="cellIs" dxfId="299" priority="12" operator="greaterThan">
      <formula>99</formula>
    </cfRule>
  </conditionalFormatting>
  <conditionalFormatting sqref="Z8:Z9 AT13:AT36 AL37:AQ37 AL13:AR36">
    <cfRule type="cellIs" dxfId="298" priority="11" operator="greaterThan">
      <formula>0.99</formula>
    </cfRule>
  </conditionalFormatting>
  <conditionalFormatting sqref="AD8:AD9">
    <cfRule type="cellIs" dxfId="297" priority="10" operator="equal">
      <formula>0</formula>
    </cfRule>
  </conditionalFormatting>
  <conditionalFormatting sqref="AD8:AD9">
    <cfRule type="cellIs" dxfId="296" priority="9" operator="greaterThan">
      <formula>1179</formula>
    </cfRule>
  </conditionalFormatting>
  <conditionalFormatting sqref="AD8:AD9">
    <cfRule type="cellIs" dxfId="295" priority="8" operator="greaterThan">
      <formula>99</formula>
    </cfRule>
  </conditionalFormatting>
  <conditionalFormatting sqref="AD8:AD9">
    <cfRule type="cellIs" dxfId="294" priority="7" operator="greaterThan">
      <formula>0.99</formula>
    </cfRule>
  </conditionalFormatting>
  <conditionalFormatting sqref="AK13:AK36">
    <cfRule type="cellIs" dxfId="293" priority="6" operator="greaterThan">
      <formula>$AK$8</formula>
    </cfRule>
  </conditionalFormatting>
  <conditionalFormatting sqref="AS13:AS36">
    <cfRule type="containsText" dxfId="292" priority="1" operator="containsText" text="N/A">
      <formula>NOT(ISERROR(SEARCH("N/A",AS13)))</formula>
    </cfRule>
    <cfRule type="cellIs" dxfId="291" priority="4" operator="equal">
      <formula>0</formula>
    </cfRule>
  </conditionalFormatting>
  <conditionalFormatting sqref="AS13:AS36">
    <cfRule type="cellIs" dxfId="290" priority="3" operator="greaterThanOrEqual">
      <formula>1185</formula>
    </cfRule>
  </conditionalFormatting>
  <conditionalFormatting sqref="AS13:AS36">
    <cfRule type="cellIs" dxfId="289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D00-000000000000}">
      <formula1>$AY$11:$AY$21</formula1>
    </dataValidation>
    <dataValidation type="list" allowBlank="1" showInputMessage="1" showErrorMessage="1" sqref="AS8:AT9 P11:P12 N11:N12 D8:E9 Q8:V9" xr:uid="{00000000-0002-0000-0D00-000001000000}">
      <formula1>#REF!</formula1>
    </dataValidation>
    <dataValidation type="list" allowBlank="1" showInputMessage="1" showErrorMessage="1" sqref="AY33:AZ33" xr:uid="{00000000-0002-0000-0D00-000002000000}">
      <formula1>$AY$26:$AY$30</formula1>
    </dataValidation>
    <dataValidation type="list" allowBlank="1" showInputMessage="1" showErrorMessage="1" sqref="R3:R5" xr:uid="{00000000-0002-0000-0D00-000003000000}">
      <formula1>$BB$11:$BB$42</formula1>
    </dataValidation>
  </dataValidations>
  <hyperlinks>
    <hyperlink ref="J10:J11" location="'1'!AH8" display="Plant Status" xr:uid="{00000000-0004-0000-0D00-000000000000}"/>
  </hyperlinks>
  <pageMargins left="0.7" right="0.7" top="0.75" bottom="0.75" header="0.3" footer="0.3"/>
  <pageSetup paperSize="9" orientation="portrait" horizontalDpi="429496729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rgb="FF7030A0"/>
  </sheetPr>
  <dimension ref="A2:BB88"/>
  <sheetViews>
    <sheetView zoomScaleNormal="100" workbookViewId="0">
      <selection activeCell="R4" sqref="R4:W4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47" t="s">
        <v>148</v>
      </c>
      <c r="S3" s="348"/>
      <c r="T3" s="348"/>
      <c r="U3" s="348"/>
      <c r="V3" s="348"/>
      <c r="W3" s="34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47" t="s">
        <v>143</v>
      </c>
      <c r="S4" s="348"/>
      <c r="T4" s="348"/>
      <c r="U4" s="348"/>
      <c r="V4" s="348"/>
      <c r="W4" s="34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47" t="s">
        <v>151</v>
      </c>
      <c r="S5" s="348"/>
      <c r="T5" s="348"/>
      <c r="U5" s="348"/>
      <c r="V5" s="348"/>
      <c r="W5" s="34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50" t="s">
        <v>6</v>
      </c>
      <c r="C6" s="351"/>
      <c r="D6" s="352" t="s">
        <v>7</v>
      </c>
      <c r="E6" s="353"/>
      <c r="F6" s="353"/>
      <c r="G6" s="353"/>
      <c r="H6" s="353"/>
      <c r="I6" s="353"/>
      <c r="J6" s="354"/>
      <c r="K6" s="87"/>
      <c r="L6" s="87"/>
      <c r="M6" s="225"/>
      <c r="N6" s="355">
        <v>41686</v>
      </c>
      <c r="O6" s="356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37" t="s">
        <v>8</v>
      </c>
      <c r="C7" s="338"/>
      <c r="D7" s="337" t="s">
        <v>9</v>
      </c>
      <c r="E7" s="339"/>
      <c r="F7" s="339"/>
      <c r="G7" s="339"/>
      <c r="H7" s="339"/>
      <c r="I7" s="338"/>
      <c r="J7" s="230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30" t="s">
        <v>14</v>
      </c>
      <c r="R7" s="337" t="s">
        <v>15</v>
      </c>
      <c r="S7" s="339"/>
      <c r="T7" s="339"/>
      <c r="U7" s="339"/>
      <c r="V7" s="338"/>
      <c r="W7" s="337" t="s">
        <v>16</v>
      </c>
      <c r="X7" s="338"/>
      <c r="Y7" s="99" t="s">
        <v>17</v>
      </c>
      <c r="Z7" s="337" t="s">
        <v>18</v>
      </c>
      <c r="AA7" s="338"/>
      <c r="AB7" s="337" t="s">
        <v>19</v>
      </c>
      <c r="AC7" s="338"/>
      <c r="AD7" s="337" t="s">
        <v>20</v>
      </c>
      <c r="AE7" s="338"/>
      <c r="AF7" s="337" t="s">
        <v>21</v>
      </c>
      <c r="AG7" s="338"/>
      <c r="AH7" s="99" t="s">
        <v>22</v>
      </c>
      <c r="AI7" s="99" t="s">
        <v>23</v>
      </c>
      <c r="AJ7" s="99" t="s">
        <v>24</v>
      </c>
      <c r="AK7" s="99" t="s">
        <v>25</v>
      </c>
      <c r="AL7" s="337" t="s">
        <v>26</v>
      </c>
      <c r="AM7" s="339"/>
      <c r="AN7" s="339"/>
      <c r="AO7" s="339"/>
      <c r="AP7" s="339"/>
      <c r="AQ7" s="338"/>
      <c r="AR7" s="337" t="s">
        <v>27</v>
      </c>
      <c r="AS7" s="339"/>
      <c r="AT7" s="33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40">
        <v>43235</v>
      </c>
      <c r="C8" s="341"/>
      <c r="D8" s="342" t="s">
        <v>29</v>
      </c>
      <c r="E8" s="343"/>
      <c r="F8" s="343"/>
      <c r="G8" s="343"/>
      <c r="H8" s="343"/>
      <c r="I8" s="344"/>
      <c r="J8" s="28"/>
      <c r="K8" s="342" t="s">
        <v>29</v>
      </c>
      <c r="L8" s="343"/>
      <c r="M8" s="34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42" t="s">
        <v>33</v>
      </c>
      <c r="X8" s="344"/>
      <c r="Y8" s="30" t="s">
        <v>34</v>
      </c>
      <c r="Z8" s="326">
        <v>0</v>
      </c>
      <c r="AA8" s="327"/>
      <c r="AB8" s="345" t="s">
        <v>35</v>
      </c>
      <c r="AC8" s="346"/>
      <c r="AD8" s="326">
        <v>1185</v>
      </c>
      <c r="AE8" s="327"/>
      <c r="AF8" s="328">
        <v>800</v>
      </c>
      <c r="AG8" s="329"/>
      <c r="AH8" s="28"/>
      <c r="AI8" s="30">
        <f>AI36-AI11</f>
        <v>27420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31"/>
      <c r="C9" s="232"/>
      <c r="D9" s="233"/>
      <c r="E9" s="234"/>
      <c r="F9" s="234"/>
      <c r="G9" s="234"/>
      <c r="H9" s="234"/>
      <c r="I9" s="235"/>
      <c r="J9" s="121"/>
      <c r="K9" s="233"/>
      <c r="L9" s="234"/>
      <c r="M9" s="235"/>
      <c r="N9" s="29"/>
      <c r="O9" s="29"/>
      <c r="P9" s="29"/>
      <c r="Q9" s="121"/>
      <c r="R9" s="121"/>
      <c r="S9" s="121"/>
      <c r="T9" s="122"/>
      <c r="U9" s="123"/>
      <c r="V9" s="124"/>
      <c r="W9" s="233"/>
      <c r="X9" s="235"/>
      <c r="Y9" s="30"/>
      <c r="Z9" s="228"/>
      <c r="AA9" s="125"/>
      <c r="AB9" s="126"/>
      <c r="AC9" s="126"/>
      <c r="AD9" s="125"/>
      <c r="AE9" s="125"/>
      <c r="AF9" s="127"/>
      <c r="AG9" s="229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30" t="s">
        <v>39</v>
      </c>
      <c r="C10" s="331"/>
      <c r="D10" s="330" t="s">
        <v>40</v>
      </c>
      <c r="E10" s="332"/>
      <c r="F10" s="331"/>
      <c r="G10" s="330" t="s">
        <v>41</v>
      </c>
      <c r="H10" s="332"/>
      <c r="I10" s="331"/>
      <c r="J10" s="333" t="s">
        <v>42</v>
      </c>
      <c r="K10" s="330" t="s">
        <v>43</v>
      </c>
      <c r="L10" s="332"/>
      <c r="M10" s="331"/>
      <c r="N10" s="99" t="s">
        <v>44</v>
      </c>
      <c r="O10" s="335" t="s">
        <v>45</v>
      </c>
      <c r="P10" s="33" t="s">
        <v>46</v>
      </c>
      <c r="Q10" s="324" t="s">
        <v>47</v>
      </c>
      <c r="R10" s="324" t="s">
        <v>48</v>
      </c>
      <c r="S10" s="34" t="s">
        <v>49</v>
      </c>
      <c r="T10" s="312" t="s">
        <v>50</v>
      </c>
      <c r="U10" s="313"/>
      <c r="V10" s="314"/>
      <c r="W10" s="226" t="s">
        <v>51</v>
      </c>
      <c r="X10" s="226" t="s">
        <v>52</v>
      </c>
      <c r="Y10" s="318" t="s">
        <v>53</v>
      </c>
      <c r="Z10" s="319" t="s">
        <v>54</v>
      </c>
      <c r="AA10" s="320"/>
      <c r="AB10" s="320"/>
      <c r="AC10" s="320"/>
      <c r="AD10" s="320"/>
      <c r="AE10" s="320"/>
      <c r="AF10" s="320"/>
      <c r="AG10" s="321"/>
      <c r="AH10" s="224" t="s">
        <v>55</v>
      </c>
      <c r="AI10" s="224" t="s">
        <v>56</v>
      </c>
      <c r="AJ10" s="307" t="s">
        <v>57</v>
      </c>
      <c r="AK10" s="322" t="s">
        <v>58</v>
      </c>
      <c r="AL10" s="226" t="s">
        <v>59</v>
      </c>
      <c r="AM10" s="226" t="s">
        <v>60</v>
      </c>
      <c r="AN10" s="226" t="s">
        <v>61</v>
      </c>
      <c r="AO10" s="226" t="s">
        <v>62</v>
      </c>
      <c r="AP10" s="226" t="s">
        <v>63</v>
      </c>
      <c r="AQ10" s="226" t="s">
        <v>123</v>
      </c>
      <c r="AR10" s="226" t="s">
        <v>64</v>
      </c>
      <c r="AS10" s="226" t="s">
        <v>65</v>
      </c>
      <c r="AT10" s="324" t="s">
        <v>66</v>
      </c>
      <c r="AU10" s="226" t="s">
        <v>67</v>
      </c>
      <c r="AV10" s="30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26" t="s">
        <v>72</v>
      </c>
      <c r="C11" s="226" t="s">
        <v>73</v>
      </c>
      <c r="D11" s="226" t="s">
        <v>74</v>
      </c>
      <c r="E11" s="226" t="s">
        <v>75</v>
      </c>
      <c r="F11" s="226" t="s">
        <v>126</v>
      </c>
      <c r="G11" s="226" t="s">
        <v>74</v>
      </c>
      <c r="H11" s="226" t="s">
        <v>75</v>
      </c>
      <c r="I11" s="226" t="s">
        <v>126</v>
      </c>
      <c r="J11" s="334"/>
      <c r="K11" s="226" t="s">
        <v>75</v>
      </c>
      <c r="L11" s="226" t="s">
        <v>75</v>
      </c>
      <c r="M11" s="226" t="s">
        <v>75</v>
      </c>
      <c r="N11" s="28" t="s">
        <v>29</v>
      </c>
      <c r="O11" s="336"/>
      <c r="P11" s="28" t="s">
        <v>29</v>
      </c>
      <c r="Q11" s="325"/>
      <c r="R11" s="325"/>
      <c r="S11" s="1">
        <f>'MAY 14'!S36</f>
        <v>94486187</v>
      </c>
      <c r="T11" s="315"/>
      <c r="U11" s="316"/>
      <c r="V11" s="317"/>
      <c r="W11" s="226" t="s">
        <v>75</v>
      </c>
      <c r="X11" s="226" t="s">
        <v>75</v>
      </c>
      <c r="Y11" s="31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'MAY 14'!AI36</f>
        <v>15739727</v>
      </c>
      <c r="AJ11" s="307"/>
      <c r="AK11" s="323"/>
      <c r="AL11" s="226" t="s">
        <v>84</v>
      </c>
      <c r="AM11" s="226" t="s">
        <v>84</v>
      </c>
      <c r="AN11" s="226" t="s">
        <v>84</v>
      </c>
      <c r="AO11" s="226" t="s">
        <v>84</v>
      </c>
      <c r="AP11" s="226" t="s">
        <v>84</v>
      </c>
      <c r="AQ11" s="226" t="s">
        <v>84</v>
      </c>
      <c r="AR11" s="226" t="s">
        <v>84</v>
      </c>
      <c r="AS11" s="1"/>
      <c r="AT11" s="325"/>
      <c r="AU11" s="227" t="s">
        <v>85</v>
      </c>
      <c r="AV11" s="307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283</v>
      </c>
      <c r="B12" s="305" t="s">
        <v>284</v>
      </c>
      <c r="C12" s="305" t="s">
        <v>285</v>
      </c>
      <c r="D12" s="305" t="s">
        <v>286</v>
      </c>
      <c r="E12" s="305" t="s">
        <v>287</v>
      </c>
      <c r="F12" s="305" t="s">
        <v>288</v>
      </c>
      <c r="G12" s="305" t="s">
        <v>289</v>
      </c>
      <c r="H12" s="305" t="s">
        <v>290</v>
      </c>
      <c r="I12" s="305" t="s">
        <v>291</v>
      </c>
      <c r="J12" s="297" t="s">
        <v>292</v>
      </c>
      <c r="K12" s="305" t="s">
        <v>293</v>
      </c>
      <c r="L12" s="305" t="s">
        <v>294</v>
      </c>
      <c r="M12" s="305" t="s">
        <v>295</v>
      </c>
      <c r="N12" s="28" t="s">
        <v>296</v>
      </c>
      <c r="O12" s="298" t="s">
        <v>297</v>
      </c>
      <c r="P12" s="28" t="s">
        <v>298</v>
      </c>
      <c r="Q12" s="300" t="s">
        <v>299</v>
      </c>
      <c r="R12" s="300" t="s">
        <v>300</v>
      </c>
      <c r="S12" s="1" t="s">
        <v>301</v>
      </c>
      <c r="T12" s="302" t="s">
        <v>302</v>
      </c>
      <c r="U12" s="303" t="s">
        <v>303</v>
      </c>
      <c r="V12" s="304" t="s">
        <v>304</v>
      </c>
      <c r="W12" s="305" t="s">
        <v>305</v>
      </c>
      <c r="X12" s="305" t="s">
        <v>306</v>
      </c>
      <c r="Y12" s="305" t="s">
        <v>307</v>
      </c>
      <c r="Z12" s="37" t="s">
        <v>308</v>
      </c>
      <c r="AA12" s="37" t="s">
        <v>309</v>
      </c>
      <c r="AB12" s="37" t="s">
        <v>310</v>
      </c>
      <c r="AC12" s="37" t="s">
        <v>311</v>
      </c>
      <c r="AD12" s="37" t="s">
        <v>312</v>
      </c>
      <c r="AE12" s="37" t="s">
        <v>313</v>
      </c>
      <c r="AF12" s="37" t="s">
        <v>314</v>
      </c>
      <c r="AG12" s="37" t="s">
        <v>315</v>
      </c>
      <c r="AH12" s="38" t="s">
        <v>316</v>
      </c>
      <c r="AI12" s="1" t="s">
        <v>317</v>
      </c>
      <c r="AJ12" s="301" t="s">
        <v>318</v>
      </c>
      <c r="AK12" s="306" t="s">
        <v>319</v>
      </c>
      <c r="AL12" s="305" t="s">
        <v>320</v>
      </c>
      <c r="AM12" s="305" t="s">
        <v>321</v>
      </c>
      <c r="AN12" s="305" t="s">
        <v>322</v>
      </c>
      <c r="AO12" s="305" t="s">
        <v>323</v>
      </c>
      <c r="AP12" s="305" t="s">
        <v>324</v>
      </c>
      <c r="AQ12" s="305" t="s">
        <v>325</v>
      </c>
      <c r="AR12" s="305" t="s">
        <v>326</v>
      </c>
      <c r="AS12" s="1" t="s">
        <v>327</v>
      </c>
      <c r="AT12" s="300" t="s">
        <v>328</v>
      </c>
      <c r="AU12" s="299" t="s">
        <v>329</v>
      </c>
      <c r="AV12" s="301"/>
      <c r="AY12" s="39"/>
      <c r="AZ12" s="39"/>
      <c r="BB12" s="136"/>
    </row>
    <row r="13" spans="1:54" x14ac:dyDescent="0.35">
      <c r="A13" s="357">
        <v>43235</v>
      </c>
      <c r="B13" s="40">
        <v>2</v>
      </c>
      <c r="C13" s="40">
        <v>4.1666666666666664E-2</v>
      </c>
      <c r="D13" s="156">
        <v>3</v>
      </c>
      <c r="E13" s="154">
        <f>D13/1.42</f>
        <v>2.1126760563380285</v>
      </c>
      <c r="F13" s="154">
        <v>3</v>
      </c>
      <c r="G13" s="118">
        <v>72</v>
      </c>
      <c r="H13" s="154">
        <f t="shared" ref="H13:H36" si="0">G13/1.42</f>
        <v>50.70422535211268</v>
      </c>
      <c r="I13" s="154">
        <v>72</v>
      </c>
      <c r="J13" s="41" t="s">
        <v>88</v>
      </c>
      <c r="K13" s="41">
        <f>L13-(2/1.42)</f>
        <v>45.774647887323944</v>
      </c>
      <c r="L13" s="42">
        <f>(G13-5)/1.42</f>
        <v>47.183098591549296</v>
      </c>
      <c r="M13" s="41">
        <f>L13+(6/1.42)</f>
        <v>51.408450704225352</v>
      </c>
      <c r="N13" s="43">
        <v>14</v>
      </c>
      <c r="O13" s="44" t="s">
        <v>89</v>
      </c>
      <c r="P13" s="44">
        <v>11.4</v>
      </c>
      <c r="Q13" s="157">
        <v>137</v>
      </c>
      <c r="R13" s="157"/>
      <c r="S13" s="157">
        <v>94489926</v>
      </c>
      <c r="T13" s="45">
        <f>IF(ISBLANK(S13),"-",S13-S11)</f>
        <v>3739</v>
      </c>
      <c r="U13" s="46">
        <f>T13*24/1000</f>
        <v>89.736000000000004</v>
      </c>
      <c r="V13" s="46">
        <f>T13/1000</f>
        <v>3.7389999999999999</v>
      </c>
      <c r="W13" s="96">
        <v>5.2</v>
      </c>
      <c r="X13" s="96">
        <f t="shared" ref="X13:X36" si="1">W13</f>
        <v>5.2</v>
      </c>
      <c r="Y13" s="97" t="s">
        <v>138</v>
      </c>
      <c r="Z13" s="158">
        <v>0</v>
      </c>
      <c r="AA13" s="158">
        <v>0</v>
      </c>
      <c r="AB13" s="158">
        <v>0</v>
      </c>
      <c r="AC13" s="158">
        <v>1185</v>
      </c>
      <c r="AD13" s="158">
        <v>1187</v>
      </c>
      <c r="AE13" s="158">
        <v>1185</v>
      </c>
      <c r="AF13" s="47" t="s">
        <v>90</v>
      </c>
      <c r="AG13" s="47" t="s">
        <v>90</v>
      </c>
      <c r="AH13" s="98" t="s">
        <v>90</v>
      </c>
      <c r="AI13" s="103">
        <v>15740826</v>
      </c>
      <c r="AJ13" s="45">
        <f>IF(ISBLANK(AI13),"-",AI13-AI11)</f>
        <v>1099</v>
      </c>
      <c r="AK13" s="48">
        <f>AJ13/V13</f>
        <v>293.92885798341803</v>
      </c>
      <c r="AL13" s="155">
        <v>0</v>
      </c>
      <c r="AM13" s="155">
        <v>0</v>
      </c>
      <c r="AN13" s="155">
        <v>0</v>
      </c>
      <c r="AO13" s="155">
        <v>1</v>
      </c>
      <c r="AP13" s="155">
        <v>1</v>
      </c>
      <c r="AQ13" s="155">
        <v>1</v>
      </c>
      <c r="AR13" s="155">
        <v>0.8</v>
      </c>
      <c r="AS13" s="158"/>
      <c r="AT13" s="158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357">
        <v>43235</v>
      </c>
      <c r="B14" s="40">
        <v>2.0416666666666701</v>
      </c>
      <c r="C14" s="40">
        <v>8.3333333333333329E-2</v>
      </c>
      <c r="D14" s="156">
        <v>3</v>
      </c>
      <c r="E14" s="154">
        <f t="shared" ref="E14:E36" si="2">D14/1.42</f>
        <v>2.1126760563380285</v>
      </c>
      <c r="F14" s="154">
        <v>4</v>
      </c>
      <c r="G14" s="118">
        <v>74</v>
      </c>
      <c r="H14" s="154">
        <f t="shared" si="0"/>
        <v>52.112676056338032</v>
      </c>
      <c r="I14" s="154">
        <v>73</v>
      </c>
      <c r="J14" s="41" t="s">
        <v>88</v>
      </c>
      <c r="K14" s="41">
        <f t="shared" ref="K14:K36" si="3">L14-(2/1.42)</f>
        <v>47.183098591549296</v>
      </c>
      <c r="L14" s="42">
        <f>(G14-5)/1.42</f>
        <v>48.591549295774648</v>
      </c>
      <c r="M14" s="41">
        <f>L14+(6/1.42)</f>
        <v>52.816901408450704</v>
      </c>
      <c r="N14" s="43">
        <v>14</v>
      </c>
      <c r="O14" s="44" t="s">
        <v>89</v>
      </c>
      <c r="P14" s="44">
        <v>11.2</v>
      </c>
      <c r="Q14" s="157">
        <v>140</v>
      </c>
      <c r="R14" s="157"/>
      <c r="S14" s="157">
        <v>94493461</v>
      </c>
      <c r="T14" s="45">
        <f t="shared" ref="T14:T36" si="4">IF(ISBLANK(S14),"-",S14-S13)</f>
        <v>3535</v>
      </c>
      <c r="U14" s="46">
        <f t="shared" ref="U14:U37" si="5">T14*24/1000</f>
        <v>84.84</v>
      </c>
      <c r="V14" s="46">
        <f t="shared" ref="V14:V37" si="6">T14/1000</f>
        <v>3.5350000000000001</v>
      </c>
      <c r="W14" s="96">
        <v>6.4</v>
      </c>
      <c r="X14" s="96">
        <f t="shared" si="1"/>
        <v>6.4</v>
      </c>
      <c r="Y14" s="97" t="s">
        <v>138</v>
      </c>
      <c r="Z14" s="158">
        <v>0</v>
      </c>
      <c r="AA14" s="158">
        <v>0</v>
      </c>
      <c r="AB14" s="158">
        <v>0</v>
      </c>
      <c r="AC14" s="158">
        <v>1185</v>
      </c>
      <c r="AD14" s="158">
        <v>1187</v>
      </c>
      <c r="AE14" s="158">
        <v>1185</v>
      </c>
      <c r="AF14" s="47" t="s">
        <v>90</v>
      </c>
      <c r="AG14" s="47" t="s">
        <v>90</v>
      </c>
      <c r="AH14" s="98" t="s">
        <v>90</v>
      </c>
      <c r="AI14" s="103">
        <v>15741868</v>
      </c>
      <c r="AJ14" s="45">
        <f t="shared" ref="AJ14:AJ36" si="7">IF(ISBLANK(AI14),"-",AI14-AI13)</f>
        <v>1042</v>
      </c>
      <c r="AK14" s="48">
        <f t="shared" ref="AK14:AK36" si="8">AJ14/V14</f>
        <v>294.76661951909477</v>
      </c>
      <c r="AL14" s="155">
        <v>0</v>
      </c>
      <c r="AM14" s="155">
        <v>0</v>
      </c>
      <c r="AN14" s="155">
        <v>0</v>
      </c>
      <c r="AO14" s="155">
        <v>1</v>
      </c>
      <c r="AP14" s="155">
        <v>1</v>
      </c>
      <c r="AQ14" s="155">
        <v>1</v>
      </c>
      <c r="AR14" s="155">
        <v>0.8</v>
      </c>
      <c r="AS14" s="158"/>
      <c r="AT14" s="158">
        <f t="shared" ref="AT14:AT35" si="9">AS14-AS13</f>
        <v>0</v>
      </c>
      <c r="AU14" s="119">
        <v>0.89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57">
        <v>43235</v>
      </c>
      <c r="B15" s="40">
        <v>2.0833333333333299</v>
      </c>
      <c r="C15" s="40">
        <v>0.125</v>
      </c>
      <c r="D15" s="156">
        <v>3</v>
      </c>
      <c r="E15" s="154">
        <f t="shared" si="2"/>
        <v>2.1126760563380285</v>
      </c>
      <c r="F15" s="154">
        <v>5</v>
      </c>
      <c r="G15" s="118">
        <v>75</v>
      </c>
      <c r="H15" s="154">
        <f t="shared" si="0"/>
        <v>52.816901408450704</v>
      </c>
      <c r="I15" s="154">
        <v>74</v>
      </c>
      <c r="J15" s="41" t="s">
        <v>88</v>
      </c>
      <c r="K15" s="41">
        <f t="shared" si="3"/>
        <v>47.887323943661976</v>
      </c>
      <c r="L15" s="42">
        <f>(G15-5)/1.42</f>
        <v>49.295774647887328</v>
      </c>
      <c r="M15" s="41">
        <f>L15+(6/1.42)</f>
        <v>53.521126760563384</v>
      </c>
      <c r="N15" s="43">
        <v>14</v>
      </c>
      <c r="O15" s="44" t="s">
        <v>89</v>
      </c>
      <c r="P15" s="44">
        <v>11.2</v>
      </c>
      <c r="Q15" s="157">
        <v>141</v>
      </c>
      <c r="R15" s="157"/>
      <c r="S15" s="157">
        <v>94497099</v>
      </c>
      <c r="T15" s="45">
        <f>IF(ISBLANK(S15),"-",S15-S14)</f>
        <v>3638</v>
      </c>
      <c r="U15" s="46">
        <f t="shared" si="5"/>
        <v>87.311999999999998</v>
      </c>
      <c r="V15" s="46">
        <f t="shared" si="6"/>
        <v>3.6379999999999999</v>
      </c>
      <c r="W15" s="96">
        <v>7.6</v>
      </c>
      <c r="X15" s="96">
        <f t="shared" si="1"/>
        <v>7.6</v>
      </c>
      <c r="Y15" s="97" t="s">
        <v>138</v>
      </c>
      <c r="Z15" s="158">
        <v>0</v>
      </c>
      <c r="AA15" s="158">
        <v>0</v>
      </c>
      <c r="AB15" s="158">
        <v>0</v>
      </c>
      <c r="AC15" s="158">
        <v>1185</v>
      </c>
      <c r="AD15" s="158">
        <v>1187</v>
      </c>
      <c r="AE15" s="158">
        <v>1185</v>
      </c>
      <c r="AF15" s="47" t="s">
        <v>90</v>
      </c>
      <c r="AG15" s="47" t="s">
        <v>90</v>
      </c>
      <c r="AH15" s="98" t="s">
        <v>90</v>
      </c>
      <c r="AI15" s="103">
        <v>15742943</v>
      </c>
      <c r="AJ15" s="45">
        <f t="shared" si="7"/>
        <v>1075</v>
      </c>
      <c r="AK15" s="48">
        <f t="shared" si="8"/>
        <v>295.49202858713579</v>
      </c>
      <c r="AL15" s="155">
        <v>0</v>
      </c>
      <c r="AM15" s="155">
        <v>0</v>
      </c>
      <c r="AN15" s="155">
        <v>0</v>
      </c>
      <c r="AO15" s="155">
        <v>1</v>
      </c>
      <c r="AP15" s="155">
        <v>1</v>
      </c>
      <c r="AQ15" s="155">
        <v>1</v>
      </c>
      <c r="AR15" s="155">
        <v>0.8</v>
      </c>
      <c r="AS15" s="158"/>
      <c r="AT15" s="158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357">
        <v>43235</v>
      </c>
      <c r="B16" s="40">
        <v>2.125</v>
      </c>
      <c r="C16" s="40">
        <v>0.16666666666666699</v>
      </c>
      <c r="D16" s="156">
        <v>3</v>
      </c>
      <c r="E16" s="154">
        <f t="shared" si="2"/>
        <v>2.1126760563380285</v>
      </c>
      <c r="F16" s="154">
        <v>6</v>
      </c>
      <c r="G16" s="118">
        <v>71</v>
      </c>
      <c r="H16" s="154">
        <f t="shared" si="0"/>
        <v>50</v>
      </c>
      <c r="I16" s="154">
        <v>71</v>
      </c>
      <c r="J16" s="41" t="s">
        <v>88</v>
      </c>
      <c r="K16" s="41">
        <f t="shared" si="3"/>
        <v>45.070422535211272</v>
      </c>
      <c r="L16" s="42">
        <f>(G16-5)/1.42</f>
        <v>46.478873239436624</v>
      </c>
      <c r="M16" s="41">
        <f>L16+(6/1.42)</f>
        <v>50.70422535211268</v>
      </c>
      <c r="N16" s="43">
        <v>14</v>
      </c>
      <c r="O16" s="44" t="s">
        <v>89</v>
      </c>
      <c r="P16" s="44">
        <v>12.8</v>
      </c>
      <c r="Q16" s="157">
        <v>145</v>
      </c>
      <c r="R16" s="157"/>
      <c r="S16" s="157">
        <v>94501109</v>
      </c>
      <c r="T16" s="45">
        <f t="shared" si="4"/>
        <v>4010</v>
      </c>
      <c r="U16" s="46">
        <f t="shared" si="5"/>
        <v>96.24</v>
      </c>
      <c r="V16" s="46">
        <f t="shared" si="6"/>
        <v>4.01</v>
      </c>
      <c r="W16" s="96">
        <v>9.4</v>
      </c>
      <c r="X16" s="96">
        <f t="shared" si="1"/>
        <v>9.4</v>
      </c>
      <c r="Y16" s="97" t="s">
        <v>138</v>
      </c>
      <c r="Z16" s="158">
        <v>0</v>
      </c>
      <c r="AA16" s="158">
        <v>0</v>
      </c>
      <c r="AB16" s="158">
        <v>0</v>
      </c>
      <c r="AC16" s="158">
        <v>1185</v>
      </c>
      <c r="AD16" s="158">
        <v>1187</v>
      </c>
      <c r="AE16" s="158">
        <v>1185</v>
      </c>
      <c r="AF16" s="47" t="s">
        <v>90</v>
      </c>
      <c r="AG16" s="47" t="s">
        <v>90</v>
      </c>
      <c r="AH16" s="98" t="s">
        <v>90</v>
      </c>
      <c r="AI16" s="103">
        <v>15744077</v>
      </c>
      <c r="AJ16" s="45">
        <f t="shared" si="7"/>
        <v>1134</v>
      </c>
      <c r="AK16" s="48">
        <f t="shared" si="8"/>
        <v>282.79301745635911</v>
      </c>
      <c r="AL16" s="155">
        <v>0</v>
      </c>
      <c r="AM16" s="155">
        <v>0</v>
      </c>
      <c r="AN16" s="155">
        <v>0</v>
      </c>
      <c r="AO16" s="155">
        <v>1</v>
      </c>
      <c r="AP16" s="155">
        <v>1</v>
      </c>
      <c r="AQ16" s="155">
        <v>1</v>
      </c>
      <c r="AR16" s="155">
        <v>0.8</v>
      </c>
      <c r="AS16" s="158"/>
      <c r="AT16" s="158">
        <f t="shared" si="9"/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357">
        <v>43235</v>
      </c>
      <c r="B17" s="40">
        <v>2.1666666666666701</v>
      </c>
      <c r="C17" s="40">
        <v>0.20833333333333301</v>
      </c>
      <c r="D17" s="156">
        <v>3</v>
      </c>
      <c r="E17" s="154">
        <f t="shared" si="2"/>
        <v>2.1126760563380285</v>
      </c>
      <c r="F17" s="154">
        <v>7</v>
      </c>
      <c r="G17" s="118">
        <v>82</v>
      </c>
      <c r="H17" s="154">
        <f t="shared" si="0"/>
        <v>57.74647887323944</v>
      </c>
      <c r="I17" s="154">
        <v>78</v>
      </c>
      <c r="J17" s="41" t="s">
        <v>88</v>
      </c>
      <c r="K17" s="41">
        <f t="shared" si="3"/>
        <v>52.816901408450704</v>
      </c>
      <c r="L17" s="42">
        <f>(G17-5)/1.42</f>
        <v>54.225352112676056</v>
      </c>
      <c r="M17" s="41">
        <f>L17+(6/1.42)</f>
        <v>58.450704225352112</v>
      </c>
      <c r="N17" s="43">
        <v>18</v>
      </c>
      <c r="O17" s="44" t="s">
        <v>89</v>
      </c>
      <c r="P17" s="44">
        <v>13.1</v>
      </c>
      <c r="Q17" s="157">
        <v>125</v>
      </c>
      <c r="R17" s="157"/>
      <c r="S17" s="157">
        <v>94505025</v>
      </c>
      <c r="T17" s="45">
        <f t="shared" si="4"/>
        <v>3916</v>
      </c>
      <c r="U17" s="46">
        <f t="shared" si="5"/>
        <v>93.983999999999995</v>
      </c>
      <c r="V17" s="46">
        <f t="shared" si="6"/>
        <v>3.9159999999999999</v>
      </c>
      <c r="W17" s="96">
        <v>9.5</v>
      </c>
      <c r="X17" s="96">
        <f t="shared" si="1"/>
        <v>9.5</v>
      </c>
      <c r="Y17" s="97" t="s">
        <v>138</v>
      </c>
      <c r="Z17" s="158">
        <v>0</v>
      </c>
      <c r="AA17" s="158">
        <v>0</v>
      </c>
      <c r="AB17" s="158">
        <v>0</v>
      </c>
      <c r="AC17" s="158">
        <v>1185</v>
      </c>
      <c r="AD17" s="158">
        <v>1187</v>
      </c>
      <c r="AE17" s="158">
        <v>1185</v>
      </c>
      <c r="AF17" s="47" t="s">
        <v>90</v>
      </c>
      <c r="AG17" s="47" t="s">
        <v>90</v>
      </c>
      <c r="AH17" s="98" t="s">
        <v>90</v>
      </c>
      <c r="AI17" s="103">
        <v>15745144</v>
      </c>
      <c r="AJ17" s="45">
        <f t="shared" si="7"/>
        <v>1067</v>
      </c>
      <c r="AK17" s="48">
        <f t="shared" si="8"/>
        <v>272.47191011235958</v>
      </c>
      <c r="AL17" s="155">
        <v>0</v>
      </c>
      <c r="AM17" s="155">
        <v>0</v>
      </c>
      <c r="AN17" s="155">
        <v>0</v>
      </c>
      <c r="AO17" s="155">
        <v>1</v>
      </c>
      <c r="AP17" s="155">
        <v>1</v>
      </c>
      <c r="AQ17" s="155">
        <v>1</v>
      </c>
      <c r="AR17" s="155">
        <v>0</v>
      </c>
      <c r="AS17" s="158"/>
      <c r="AT17" s="158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57">
        <v>43235</v>
      </c>
      <c r="B18" s="40">
        <v>2.2083333333333299</v>
      </c>
      <c r="C18" s="40">
        <v>0.25</v>
      </c>
      <c r="D18" s="156">
        <v>3</v>
      </c>
      <c r="E18" s="154">
        <f t="shared" si="2"/>
        <v>2.1126760563380285</v>
      </c>
      <c r="F18" s="154">
        <v>9</v>
      </c>
      <c r="G18" s="118">
        <v>81</v>
      </c>
      <c r="H18" s="154">
        <f t="shared" si="0"/>
        <v>57.04225352112676</v>
      </c>
      <c r="I18" s="154">
        <v>80</v>
      </c>
      <c r="J18" s="41" t="s">
        <v>88</v>
      </c>
      <c r="K18" s="41">
        <f t="shared" si="3"/>
        <v>55.633802816901408</v>
      </c>
      <c r="L18" s="42">
        <f t="shared" ref="L18:L27" si="10">G18/1.42</f>
        <v>57.04225352112676</v>
      </c>
      <c r="M18" s="41">
        <f>L18+1.42</f>
        <v>58.462253521126762</v>
      </c>
      <c r="N18" s="43">
        <v>19</v>
      </c>
      <c r="O18" s="44" t="s">
        <v>100</v>
      </c>
      <c r="P18" s="44">
        <v>13.1</v>
      </c>
      <c r="Q18" s="157">
        <v>129</v>
      </c>
      <c r="R18" s="157"/>
      <c r="S18" s="157">
        <v>94509415</v>
      </c>
      <c r="T18" s="45">
        <f t="shared" si="4"/>
        <v>4390</v>
      </c>
      <c r="U18" s="46">
        <f t="shared" si="5"/>
        <v>105.36</v>
      </c>
      <c r="V18" s="46">
        <f t="shared" si="6"/>
        <v>4.3899999999999997</v>
      </c>
      <c r="W18" s="96">
        <v>9.5</v>
      </c>
      <c r="X18" s="96">
        <f t="shared" si="1"/>
        <v>9.5</v>
      </c>
      <c r="Y18" s="97" t="s">
        <v>138</v>
      </c>
      <c r="Z18" s="158">
        <v>0</v>
      </c>
      <c r="AA18" s="158">
        <v>0</v>
      </c>
      <c r="AB18" s="158">
        <v>0</v>
      </c>
      <c r="AC18" s="158">
        <v>1185</v>
      </c>
      <c r="AD18" s="158">
        <v>1187</v>
      </c>
      <c r="AE18" s="158">
        <v>1185</v>
      </c>
      <c r="AF18" s="47" t="s">
        <v>90</v>
      </c>
      <c r="AG18" s="47" t="s">
        <v>90</v>
      </c>
      <c r="AH18" s="98" t="s">
        <v>90</v>
      </c>
      <c r="AI18" s="103">
        <v>15746251</v>
      </c>
      <c r="AJ18" s="45">
        <f t="shared" si="7"/>
        <v>1107</v>
      </c>
      <c r="AK18" s="48">
        <f t="shared" si="8"/>
        <v>252.16400911161733</v>
      </c>
      <c r="AL18" s="155">
        <v>0</v>
      </c>
      <c r="AM18" s="155">
        <v>0</v>
      </c>
      <c r="AN18" s="155">
        <v>0</v>
      </c>
      <c r="AO18" s="155">
        <v>1</v>
      </c>
      <c r="AP18" s="155">
        <v>1</v>
      </c>
      <c r="AQ18" s="155">
        <v>1</v>
      </c>
      <c r="AR18" s="155">
        <v>0</v>
      </c>
      <c r="AS18" s="158"/>
      <c r="AT18" s="158">
        <f t="shared" si="9"/>
        <v>0</v>
      </c>
      <c r="AU18" s="119">
        <v>0.99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57">
        <v>43235</v>
      </c>
      <c r="B19" s="40">
        <v>2.25</v>
      </c>
      <c r="C19" s="40">
        <v>0.29166666666666669</v>
      </c>
      <c r="D19" s="156">
        <v>3</v>
      </c>
      <c r="E19" s="154">
        <f t="shared" si="2"/>
        <v>2.1126760563380285</v>
      </c>
      <c r="F19" s="154">
        <v>8</v>
      </c>
      <c r="G19" s="118">
        <v>80</v>
      </c>
      <c r="H19" s="154">
        <f t="shared" si="0"/>
        <v>56.338028169014088</v>
      </c>
      <c r="I19" s="154">
        <v>79</v>
      </c>
      <c r="J19" s="41" t="s">
        <v>88</v>
      </c>
      <c r="K19" s="41">
        <f t="shared" si="3"/>
        <v>54.929577464788736</v>
      </c>
      <c r="L19" s="42">
        <f t="shared" si="10"/>
        <v>56.338028169014088</v>
      </c>
      <c r="M19" s="41">
        <f>L19+1.42</f>
        <v>57.758028169014089</v>
      </c>
      <c r="N19" s="43">
        <v>19</v>
      </c>
      <c r="O19" s="44" t="s">
        <v>100</v>
      </c>
      <c r="P19" s="44">
        <v>16.7</v>
      </c>
      <c r="Q19" s="157">
        <v>130</v>
      </c>
      <c r="R19" s="157"/>
      <c r="S19" s="157">
        <v>94514011</v>
      </c>
      <c r="T19" s="45">
        <f t="shared" si="4"/>
        <v>4596</v>
      </c>
      <c r="U19" s="46">
        <f t="shared" si="5"/>
        <v>110.304</v>
      </c>
      <c r="V19" s="46">
        <f t="shared" si="6"/>
        <v>4.5960000000000001</v>
      </c>
      <c r="W19" s="96">
        <v>9</v>
      </c>
      <c r="X19" s="96">
        <f t="shared" si="1"/>
        <v>9</v>
      </c>
      <c r="Y19" s="97" t="s">
        <v>169</v>
      </c>
      <c r="Z19" s="158">
        <v>1045</v>
      </c>
      <c r="AA19" s="158">
        <v>0</v>
      </c>
      <c r="AB19" s="158">
        <v>0</v>
      </c>
      <c r="AC19" s="158">
        <v>1185</v>
      </c>
      <c r="AD19" s="158">
        <v>1187</v>
      </c>
      <c r="AE19" s="158">
        <v>1185</v>
      </c>
      <c r="AF19" s="47" t="s">
        <v>90</v>
      </c>
      <c r="AG19" s="47" t="s">
        <v>90</v>
      </c>
      <c r="AH19" s="98" t="s">
        <v>90</v>
      </c>
      <c r="AI19" s="103">
        <v>15747449</v>
      </c>
      <c r="AJ19" s="45">
        <f t="shared" si="7"/>
        <v>1198</v>
      </c>
      <c r="AK19" s="48">
        <f t="shared" si="8"/>
        <v>260.66144473455176</v>
      </c>
      <c r="AL19" s="155">
        <v>1</v>
      </c>
      <c r="AM19" s="155">
        <v>0</v>
      </c>
      <c r="AN19" s="155">
        <v>0</v>
      </c>
      <c r="AO19" s="155">
        <v>1</v>
      </c>
      <c r="AP19" s="155">
        <v>1</v>
      </c>
      <c r="AQ19" s="155">
        <v>1</v>
      </c>
      <c r="AR19" s="155">
        <v>0</v>
      </c>
      <c r="AS19" s="158"/>
      <c r="AT19" s="158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57">
        <v>43235</v>
      </c>
      <c r="B20" s="40">
        <v>2.2916666666666701</v>
      </c>
      <c r="C20" s="40">
        <v>0.33333333333333298</v>
      </c>
      <c r="D20" s="156">
        <v>3</v>
      </c>
      <c r="E20" s="154">
        <f t="shared" si="2"/>
        <v>2.1126760563380285</v>
      </c>
      <c r="F20" s="154">
        <v>8</v>
      </c>
      <c r="G20" s="118">
        <v>78</v>
      </c>
      <c r="H20" s="154">
        <f t="shared" si="0"/>
        <v>54.929577464788736</v>
      </c>
      <c r="I20" s="154">
        <v>79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7">
        <v>129</v>
      </c>
      <c r="R20" s="157"/>
      <c r="S20" s="157">
        <v>94518800</v>
      </c>
      <c r="T20" s="45">
        <f t="shared" si="4"/>
        <v>4789</v>
      </c>
      <c r="U20" s="46">
        <f>T20*24/1000</f>
        <v>114.93600000000001</v>
      </c>
      <c r="V20" s="46">
        <f t="shared" si="6"/>
        <v>4.7889999999999997</v>
      </c>
      <c r="W20" s="96">
        <v>8.4</v>
      </c>
      <c r="X20" s="96">
        <f t="shared" si="1"/>
        <v>8.4</v>
      </c>
      <c r="Y20" s="97" t="s">
        <v>169</v>
      </c>
      <c r="Z20" s="158">
        <v>1045</v>
      </c>
      <c r="AA20" s="158">
        <v>0</v>
      </c>
      <c r="AB20" s="158">
        <v>0</v>
      </c>
      <c r="AC20" s="158">
        <v>1185</v>
      </c>
      <c r="AD20" s="158">
        <v>1187</v>
      </c>
      <c r="AE20" s="158">
        <v>1185</v>
      </c>
      <c r="AF20" s="47" t="s">
        <v>90</v>
      </c>
      <c r="AG20" s="47" t="s">
        <v>90</v>
      </c>
      <c r="AH20" s="98" t="s">
        <v>90</v>
      </c>
      <c r="AI20" s="103">
        <v>15748653</v>
      </c>
      <c r="AJ20" s="45">
        <f t="shared" si="7"/>
        <v>1204</v>
      </c>
      <c r="AK20" s="48">
        <f t="shared" si="8"/>
        <v>251.40948005846732</v>
      </c>
      <c r="AL20" s="155">
        <v>1</v>
      </c>
      <c r="AM20" s="155">
        <v>0</v>
      </c>
      <c r="AN20" s="155">
        <v>0</v>
      </c>
      <c r="AO20" s="155">
        <v>1</v>
      </c>
      <c r="AP20" s="155">
        <v>1</v>
      </c>
      <c r="AQ20" s="155">
        <v>1</v>
      </c>
      <c r="AR20" s="155">
        <v>0</v>
      </c>
      <c r="AS20" s="158"/>
      <c r="AT20" s="158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357">
        <v>43235</v>
      </c>
      <c r="B21" s="40">
        <v>2.3333333333333299</v>
      </c>
      <c r="C21" s="40">
        <v>0.375</v>
      </c>
      <c r="D21" s="156">
        <v>3</v>
      </c>
      <c r="E21" s="154">
        <f t="shared" si="2"/>
        <v>2.1126760563380285</v>
      </c>
      <c r="F21" s="154">
        <v>7</v>
      </c>
      <c r="G21" s="118">
        <v>77</v>
      </c>
      <c r="H21" s="154">
        <f t="shared" si="0"/>
        <v>54.225352112676056</v>
      </c>
      <c r="I21" s="154">
        <v>78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7">
        <v>129</v>
      </c>
      <c r="R21" s="157"/>
      <c r="S21" s="157">
        <v>94523190</v>
      </c>
      <c r="T21" s="45">
        <f t="shared" si="4"/>
        <v>4390</v>
      </c>
      <c r="U21" s="46">
        <f t="shared" si="5"/>
        <v>105.36</v>
      </c>
      <c r="V21" s="46">
        <f t="shared" si="6"/>
        <v>4.3899999999999997</v>
      </c>
      <c r="W21" s="96">
        <v>7.7</v>
      </c>
      <c r="X21" s="96">
        <f t="shared" si="1"/>
        <v>7.7</v>
      </c>
      <c r="Y21" s="97" t="s">
        <v>169</v>
      </c>
      <c r="Z21" s="158">
        <v>1045</v>
      </c>
      <c r="AA21" s="158">
        <v>0</v>
      </c>
      <c r="AB21" s="158">
        <v>0</v>
      </c>
      <c r="AC21" s="158">
        <v>1185</v>
      </c>
      <c r="AD21" s="158">
        <v>1187</v>
      </c>
      <c r="AE21" s="158">
        <v>1185</v>
      </c>
      <c r="AF21" s="47" t="s">
        <v>90</v>
      </c>
      <c r="AG21" s="47" t="s">
        <v>90</v>
      </c>
      <c r="AH21" s="98" t="s">
        <v>90</v>
      </c>
      <c r="AI21" s="103">
        <v>15749825</v>
      </c>
      <c r="AJ21" s="45">
        <f t="shared" si="7"/>
        <v>1172</v>
      </c>
      <c r="AK21" s="48">
        <f t="shared" si="8"/>
        <v>266.97038724373579</v>
      </c>
      <c r="AL21" s="155">
        <v>1</v>
      </c>
      <c r="AM21" s="155">
        <v>0</v>
      </c>
      <c r="AN21" s="155">
        <v>0</v>
      </c>
      <c r="AO21" s="155">
        <v>1</v>
      </c>
      <c r="AP21" s="155">
        <v>1</v>
      </c>
      <c r="AQ21" s="155">
        <v>1</v>
      </c>
      <c r="AR21" s="155">
        <v>0</v>
      </c>
      <c r="AS21" s="158"/>
      <c r="AT21" s="158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205</v>
      </c>
    </row>
    <row r="22" spans="1:54" x14ac:dyDescent="0.35">
      <c r="A22" s="357">
        <v>43235</v>
      </c>
      <c r="B22" s="40">
        <v>2.375</v>
      </c>
      <c r="C22" s="40">
        <v>0.41666666666666669</v>
      </c>
      <c r="D22" s="156">
        <v>3</v>
      </c>
      <c r="E22" s="154">
        <f t="shared" si="2"/>
        <v>2.1126760563380285</v>
      </c>
      <c r="F22" s="154">
        <v>7</v>
      </c>
      <c r="G22" s="118">
        <v>77</v>
      </c>
      <c r="H22" s="154">
        <f t="shared" si="0"/>
        <v>54.225352112676056</v>
      </c>
      <c r="I22" s="154">
        <v>78</v>
      </c>
      <c r="J22" s="41" t="s">
        <v>88</v>
      </c>
      <c r="K22" s="41">
        <f t="shared" si="3"/>
        <v>52.816901408450704</v>
      </c>
      <c r="L22" s="42">
        <f t="shared" si="10"/>
        <v>54.225352112676056</v>
      </c>
      <c r="M22" s="41">
        <f t="shared" si="11"/>
        <v>55.645352112676058</v>
      </c>
      <c r="N22" s="43">
        <v>19</v>
      </c>
      <c r="O22" s="44" t="s">
        <v>100</v>
      </c>
      <c r="P22" s="44">
        <v>17.7</v>
      </c>
      <c r="Q22" s="157">
        <v>130</v>
      </c>
      <c r="R22" s="157"/>
      <c r="S22" s="157">
        <v>94527837</v>
      </c>
      <c r="T22" s="45">
        <f t="shared" si="4"/>
        <v>4647</v>
      </c>
      <c r="U22" s="46">
        <f t="shared" si="5"/>
        <v>111.52800000000001</v>
      </c>
      <c r="V22" s="46">
        <f t="shared" si="6"/>
        <v>4.6470000000000002</v>
      </c>
      <c r="W22" s="96">
        <v>7</v>
      </c>
      <c r="X22" s="96">
        <f t="shared" si="1"/>
        <v>7</v>
      </c>
      <c r="Y22" s="97" t="s">
        <v>169</v>
      </c>
      <c r="Z22" s="158">
        <v>1045</v>
      </c>
      <c r="AA22" s="158">
        <v>0</v>
      </c>
      <c r="AB22" s="158">
        <v>0</v>
      </c>
      <c r="AC22" s="158">
        <v>1185</v>
      </c>
      <c r="AD22" s="158">
        <v>1187</v>
      </c>
      <c r="AE22" s="158">
        <v>1185</v>
      </c>
      <c r="AF22" s="47" t="s">
        <v>90</v>
      </c>
      <c r="AG22" s="47" t="s">
        <v>90</v>
      </c>
      <c r="AH22" s="98" t="s">
        <v>90</v>
      </c>
      <c r="AI22" s="103">
        <v>15751033</v>
      </c>
      <c r="AJ22" s="45">
        <f t="shared" si="7"/>
        <v>1208</v>
      </c>
      <c r="AK22" s="48">
        <f t="shared" si="8"/>
        <v>259.95265762857758</v>
      </c>
      <c r="AL22" s="155">
        <v>1</v>
      </c>
      <c r="AM22" s="155">
        <v>0</v>
      </c>
      <c r="AN22" s="155">
        <v>0</v>
      </c>
      <c r="AO22" s="155">
        <v>1</v>
      </c>
      <c r="AP22" s="155">
        <v>1</v>
      </c>
      <c r="AQ22" s="155">
        <v>1</v>
      </c>
      <c r="AR22" s="155">
        <v>0</v>
      </c>
      <c r="AS22" s="158"/>
      <c r="AT22" s="158">
        <f t="shared" si="9"/>
        <v>0</v>
      </c>
      <c r="AU22" s="119">
        <v>1</v>
      </c>
      <c r="AV22" s="50" t="s">
        <v>125</v>
      </c>
      <c r="BB22" s="136" t="s">
        <v>157</v>
      </c>
    </row>
    <row r="23" spans="1:54" x14ac:dyDescent="0.35">
      <c r="A23" s="357">
        <v>43235</v>
      </c>
      <c r="B23" s="40">
        <v>2.4166666666666701</v>
      </c>
      <c r="C23" s="40">
        <v>0.45833333333333298</v>
      </c>
      <c r="D23" s="156">
        <v>3</v>
      </c>
      <c r="E23" s="154">
        <f t="shared" si="2"/>
        <v>2.1126760563380285</v>
      </c>
      <c r="F23" s="154">
        <v>6</v>
      </c>
      <c r="G23" s="118">
        <v>76</v>
      </c>
      <c r="H23" s="154">
        <f t="shared" si="0"/>
        <v>53.521126760563384</v>
      </c>
      <c r="I23" s="154">
        <v>77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7">
        <v>131</v>
      </c>
      <c r="R23" s="157"/>
      <c r="S23" s="157">
        <v>94532384</v>
      </c>
      <c r="T23" s="45">
        <f t="shared" si="4"/>
        <v>4547</v>
      </c>
      <c r="U23" s="46">
        <f t="shared" si="5"/>
        <v>109.128</v>
      </c>
      <c r="V23" s="46">
        <f t="shared" si="6"/>
        <v>4.5469999999999997</v>
      </c>
      <c r="W23" s="96">
        <v>6.4</v>
      </c>
      <c r="X23" s="96">
        <f>W23</f>
        <v>6.4</v>
      </c>
      <c r="Y23" s="97" t="s">
        <v>169</v>
      </c>
      <c r="Z23" s="158">
        <v>1046</v>
      </c>
      <c r="AA23" s="158">
        <v>0</v>
      </c>
      <c r="AB23" s="158">
        <v>0</v>
      </c>
      <c r="AC23" s="158">
        <v>1185</v>
      </c>
      <c r="AD23" s="158">
        <v>1187</v>
      </c>
      <c r="AE23" s="158">
        <v>1185</v>
      </c>
      <c r="AF23" s="47" t="s">
        <v>90</v>
      </c>
      <c r="AG23" s="47" t="s">
        <v>90</v>
      </c>
      <c r="AH23" s="98" t="s">
        <v>90</v>
      </c>
      <c r="AI23" s="103">
        <v>15752248</v>
      </c>
      <c r="AJ23" s="45">
        <f t="shared" si="7"/>
        <v>1215</v>
      </c>
      <c r="AK23" s="48">
        <f t="shared" si="8"/>
        <v>267.20914888937762</v>
      </c>
      <c r="AL23" s="155">
        <v>1</v>
      </c>
      <c r="AM23" s="155">
        <v>0</v>
      </c>
      <c r="AN23" s="155">
        <v>0</v>
      </c>
      <c r="AO23" s="155">
        <v>1</v>
      </c>
      <c r="AP23" s="155">
        <v>1</v>
      </c>
      <c r="AQ23" s="155">
        <v>1</v>
      </c>
      <c r="AR23" s="155">
        <v>0</v>
      </c>
      <c r="AS23" s="158"/>
      <c r="AT23" s="158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357">
        <v>43235</v>
      </c>
      <c r="B24" s="40">
        <v>2.4583333333333299</v>
      </c>
      <c r="C24" s="40">
        <v>0.5</v>
      </c>
      <c r="D24" s="156">
        <v>3</v>
      </c>
      <c r="E24" s="154">
        <f t="shared" si="2"/>
        <v>2.1126760563380285</v>
      </c>
      <c r="F24" s="154">
        <v>6</v>
      </c>
      <c r="G24" s="118">
        <v>76</v>
      </c>
      <c r="H24" s="154">
        <f t="shared" si="0"/>
        <v>53.521126760563384</v>
      </c>
      <c r="I24" s="154">
        <v>77</v>
      </c>
      <c r="J24" s="41" t="s">
        <v>88</v>
      </c>
      <c r="K24" s="41">
        <f t="shared" si="3"/>
        <v>52.112676056338032</v>
      </c>
      <c r="L24" s="42">
        <f t="shared" si="10"/>
        <v>53.521126760563384</v>
      </c>
      <c r="M24" s="41">
        <f t="shared" si="11"/>
        <v>54.941126760563385</v>
      </c>
      <c r="N24" s="43">
        <v>19</v>
      </c>
      <c r="O24" s="44" t="s">
        <v>100</v>
      </c>
      <c r="P24" s="44">
        <v>17.3</v>
      </c>
      <c r="Q24" s="157">
        <v>129</v>
      </c>
      <c r="R24" s="157"/>
      <c r="S24" s="157">
        <v>94537170</v>
      </c>
      <c r="T24" s="45">
        <f t="shared" si="4"/>
        <v>4786</v>
      </c>
      <c r="U24" s="46">
        <f>T24*24/1000</f>
        <v>114.864</v>
      </c>
      <c r="V24" s="46">
        <f t="shared" si="6"/>
        <v>4.7859999999999996</v>
      </c>
      <c r="W24" s="96">
        <v>5.8</v>
      </c>
      <c r="X24" s="96">
        <f t="shared" si="1"/>
        <v>5.8</v>
      </c>
      <c r="Y24" s="97" t="s">
        <v>169</v>
      </c>
      <c r="Z24" s="158">
        <v>1027</v>
      </c>
      <c r="AA24" s="158">
        <v>0</v>
      </c>
      <c r="AB24" s="158">
        <v>0</v>
      </c>
      <c r="AC24" s="158">
        <v>1185</v>
      </c>
      <c r="AD24" s="158">
        <v>1187</v>
      </c>
      <c r="AE24" s="158">
        <v>1185</v>
      </c>
      <c r="AF24" s="47" t="s">
        <v>90</v>
      </c>
      <c r="AG24" s="47" t="s">
        <v>90</v>
      </c>
      <c r="AH24" s="98" t="s">
        <v>90</v>
      </c>
      <c r="AI24" s="103">
        <v>15753419</v>
      </c>
      <c r="AJ24" s="45">
        <f t="shared" si="7"/>
        <v>1171</v>
      </c>
      <c r="AK24" s="48">
        <f t="shared" si="8"/>
        <v>244.67195988299207</v>
      </c>
      <c r="AL24" s="155">
        <v>1</v>
      </c>
      <c r="AM24" s="155">
        <v>0</v>
      </c>
      <c r="AN24" s="155">
        <v>0</v>
      </c>
      <c r="AO24" s="155">
        <v>1</v>
      </c>
      <c r="AP24" s="155">
        <v>1</v>
      </c>
      <c r="AQ24" s="155">
        <v>1</v>
      </c>
      <c r="AR24" s="155">
        <v>0</v>
      </c>
      <c r="AS24" s="158"/>
      <c r="AT24" s="158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357">
        <v>43235</v>
      </c>
      <c r="B25" s="40">
        <v>2.5</v>
      </c>
      <c r="C25" s="40">
        <v>0.54166666666666696</v>
      </c>
      <c r="D25" s="156">
        <v>3</v>
      </c>
      <c r="E25" s="154">
        <f t="shared" si="2"/>
        <v>2.1126760563380285</v>
      </c>
      <c r="F25" s="154">
        <v>5</v>
      </c>
      <c r="G25" s="118">
        <v>75</v>
      </c>
      <c r="H25" s="154">
        <f t="shared" si="0"/>
        <v>52.816901408450704</v>
      </c>
      <c r="I25" s="154">
        <v>76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7">
        <v>130</v>
      </c>
      <c r="R25" s="157"/>
      <c r="S25" s="157">
        <v>94541721</v>
      </c>
      <c r="T25" s="45">
        <f t="shared" si="4"/>
        <v>4551</v>
      </c>
      <c r="U25" s="46">
        <f>T25*24/1000</f>
        <v>109.224</v>
      </c>
      <c r="V25" s="46">
        <f t="shared" si="6"/>
        <v>4.5510000000000002</v>
      </c>
      <c r="W25" s="96">
        <v>5.3</v>
      </c>
      <c r="X25" s="96">
        <f t="shared" si="1"/>
        <v>5.3</v>
      </c>
      <c r="Y25" s="97" t="s">
        <v>169</v>
      </c>
      <c r="Z25" s="158">
        <v>1027</v>
      </c>
      <c r="AA25" s="158">
        <v>0</v>
      </c>
      <c r="AB25" s="158">
        <v>0</v>
      </c>
      <c r="AC25" s="158">
        <v>1185</v>
      </c>
      <c r="AD25" s="158">
        <v>1187</v>
      </c>
      <c r="AE25" s="158">
        <v>1185</v>
      </c>
      <c r="AF25" s="47" t="s">
        <v>90</v>
      </c>
      <c r="AG25" s="47" t="s">
        <v>90</v>
      </c>
      <c r="AH25" s="98" t="s">
        <v>90</v>
      </c>
      <c r="AI25" s="103">
        <v>15754563</v>
      </c>
      <c r="AJ25" s="45">
        <f t="shared" si="7"/>
        <v>1144</v>
      </c>
      <c r="AK25" s="48">
        <f t="shared" si="8"/>
        <v>251.37332454405623</v>
      </c>
      <c r="AL25" s="155">
        <v>1</v>
      </c>
      <c r="AM25" s="155">
        <v>0</v>
      </c>
      <c r="AN25" s="155">
        <v>0</v>
      </c>
      <c r="AO25" s="155">
        <v>1</v>
      </c>
      <c r="AP25" s="155">
        <v>1</v>
      </c>
      <c r="AQ25" s="155">
        <v>1</v>
      </c>
      <c r="AR25" s="155">
        <v>0</v>
      </c>
      <c r="AS25" s="158"/>
      <c r="AT25" s="158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57">
        <v>43235</v>
      </c>
      <c r="B26" s="40">
        <v>2.5416666666666701</v>
      </c>
      <c r="C26" s="40">
        <v>0.58333333333333404</v>
      </c>
      <c r="D26" s="156">
        <v>3</v>
      </c>
      <c r="E26" s="154">
        <f t="shared" si="2"/>
        <v>2.1126760563380285</v>
      </c>
      <c r="F26" s="154">
        <v>0</v>
      </c>
      <c r="G26" s="118">
        <v>76</v>
      </c>
      <c r="H26" s="154">
        <f>G26/1.42</f>
        <v>53.521126760563384</v>
      </c>
      <c r="I26" s="154">
        <v>74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7">
        <v>127</v>
      </c>
      <c r="R26" s="157"/>
      <c r="S26" s="157">
        <v>94545698</v>
      </c>
      <c r="T26" s="45">
        <f t="shared" si="4"/>
        <v>3977</v>
      </c>
      <c r="U26" s="46">
        <f t="shared" si="5"/>
        <v>95.447999999999993</v>
      </c>
      <c r="V26" s="46">
        <f t="shared" si="6"/>
        <v>3.9769999999999999</v>
      </c>
      <c r="W26" s="96">
        <v>4.8</v>
      </c>
      <c r="X26" s="96">
        <f t="shared" si="1"/>
        <v>4.8</v>
      </c>
      <c r="Y26" s="97" t="s">
        <v>169</v>
      </c>
      <c r="Z26" s="158">
        <v>1025</v>
      </c>
      <c r="AA26" s="158">
        <v>0</v>
      </c>
      <c r="AB26" s="158">
        <v>0</v>
      </c>
      <c r="AC26" s="158">
        <v>1185</v>
      </c>
      <c r="AD26" s="158">
        <v>1186</v>
      </c>
      <c r="AE26" s="158">
        <v>1185</v>
      </c>
      <c r="AF26" s="47" t="s">
        <v>90</v>
      </c>
      <c r="AG26" s="47" t="s">
        <v>90</v>
      </c>
      <c r="AH26" s="98" t="s">
        <v>90</v>
      </c>
      <c r="AI26" s="103">
        <v>15755691</v>
      </c>
      <c r="AJ26" s="45">
        <f t="shared" si="7"/>
        <v>1128</v>
      </c>
      <c r="AK26" s="48">
        <f t="shared" si="8"/>
        <v>283.63087754588889</v>
      </c>
      <c r="AL26" s="155">
        <v>1</v>
      </c>
      <c r="AM26" s="155">
        <v>0</v>
      </c>
      <c r="AN26" s="155">
        <v>0</v>
      </c>
      <c r="AO26" s="155">
        <v>1</v>
      </c>
      <c r="AP26" s="155">
        <v>1</v>
      </c>
      <c r="AQ26" s="155">
        <v>1</v>
      </c>
      <c r="AR26" s="155">
        <v>0</v>
      </c>
      <c r="AS26" s="158"/>
      <c r="AT26" s="158">
        <f t="shared" si="9"/>
        <v>0</v>
      </c>
      <c r="AU26" s="119">
        <v>0.98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57">
        <v>43235</v>
      </c>
      <c r="B27" s="40">
        <v>2.5833333333333299</v>
      </c>
      <c r="C27" s="40">
        <v>0.625</v>
      </c>
      <c r="D27" s="156">
        <v>3</v>
      </c>
      <c r="E27" s="154">
        <f t="shared" si="2"/>
        <v>2.1126760563380285</v>
      </c>
      <c r="F27" s="154">
        <v>-1</v>
      </c>
      <c r="G27" s="118">
        <v>77</v>
      </c>
      <c r="H27" s="154">
        <f>G27/1.42</f>
        <v>54.225352112676056</v>
      </c>
      <c r="I27" s="154">
        <v>75</v>
      </c>
      <c r="J27" s="41" t="s">
        <v>88</v>
      </c>
      <c r="K27" s="41">
        <f t="shared" si="3"/>
        <v>52.816901408450704</v>
      </c>
      <c r="L27" s="42">
        <f t="shared" si="10"/>
        <v>54.225352112676056</v>
      </c>
      <c r="M27" s="41">
        <f t="shared" si="12"/>
        <v>58.450704225352112</v>
      </c>
      <c r="N27" s="43">
        <v>18</v>
      </c>
      <c r="O27" s="44" t="s">
        <v>100</v>
      </c>
      <c r="P27" s="44">
        <v>16.899999999999999</v>
      </c>
      <c r="Q27" s="157">
        <v>128</v>
      </c>
      <c r="R27" s="157"/>
      <c r="S27" s="157">
        <v>94550345</v>
      </c>
      <c r="T27" s="45">
        <f t="shared" si="4"/>
        <v>4647</v>
      </c>
      <c r="U27" s="46">
        <f t="shared" si="5"/>
        <v>111.52800000000001</v>
      </c>
      <c r="V27" s="46">
        <f t="shared" si="6"/>
        <v>4.6470000000000002</v>
      </c>
      <c r="W27" s="96">
        <v>4.4000000000000004</v>
      </c>
      <c r="X27" s="96">
        <f t="shared" si="1"/>
        <v>4.4000000000000004</v>
      </c>
      <c r="Y27" s="97" t="s">
        <v>169</v>
      </c>
      <c r="Z27" s="158">
        <v>1026</v>
      </c>
      <c r="AA27" s="158">
        <v>0</v>
      </c>
      <c r="AB27" s="158">
        <v>0</v>
      </c>
      <c r="AC27" s="158">
        <v>1185</v>
      </c>
      <c r="AD27" s="158">
        <v>1187</v>
      </c>
      <c r="AE27" s="158">
        <v>1185</v>
      </c>
      <c r="AF27" s="47" t="s">
        <v>90</v>
      </c>
      <c r="AG27" s="47" t="s">
        <v>90</v>
      </c>
      <c r="AH27" s="98" t="s">
        <v>90</v>
      </c>
      <c r="AI27" s="103">
        <v>15756861</v>
      </c>
      <c r="AJ27" s="45">
        <f t="shared" si="7"/>
        <v>1170</v>
      </c>
      <c r="AK27" s="48">
        <f t="shared" si="8"/>
        <v>251.77533892834086</v>
      </c>
      <c r="AL27" s="155">
        <v>1</v>
      </c>
      <c r="AM27" s="155">
        <v>0</v>
      </c>
      <c r="AN27" s="155">
        <v>0</v>
      </c>
      <c r="AO27" s="155">
        <v>1</v>
      </c>
      <c r="AP27" s="155">
        <v>1</v>
      </c>
      <c r="AQ27" s="155">
        <v>1</v>
      </c>
      <c r="AR27" s="155">
        <v>0</v>
      </c>
      <c r="AS27" s="158"/>
      <c r="AT27" s="158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57">
        <v>43235</v>
      </c>
      <c r="B28" s="40">
        <v>2.625</v>
      </c>
      <c r="C28" s="40">
        <v>0.66666666666666696</v>
      </c>
      <c r="D28" s="156">
        <v>3</v>
      </c>
      <c r="E28" s="154">
        <f t="shared" si="2"/>
        <v>2.1126760563380285</v>
      </c>
      <c r="F28" s="154">
        <v>-2</v>
      </c>
      <c r="G28" s="118">
        <v>77</v>
      </c>
      <c r="H28" s="154">
        <f t="shared" si="0"/>
        <v>54.225352112676056</v>
      </c>
      <c r="I28" s="154">
        <v>75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7">
        <v>131</v>
      </c>
      <c r="R28" s="157"/>
      <c r="S28" s="157">
        <v>94554872</v>
      </c>
      <c r="T28" s="45">
        <f t="shared" si="4"/>
        <v>4527</v>
      </c>
      <c r="U28" s="46">
        <f t="shared" si="5"/>
        <v>108.648</v>
      </c>
      <c r="V28" s="46">
        <f t="shared" si="6"/>
        <v>4.5270000000000001</v>
      </c>
      <c r="W28" s="96">
        <v>3.9</v>
      </c>
      <c r="X28" s="96">
        <f t="shared" si="1"/>
        <v>3.9</v>
      </c>
      <c r="Y28" s="97" t="s">
        <v>169</v>
      </c>
      <c r="Z28" s="158">
        <v>1025</v>
      </c>
      <c r="AA28" s="158">
        <v>0</v>
      </c>
      <c r="AB28" s="158">
        <v>0</v>
      </c>
      <c r="AC28" s="158">
        <v>1185</v>
      </c>
      <c r="AD28" s="158">
        <v>1187</v>
      </c>
      <c r="AE28" s="158">
        <v>1185</v>
      </c>
      <c r="AF28" s="47" t="s">
        <v>90</v>
      </c>
      <c r="AG28" s="47" t="s">
        <v>90</v>
      </c>
      <c r="AH28" s="98" t="s">
        <v>90</v>
      </c>
      <c r="AI28" s="103">
        <v>15758041</v>
      </c>
      <c r="AJ28" s="45">
        <f>IF(ISBLANK(AI28),"-",AI28-AI27)</f>
        <v>1180</v>
      </c>
      <c r="AK28" s="48">
        <f t="shared" si="8"/>
        <v>260.65827258670203</v>
      </c>
      <c r="AL28" s="155">
        <v>1</v>
      </c>
      <c r="AM28" s="155">
        <v>0</v>
      </c>
      <c r="AN28" s="155">
        <v>0</v>
      </c>
      <c r="AO28" s="155">
        <v>1</v>
      </c>
      <c r="AP28" s="155">
        <v>1</v>
      </c>
      <c r="AQ28" s="155">
        <v>1</v>
      </c>
      <c r="AR28" s="155">
        <v>0</v>
      </c>
      <c r="AS28" s="158"/>
      <c r="AT28" s="158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357">
        <v>43235</v>
      </c>
      <c r="B29" s="40">
        <v>2.6666666666666701</v>
      </c>
      <c r="C29" s="40">
        <v>0.70833333333333404</v>
      </c>
      <c r="D29" s="156">
        <v>3</v>
      </c>
      <c r="E29" s="154">
        <f t="shared" si="2"/>
        <v>2.1126760563380285</v>
      </c>
      <c r="F29" s="154">
        <v>-3</v>
      </c>
      <c r="G29" s="118">
        <v>75</v>
      </c>
      <c r="H29" s="154">
        <f t="shared" si="0"/>
        <v>52.816901408450704</v>
      </c>
      <c r="I29" s="154">
        <v>73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7">
        <v>130</v>
      </c>
      <c r="R29" s="157"/>
      <c r="S29" s="157">
        <v>94559086</v>
      </c>
      <c r="T29" s="45">
        <f t="shared" si="4"/>
        <v>4214</v>
      </c>
      <c r="U29" s="46">
        <f t="shared" si="5"/>
        <v>101.136</v>
      </c>
      <c r="V29" s="46">
        <f t="shared" si="6"/>
        <v>4.2140000000000004</v>
      </c>
      <c r="W29" s="96">
        <v>3.5</v>
      </c>
      <c r="X29" s="96">
        <f t="shared" si="1"/>
        <v>3.5</v>
      </c>
      <c r="Y29" s="97" t="s">
        <v>169</v>
      </c>
      <c r="Z29" s="158">
        <v>1016</v>
      </c>
      <c r="AA29" s="158">
        <v>0</v>
      </c>
      <c r="AB29" s="158">
        <v>0</v>
      </c>
      <c r="AC29" s="158">
        <v>1185</v>
      </c>
      <c r="AD29" s="158">
        <v>1187</v>
      </c>
      <c r="AE29" s="158">
        <v>1185</v>
      </c>
      <c r="AF29" s="47" t="s">
        <v>90</v>
      </c>
      <c r="AG29" s="47" t="s">
        <v>90</v>
      </c>
      <c r="AH29" s="98" t="s">
        <v>90</v>
      </c>
      <c r="AI29" s="103">
        <v>15759171</v>
      </c>
      <c r="AJ29" s="45">
        <f t="shared" si="7"/>
        <v>1130</v>
      </c>
      <c r="AK29" s="48">
        <f>AJ28/V29</f>
        <v>280.01898433792121</v>
      </c>
      <c r="AL29" s="155">
        <v>1</v>
      </c>
      <c r="AM29" s="155">
        <v>0</v>
      </c>
      <c r="AN29" s="155">
        <v>0</v>
      </c>
      <c r="AO29" s="155">
        <v>1</v>
      </c>
      <c r="AP29" s="155">
        <v>1</v>
      </c>
      <c r="AQ29" s="155">
        <v>1</v>
      </c>
      <c r="AR29" s="155">
        <v>0</v>
      </c>
      <c r="AS29" s="158"/>
      <c r="AT29" s="158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357">
        <v>43235</v>
      </c>
      <c r="B30" s="40">
        <v>2.7083333333333299</v>
      </c>
      <c r="C30" s="40">
        <v>0.750000000000002</v>
      </c>
      <c r="D30" s="156">
        <v>3</v>
      </c>
      <c r="E30" s="154">
        <f t="shared" si="2"/>
        <v>2.1126760563380285</v>
      </c>
      <c r="F30" s="154">
        <v>-4</v>
      </c>
      <c r="G30" s="118">
        <v>74</v>
      </c>
      <c r="H30" s="154">
        <f t="shared" si="0"/>
        <v>52.112676056338032</v>
      </c>
      <c r="I30" s="154">
        <v>72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7">
        <v>131</v>
      </c>
      <c r="R30" s="157"/>
      <c r="S30" s="157">
        <v>94563149</v>
      </c>
      <c r="T30" s="45">
        <f t="shared" si="4"/>
        <v>4063</v>
      </c>
      <c r="U30" s="46">
        <f t="shared" si="5"/>
        <v>97.512</v>
      </c>
      <c r="V30" s="46">
        <f t="shared" si="6"/>
        <v>4.0629999999999997</v>
      </c>
      <c r="W30" s="96">
        <v>3.1</v>
      </c>
      <c r="X30" s="96">
        <f t="shared" si="1"/>
        <v>3.1</v>
      </c>
      <c r="Y30" s="97" t="s">
        <v>169</v>
      </c>
      <c r="Z30" s="158">
        <v>1016</v>
      </c>
      <c r="AA30" s="158">
        <v>0</v>
      </c>
      <c r="AB30" s="158">
        <v>0</v>
      </c>
      <c r="AC30" s="158">
        <v>1185</v>
      </c>
      <c r="AD30" s="158">
        <v>1187</v>
      </c>
      <c r="AE30" s="158">
        <v>1185</v>
      </c>
      <c r="AF30" s="47" t="s">
        <v>90</v>
      </c>
      <c r="AG30" s="47" t="s">
        <v>90</v>
      </c>
      <c r="AH30" s="98" t="s">
        <v>90</v>
      </c>
      <c r="AI30" s="103">
        <v>15760350</v>
      </c>
      <c r="AJ30" s="45">
        <f t="shared" si="7"/>
        <v>1179</v>
      </c>
      <c r="AK30" s="48">
        <f>AJ29/V30</f>
        <v>278.11961604725576</v>
      </c>
      <c r="AL30" s="155">
        <v>1</v>
      </c>
      <c r="AM30" s="155">
        <v>0</v>
      </c>
      <c r="AN30" s="155">
        <v>0</v>
      </c>
      <c r="AO30" s="155">
        <v>1</v>
      </c>
      <c r="AP30" s="155">
        <v>1</v>
      </c>
      <c r="AQ30" s="155">
        <v>1</v>
      </c>
      <c r="AR30" s="155">
        <v>0</v>
      </c>
      <c r="AS30" s="158"/>
      <c r="AT30" s="158">
        <f t="shared" si="9"/>
        <v>0</v>
      </c>
      <c r="AU30" s="159">
        <v>1.03</v>
      </c>
      <c r="AV30" s="50" t="s">
        <v>124</v>
      </c>
      <c r="AY30" s="55" t="s">
        <v>114</v>
      </c>
      <c r="AZ30" s="55">
        <v>101.325</v>
      </c>
      <c r="BB30" s="74" t="s">
        <v>143</v>
      </c>
    </row>
    <row r="31" spans="1:54" x14ac:dyDescent="0.35">
      <c r="A31" s="357">
        <v>43235</v>
      </c>
      <c r="B31" s="40">
        <v>2.75</v>
      </c>
      <c r="C31" s="40">
        <v>0.79166666666666896</v>
      </c>
      <c r="D31" s="156">
        <v>3</v>
      </c>
      <c r="E31" s="154">
        <f t="shared" si="2"/>
        <v>2.1126760563380285</v>
      </c>
      <c r="F31" s="154">
        <v>-4</v>
      </c>
      <c r="G31" s="118">
        <v>74</v>
      </c>
      <c r="H31" s="154">
        <f t="shared" si="0"/>
        <v>52.112676056338032</v>
      </c>
      <c r="I31" s="154">
        <v>72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7">
        <v>130</v>
      </c>
      <c r="R31" s="157"/>
      <c r="S31" s="157">
        <v>94568035</v>
      </c>
      <c r="T31" s="45">
        <f t="shared" si="4"/>
        <v>4886</v>
      </c>
      <c r="U31" s="46">
        <f t="shared" si="5"/>
        <v>117.264</v>
      </c>
      <c r="V31" s="46">
        <f t="shared" si="6"/>
        <v>4.8860000000000001</v>
      </c>
      <c r="W31" s="96">
        <v>2.8</v>
      </c>
      <c r="X31" s="96">
        <f t="shared" si="1"/>
        <v>2.8</v>
      </c>
      <c r="Y31" s="97" t="s">
        <v>169</v>
      </c>
      <c r="Z31" s="158">
        <v>1015</v>
      </c>
      <c r="AA31" s="158">
        <v>0</v>
      </c>
      <c r="AB31" s="158">
        <v>0</v>
      </c>
      <c r="AC31" s="158">
        <v>1185</v>
      </c>
      <c r="AD31" s="158">
        <v>1187</v>
      </c>
      <c r="AE31" s="158">
        <v>1185</v>
      </c>
      <c r="AF31" s="47" t="s">
        <v>90</v>
      </c>
      <c r="AG31" s="47" t="s">
        <v>90</v>
      </c>
      <c r="AH31" s="98" t="s">
        <v>90</v>
      </c>
      <c r="AI31" s="103">
        <v>15761506</v>
      </c>
      <c r="AJ31" s="45">
        <f t="shared" si="7"/>
        <v>1156</v>
      </c>
      <c r="AK31" s="48">
        <f t="shared" si="8"/>
        <v>236.59435120753173</v>
      </c>
      <c r="AL31" s="155">
        <v>1</v>
      </c>
      <c r="AM31" s="155">
        <v>0</v>
      </c>
      <c r="AN31" s="155">
        <v>0</v>
      </c>
      <c r="AO31" s="155">
        <v>1</v>
      </c>
      <c r="AP31" s="155">
        <v>1</v>
      </c>
      <c r="AQ31" s="155">
        <v>1</v>
      </c>
      <c r="AR31" s="155">
        <v>0</v>
      </c>
      <c r="AS31" s="158"/>
      <c r="AT31" s="158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357">
        <v>43235</v>
      </c>
      <c r="B32" s="40">
        <v>2.7916666666666701</v>
      </c>
      <c r="C32" s="40">
        <v>0.83333333333333703</v>
      </c>
      <c r="D32" s="156">
        <v>3</v>
      </c>
      <c r="E32" s="154">
        <f t="shared" si="2"/>
        <v>2.1126760563380285</v>
      </c>
      <c r="F32" s="154">
        <v>-5</v>
      </c>
      <c r="G32" s="118">
        <v>75</v>
      </c>
      <c r="H32" s="154">
        <f t="shared" si="0"/>
        <v>52.816901408450704</v>
      </c>
      <c r="I32" s="154">
        <v>73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7">
        <v>128</v>
      </c>
      <c r="R32" s="157"/>
      <c r="S32" s="157">
        <v>94573889</v>
      </c>
      <c r="T32" s="45">
        <f t="shared" si="4"/>
        <v>5854</v>
      </c>
      <c r="U32" s="46">
        <f t="shared" si="5"/>
        <v>140.49600000000001</v>
      </c>
      <c r="V32" s="46">
        <f t="shared" si="6"/>
        <v>5.8540000000000001</v>
      </c>
      <c r="W32" s="96">
        <v>2.5</v>
      </c>
      <c r="X32" s="96">
        <f t="shared" si="1"/>
        <v>2.5</v>
      </c>
      <c r="Y32" s="97" t="s">
        <v>169</v>
      </c>
      <c r="Z32" s="158">
        <v>1016</v>
      </c>
      <c r="AA32" s="158">
        <v>0</v>
      </c>
      <c r="AB32" s="158">
        <v>0</v>
      </c>
      <c r="AC32" s="158">
        <v>1185</v>
      </c>
      <c r="AD32" s="158">
        <v>1187</v>
      </c>
      <c r="AE32" s="158">
        <v>1185</v>
      </c>
      <c r="AF32" s="47" t="s">
        <v>90</v>
      </c>
      <c r="AG32" s="47" t="s">
        <v>90</v>
      </c>
      <c r="AH32" s="98" t="s">
        <v>90</v>
      </c>
      <c r="AI32" s="103">
        <v>15762649</v>
      </c>
      <c r="AJ32" s="45">
        <f t="shared" si="7"/>
        <v>1143</v>
      </c>
      <c r="AK32" s="48">
        <f t="shared" si="8"/>
        <v>195.25111035189613</v>
      </c>
      <c r="AL32" s="155">
        <v>1</v>
      </c>
      <c r="AM32" s="155">
        <v>0</v>
      </c>
      <c r="AN32" s="155">
        <v>0</v>
      </c>
      <c r="AO32" s="155">
        <v>1</v>
      </c>
      <c r="AP32" s="155">
        <v>1</v>
      </c>
      <c r="AQ32" s="155">
        <v>1</v>
      </c>
      <c r="AR32" s="155">
        <v>0</v>
      </c>
      <c r="AS32" s="158"/>
      <c r="AT32" s="158">
        <v>0</v>
      </c>
      <c r="AU32" s="49"/>
      <c r="AV32" s="50" t="s">
        <v>124</v>
      </c>
      <c r="AY32" s="308" t="s">
        <v>115</v>
      </c>
      <c r="AZ32" s="308"/>
      <c r="BB32" s="74" t="s">
        <v>156</v>
      </c>
    </row>
    <row r="33" spans="1:54" x14ac:dyDescent="0.35">
      <c r="A33" s="357">
        <v>43235</v>
      </c>
      <c r="B33" s="40">
        <v>2.8333333333333299</v>
      </c>
      <c r="C33" s="40">
        <v>0.875</v>
      </c>
      <c r="D33" s="156">
        <v>3</v>
      </c>
      <c r="E33" s="154">
        <f t="shared" si="2"/>
        <v>2.1126760563380285</v>
      </c>
      <c r="F33" s="154">
        <v>-4</v>
      </c>
      <c r="G33" s="118">
        <v>75</v>
      </c>
      <c r="H33" s="154">
        <f t="shared" si="0"/>
        <v>52.816901408450704</v>
      </c>
      <c r="I33" s="154">
        <v>73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7">
        <v>129</v>
      </c>
      <c r="R33" s="157"/>
      <c r="S33" s="157">
        <v>94578917</v>
      </c>
      <c r="T33" s="45">
        <f t="shared" si="4"/>
        <v>5028</v>
      </c>
      <c r="U33" s="46">
        <f t="shared" si="5"/>
        <v>120.672</v>
      </c>
      <c r="V33" s="46">
        <f t="shared" si="6"/>
        <v>5.0279999999999996</v>
      </c>
      <c r="W33" s="96">
        <v>2.2000000000000002</v>
      </c>
      <c r="X33" s="96">
        <f t="shared" si="1"/>
        <v>2.2000000000000002</v>
      </c>
      <c r="Y33" s="97" t="s">
        <v>169</v>
      </c>
      <c r="Z33" s="158">
        <v>1015</v>
      </c>
      <c r="AA33" s="158">
        <v>0</v>
      </c>
      <c r="AB33" s="158">
        <v>0</v>
      </c>
      <c r="AC33" s="158">
        <v>1185</v>
      </c>
      <c r="AD33" s="158">
        <v>1187</v>
      </c>
      <c r="AE33" s="158">
        <v>1185</v>
      </c>
      <c r="AF33" s="47" t="s">
        <v>90</v>
      </c>
      <c r="AG33" s="47" t="s">
        <v>90</v>
      </c>
      <c r="AH33" s="98" t="s">
        <v>90</v>
      </c>
      <c r="AI33" s="103">
        <v>15763805</v>
      </c>
      <c r="AJ33" s="45">
        <f t="shared" si="7"/>
        <v>1156</v>
      </c>
      <c r="AK33" s="48">
        <f t="shared" si="8"/>
        <v>229.91249005568815</v>
      </c>
      <c r="AL33" s="155">
        <v>1</v>
      </c>
      <c r="AM33" s="155">
        <v>0</v>
      </c>
      <c r="AN33" s="155">
        <v>0</v>
      </c>
      <c r="AO33" s="155">
        <v>1</v>
      </c>
      <c r="AP33" s="155">
        <v>1</v>
      </c>
      <c r="AQ33" s="155">
        <v>1</v>
      </c>
      <c r="AR33" s="155">
        <v>0</v>
      </c>
      <c r="AS33" s="158"/>
      <c r="AT33" s="158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57">
        <v>43235</v>
      </c>
      <c r="B34" s="40">
        <v>2.875</v>
      </c>
      <c r="C34" s="40">
        <v>0.91666666666667096</v>
      </c>
      <c r="D34" s="156">
        <v>3</v>
      </c>
      <c r="E34" s="154">
        <f t="shared" si="2"/>
        <v>2.1126760563380285</v>
      </c>
      <c r="F34" s="154">
        <v>-3</v>
      </c>
      <c r="G34" s="118">
        <v>76</v>
      </c>
      <c r="H34" s="154">
        <f t="shared" si="0"/>
        <v>53.521126760563384</v>
      </c>
      <c r="I34" s="154">
        <v>74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7">
        <v>128</v>
      </c>
      <c r="R34" s="157"/>
      <c r="S34" s="157">
        <v>94583654</v>
      </c>
      <c r="T34" s="45">
        <f t="shared" si="4"/>
        <v>4737</v>
      </c>
      <c r="U34" s="46">
        <f t="shared" si="5"/>
        <v>113.688</v>
      </c>
      <c r="V34" s="46">
        <f t="shared" si="6"/>
        <v>4.7370000000000001</v>
      </c>
      <c r="W34" s="96">
        <v>1.9</v>
      </c>
      <c r="X34" s="96">
        <f t="shared" si="1"/>
        <v>1.9</v>
      </c>
      <c r="Y34" s="97" t="s">
        <v>169</v>
      </c>
      <c r="Z34" s="158">
        <v>1015</v>
      </c>
      <c r="AA34" s="158">
        <v>0</v>
      </c>
      <c r="AB34" s="158">
        <v>0</v>
      </c>
      <c r="AC34" s="158">
        <v>1185</v>
      </c>
      <c r="AD34" s="158">
        <v>1187</v>
      </c>
      <c r="AE34" s="158">
        <v>1185</v>
      </c>
      <c r="AF34" s="47" t="s">
        <v>90</v>
      </c>
      <c r="AG34" s="47" t="s">
        <v>90</v>
      </c>
      <c r="AH34" s="98" t="s">
        <v>90</v>
      </c>
      <c r="AI34" s="103">
        <v>15764961</v>
      </c>
      <c r="AJ34" s="45">
        <f t="shared" si="7"/>
        <v>1156</v>
      </c>
      <c r="AK34" s="48">
        <f t="shared" si="8"/>
        <v>244.03630990078108</v>
      </c>
      <c r="AL34" s="155">
        <v>1</v>
      </c>
      <c r="AM34" s="155">
        <v>0</v>
      </c>
      <c r="AN34" s="155">
        <v>0</v>
      </c>
      <c r="AO34" s="155">
        <v>1</v>
      </c>
      <c r="AP34" s="155">
        <v>1</v>
      </c>
      <c r="AQ34" s="155">
        <v>1</v>
      </c>
      <c r="AR34" s="155">
        <v>0</v>
      </c>
      <c r="AS34" s="158"/>
      <c r="AT34" s="158">
        <f>AS34-AS33</f>
        <v>0</v>
      </c>
      <c r="AU34" s="119">
        <v>0.98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357">
        <v>43235</v>
      </c>
      <c r="B35" s="40">
        <v>2.9166666666666701</v>
      </c>
      <c r="C35" s="40">
        <v>0.95833333333333803</v>
      </c>
      <c r="D35" s="156">
        <v>3</v>
      </c>
      <c r="E35" s="154">
        <f t="shared" si="2"/>
        <v>2.1126760563380285</v>
      </c>
      <c r="F35" s="154">
        <v>-1</v>
      </c>
      <c r="G35" s="118">
        <v>74</v>
      </c>
      <c r="H35" s="154">
        <f t="shared" si="0"/>
        <v>52.112676056338032</v>
      </c>
      <c r="I35" s="154">
        <v>73</v>
      </c>
      <c r="J35" s="41" t="s">
        <v>88</v>
      </c>
      <c r="K35" s="41">
        <f>L35-(2/1.42)</f>
        <v>47.183098591549296</v>
      </c>
      <c r="L35" s="42">
        <f>(G35-5)/1.42</f>
        <v>48.591549295774648</v>
      </c>
      <c r="M35" s="41">
        <f t="shared" si="12"/>
        <v>52.816901408450704</v>
      </c>
      <c r="N35" s="43">
        <v>14</v>
      </c>
      <c r="O35" s="44" t="s">
        <v>116</v>
      </c>
      <c r="P35" s="44">
        <v>11.9</v>
      </c>
      <c r="Q35" s="157">
        <v>136</v>
      </c>
      <c r="R35" s="157"/>
      <c r="S35" s="157">
        <v>94588113</v>
      </c>
      <c r="T35" s="45">
        <f t="shared" si="4"/>
        <v>4459</v>
      </c>
      <c r="U35" s="46">
        <f t="shared" si="5"/>
        <v>107.01600000000001</v>
      </c>
      <c r="V35" s="46">
        <f t="shared" si="6"/>
        <v>4.4589999999999996</v>
      </c>
      <c r="W35" s="96">
        <v>2.2000000000000002</v>
      </c>
      <c r="X35" s="96">
        <f t="shared" si="1"/>
        <v>2.2000000000000002</v>
      </c>
      <c r="Y35" s="97" t="s">
        <v>138</v>
      </c>
      <c r="Z35" s="158">
        <v>0</v>
      </c>
      <c r="AA35" s="158">
        <v>0</v>
      </c>
      <c r="AB35" s="158">
        <v>0</v>
      </c>
      <c r="AC35" s="158">
        <v>1185</v>
      </c>
      <c r="AD35" s="158">
        <v>1187</v>
      </c>
      <c r="AE35" s="158">
        <v>1185</v>
      </c>
      <c r="AF35" s="47" t="s">
        <v>90</v>
      </c>
      <c r="AG35" s="47" t="s">
        <v>90</v>
      </c>
      <c r="AH35" s="98" t="s">
        <v>90</v>
      </c>
      <c r="AI35" s="103">
        <v>15766054</v>
      </c>
      <c r="AJ35" s="45">
        <f t="shared" si="7"/>
        <v>1093</v>
      </c>
      <c r="AK35" s="48">
        <f t="shared" si="8"/>
        <v>245.12222471406147</v>
      </c>
      <c r="AL35" s="155">
        <v>0</v>
      </c>
      <c r="AM35" s="155">
        <v>0</v>
      </c>
      <c r="AN35" s="155">
        <v>0</v>
      </c>
      <c r="AO35" s="155">
        <v>1</v>
      </c>
      <c r="AP35" s="155">
        <v>1</v>
      </c>
      <c r="AQ35" s="155">
        <v>1</v>
      </c>
      <c r="AR35" s="155">
        <v>0.3</v>
      </c>
      <c r="AS35" s="158"/>
      <c r="AT35" s="158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357">
        <v>43235</v>
      </c>
      <c r="B36" s="40">
        <v>2.9583333333333299</v>
      </c>
      <c r="C36" s="40">
        <v>1</v>
      </c>
      <c r="D36" s="156">
        <v>3</v>
      </c>
      <c r="E36" s="154">
        <f t="shared" si="2"/>
        <v>2.1126760563380285</v>
      </c>
      <c r="F36" s="154">
        <v>1</v>
      </c>
      <c r="G36" s="118">
        <v>74</v>
      </c>
      <c r="H36" s="154">
        <f t="shared" si="0"/>
        <v>52.112676056338032</v>
      </c>
      <c r="I36" s="154">
        <v>73</v>
      </c>
      <c r="J36" s="41" t="s">
        <v>88</v>
      </c>
      <c r="K36" s="41">
        <f t="shared" si="3"/>
        <v>47.183098591549296</v>
      </c>
      <c r="L36" s="42">
        <f>(G36-5)/1.42</f>
        <v>48.591549295774648</v>
      </c>
      <c r="M36" s="41">
        <f t="shared" si="12"/>
        <v>52.816901408450704</v>
      </c>
      <c r="N36" s="43">
        <v>14</v>
      </c>
      <c r="O36" s="44" t="s">
        <v>116</v>
      </c>
      <c r="P36" s="58">
        <v>11.5</v>
      </c>
      <c r="Q36" s="157">
        <v>141</v>
      </c>
      <c r="R36" s="157"/>
      <c r="S36" s="157">
        <v>94592405</v>
      </c>
      <c r="T36" s="45">
        <f t="shared" si="4"/>
        <v>4292</v>
      </c>
      <c r="U36" s="46">
        <f t="shared" si="5"/>
        <v>103.008</v>
      </c>
      <c r="V36" s="46">
        <f t="shared" si="6"/>
        <v>4.2919999999999998</v>
      </c>
      <c r="W36" s="96">
        <v>2.9</v>
      </c>
      <c r="X36" s="96">
        <f t="shared" si="1"/>
        <v>2.9</v>
      </c>
      <c r="Y36" s="97" t="s">
        <v>138</v>
      </c>
      <c r="Z36" s="158">
        <v>0</v>
      </c>
      <c r="AA36" s="158">
        <v>0</v>
      </c>
      <c r="AB36" s="158">
        <v>0</v>
      </c>
      <c r="AC36" s="158">
        <v>1185</v>
      </c>
      <c r="AD36" s="158">
        <v>1187</v>
      </c>
      <c r="AE36" s="158">
        <v>1185</v>
      </c>
      <c r="AF36" s="47" t="s">
        <v>90</v>
      </c>
      <c r="AG36" s="47" t="s">
        <v>90</v>
      </c>
      <c r="AH36" s="98" t="s">
        <v>90</v>
      </c>
      <c r="AI36" s="103">
        <v>15767147</v>
      </c>
      <c r="AJ36" s="45">
        <f t="shared" si="7"/>
        <v>1093</v>
      </c>
      <c r="AK36" s="48">
        <f t="shared" si="8"/>
        <v>254.65983224603914</v>
      </c>
      <c r="AL36" s="155">
        <v>0</v>
      </c>
      <c r="AM36" s="155">
        <v>0</v>
      </c>
      <c r="AN36" s="155">
        <v>0</v>
      </c>
      <c r="AO36" s="155">
        <v>1</v>
      </c>
      <c r="AP36" s="155">
        <v>1</v>
      </c>
      <c r="AQ36" s="155">
        <v>1</v>
      </c>
      <c r="AR36" s="155">
        <v>0.3</v>
      </c>
      <c r="AS36" s="158"/>
      <c r="AT36" s="158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73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09" t="s">
        <v>118</v>
      </c>
      <c r="O37" s="310"/>
      <c r="P37" s="311"/>
      <c r="Q37" s="101"/>
      <c r="R37" s="101"/>
      <c r="S37" s="101"/>
      <c r="T37" s="60">
        <f>SUM(T13:T36)</f>
        <v>106218</v>
      </c>
      <c r="U37" s="46">
        <f t="shared" si="5"/>
        <v>2549.232</v>
      </c>
      <c r="V37" s="46">
        <f t="shared" si="6"/>
        <v>106.218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27420</v>
      </c>
      <c r="AK37" s="61">
        <f>$AJ$37/$V37</f>
        <v>258.14833644015135</v>
      </c>
      <c r="AL37" s="155"/>
      <c r="AM37" s="155"/>
      <c r="AN37" s="155"/>
      <c r="AO37" s="155"/>
      <c r="AP37" s="155"/>
      <c r="AQ37" s="155"/>
      <c r="AR37" s="62"/>
      <c r="AS37" s="63">
        <f>AS36-AS11</f>
        <v>0</v>
      </c>
      <c r="AT37" s="64">
        <f>SUM(AT13:AT36)</f>
        <v>0</v>
      </c>
      <c r="AU37" s="65">
        <f>AVERAGE(AU13:AU36)</f>
        <v>0.97833333333333317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7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8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8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4"/>
      <c r="D47" s="164"/>
      <c r="E47" s="164"/>
      <c r="F47" s="164"/>
      <c r="G47" s="164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71" t="s">
        <v>232</v>
      </c>
      <c r="C48" s="172"/>
      <c r="D48" s="172"/>
      <c r="E48" s="172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70"/>
      <c r="D49" s="170"/>
      <c r="E49" s="170"/>
      <c r="F49" s="161"/>
      <c r="G49" s="161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163</v>
      </c>
      <c r="C50" s="143"/>
      <c r="D50" s="143"/>
      <c r="E50" s="143"/>
      <c r="F50" s="130"/>
      <c r="G50" s="130"/>
      <c r="H50" s="160"/>
      <c r="I50" s="160"/>
      <c r="J50" s="160"/>
      <c r="K50" s="160"/>
      <c r="L50" s="160"/>
      <c r="M50" s="160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210</v>
      </c>
      <c r="B51" s="115" t="s">
        <v>182</v>
      </c>
      <c r="C51" s="143"/>
      <c r="D51" s="143"/>
      <c r="E51" s="143"/>
      <c r="F51" s="130"/>
      <c r="G51" s="130"/>
      <c r="H51" s="160"/>
      <c r="I51" s="160"/>
      <c r="J51" s="160"/>
      <c r="K51" s="160"/>
      <c r="L51" s="160"/>
      <c r="M51" s="160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233</v>
      </c>
      <c r="C52" s="120"/>
      <c r="D52" s="115"/>
      <c r="E52" s="115"/>
      <c r="F52" s="115"/>
      <c r="G52" s="115"/>
      <c r="H52" s="160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70"/>
      <c r="D53" s="170"/>
      <c r="E53" s="170"/>
      <c r="F53" s="170"/>
      <c r="G53" s="115"/>
      <c r="H53" s="115"/>
      <c r="I53" s="115"/>
      <c r="J53" s="115"/>
      <c r="K53" s="115"/>
      <c r="L53" s="115"/>
      <c r="M53" s="115"/>
      <c r="N53" s="163"/>
      <c r="O53" s="163"/>
      <c r="P53" s="163"/>
      <c r="Q53" s="163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32" t="s">
        <v>170</v>
      </c>
      <c r="C54" s="153"/>
      <c r="D54" s="170"/>
      <c r="E54" s="170"/>
      <c r="F54" s="170"/>
      <c r="G54" s="170"/>
      <c r="H54" s="170"/>
      <c r="I54" s="170"/>
      <c r="J54" s="169"/>
      <c r="K54" s="166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70"/>
      <c r="E55" s="153"/>
      <c r="F55" s="153"/>
      <c r="G55" s="153"/>
      <c r="H55" s="153"/>
      <c r="I55" s="153"/>
      <c r="J55" s="169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172</v>
      </c>
      <c r="C56" s="115"/>
      <c r="D56" s="170"/>
      <c r="E56" s="153"/>
      <c r="F56" s="153"/>
      <c r="G56" s="153"/>
      <c r="H56" s="153"/>
      <c r="I56" s="153"/>
      <c r="J56" s="153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53" t="s">
        <v>234</v>
      </c>
      <c r="C57" s="170"/>
      <c r="D57" s="170"/>
      <c r="E57" s="153"/>
      <c r="F57" s="153"/>
      <c r="G57" s="153"/>
      <c r="H57" s="153"/>
      <c r="I57" s="153"/>
      <c r="J57" s="153"/>
      <c r="K57" s="166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174</v>
      </c>
      <c r="C58" s="170"/>
      <c r="D58" s="170"/>
      <c r="E58" s="115"/>
      <c r="F58" s="115"/>
      <c r="G58" s="115"/>
      <c r="H58" s="115"/>
      <c r="I58" s="153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62" t="s">
        <v>195</v>
      </c>
      <c r="C59" s="170"/>
      <c r="D59" s="170"/>
      <c r="E59" s="153"/>
      <c r="F59" s="153"/>
      <c r="G59" s="153"/>
      <c r="H59" s="153"/>
      <c r="I59" s="153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15"/>
      <c r="C60" s="170"/>
      <c r="D60" s="223"/>
      <c r="E60" s="223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15"/>
      <c r="C61" s="153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32"/>
      <c r="C62" s="115"/>
      <c r="D62" s="100"/>
      <c r="E62" s="100"/>
      <c r="F62" s="115"/>
      <c r="G62" s="115"/>
      <c r="H62" s="92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6"/>
      <c r="E63" s="166"/>
      <c r="F63" s="166"/>
      <c r="G63" s="166"/>
      <c r="H63" s="166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53"/>
      <c r="C64" s="115"/>
      <c r="D64" s="100"/>
      <c r="E64" s="100"/>
      <c r="F64" s="115"/>
      <c r="G64" s="115"/>
      <c r="H64" s="92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6"/>
      <c r="E65" s="166"/>
      <c r="F65" s="166"/>
      <c r="G65" s="166"/>
      <c r="H65" s="166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AV65" s="86"/>
      <c r="AW65" s="86"/>
      <c r="AX65" s="86"/>
      <c r="AY65" s="86"/>
      <c r="AZ65" s="86"/>
      <c r="BA65" s="86"/>
      <c r="BB65" s="86"/>
    </row>
    <row r="66" spans="2:54" x14ac:dyDescent="0.35">
      <c r="B66" s="162"/>
      <c r="C66" s="115"/>
      <c r="D66" s="166"/>
      <c r="E66" s="166"/>
      <c r="F66" s="166"/>
      <c r="G66" s="166"/>
      <c r="H66" s="166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6"/>
      <c r="E67" s="166"/>
      <c r="F67" s="166"/>
      <c r="G67" s="166"/>
      <c r="H67" s="166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Q13:Q36 S13:S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3" name="Range1_16_1_1_1_1_1_1_2_2_2_2_2_2_2_2_2_2_2_2_2_2_2_2_2_2_2_2_2_2_2_1_2_2_2_2_2_2_2_2_2_2_3_2_2_2_2_2_2_2_2_2_2_1_1_1_1_2_2_1_1_1_1_1_1_1_1_1_1_1_1_1_1_3"/>
    <protectedRange sqref="B50:B52 B60:B61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R5:W5" name="Range1_16_1_1_1_1_1_1_2_2_2_2_2_2_2_2_2_2_2_2_2_2_2_2_2_2_2_2_2_2_2_1_2_2_2_2_2_2_2_2_2_2_3_2_2_2_2_2_2_2_2_2_2_1_1_1_1_2_2_1_1_1_1_1_1_1_1_1_1_3_1_3_2_1_1_1"/>
    <protectedRange sqref="R4:W4" name="Range1_16_1_1_1_1_1_1_2_2_2_2_2_2_2_2_2_2_2_2_2_2_2_2_2_2_2_2_2_2_2_1_2_2_2_2_2_2_2_2_2_2_3_2_2_2_2_2_2_2_2_2_2_1_1_1_1_2_2_1_1_1_1_1_1_1_1_1_1_1_1_1_1_2_1_2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288" priority="5" operator="containsText" text="N/A">
      <formula>NOT(ISERROR(SEARCH("N/A",Z13)))</formula>
    </cfRule>
    <cfRule type="cellIs" dxfId="287" priority="17" operator="equal">
      <formula>0</formula>
    </cfRule>
  </conditionalFormatting>
  <conditionalFormatting sqref="Z13:AG36">
    <cfRule type="cellIs" dxfId="286" priority="16" operator="greaterThanOrEqual">
      <formula>1185</formula>
    </cfRule>
  </conditionalFormatting>
  <conditionalFormatting sqref="Z13:AG36">
    <cfRule type="cellIs" dxfId="285" priority="15" operator="between">
      <formula>0.1</formula>
      <formula>1184</formula>
    </cfRule>
  </conditionalFormatting>
  <conditionalFormatting sqref="Z8:Z9 AT13:AT36 AL37:AQ37 AL13:AR36">
    <cfRule type="cellIs" dxfId="284" priority="14" operator="equal">
      <formula>0</formula>
    </cfRule>
  </conditionalFormatting>
  <conditionalFormatting sqref="Z8:Z9 AT13:AT36 AL37:AQ37 AL13:AR36">
    <cfRule type="cellIs" dxfId="283" priority="13" operator="greaterThan">
      <formula>1179</formula>
    </cfRule>
  </conditionalFormatting>
  <conditionalFormatting sqref="Z8:Z9 AT13:AT36 AL37:AQ37 AL13:AR36">
    <cfRule type="cellIs" dxfId="282" priority="12" operator="greaterThan">
      <formula>99</formula>
    </cfRule>
  </conditionalFormatting>
  <conditionalFormatting sqref="Z8:Z9 AT13:AT36 AL37:AQ37 AL13:AR36">
    <cfRule type="cellIs" dxfId="281" priority="11" operator="greaterThan">
      <formula>0.99</formula>
    </cfRule>
  </conditionalFormatting>
  <conditionalFormatting sqref="AD8:AD9">
    <cfRule type="cellIs" dxfId="280" priority="10" operator="equal">
      <formula>0</formula>
    </cfRule>
  </conditionalFormatting>
  <conditionalFormatting sqref="AD8:AD9">
    <cfRule type="cellIs" dxfId="279" priority="9" operator="greaterThan">
      <formula>1179</formula>
    </cfRule>
  </conditionalFormatting>
  <conditionalFormatting sqref="AD8:AD9">
    <cfRule type="cellIs" dxfId="278" priority="8" operator="greaterThan">
      <formula>99</formula>
    </cfRule>
  </conditionalFormatting>
  <conditionalFormatting sqref="AD8:AD9">
    <cfRule type="cellIs" dxfId="277" priority="7" operator="greaterThan">
      <formula>0.99</formula>
    </cfRule>
  </conditionalFormatting>
  <conditionalFormatting sqref="AK13:AK36">
    <cfRule type="cellIs" dxfId="276" priority="6" operator="greaterThan">
      <formula>$AK$8</formula>
    </cfRule>
  </conditionalFormatting>
  <conditionalFormatting sqref="AS13:AS36">
    <cfRule type="containsText" dxfId="275" priority="1" operator="containsText" text="N/A">
      <formula>NOT(ISERROR(SEARCH("N/A",AS13)))</formula>
    </cfRule>
    <cfRule type="cellIs" dxfId="274" priority="4" operator="equal">
      <formula>0</formula>
    </cfRule>
  </conditionalFormatting>
  <conditionalFormatting sqref="AS13:AS36">
    <cfRule type="cellIs" dxfId="273" priority="3" operator="greaterThanOrEqual">
      <formula>1185</formula>
    </cfRule>
  </conditionalFormatting>
  <conditionalFormatting sqref="AS13:AS36">
    <cfRule type="cellIs" dxfId="272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E00-000000000000}">
      <formula1>$BB$11:$BB$42</formula1>
    </dataValidation>
    <dataValidation type="list" allowBlank="1" showInputMessage="1" showErrorMessage="1" sqref="AY33:AZ33" xr:uid="{00000000-0002-0000-0E00-000001000000}">
      <formula1>$AY$26:$AY$30</formula1>
    </dataValidation>
    <dataValidation type="list" allowBlank="1" showInputMessage="1" showErrorMessage="1" sqref="AS8:AT9 P11:P12 N11:N12 D8:E9 Q8:V9" xr:uid="{00000000-0002-0000-0E00-000002000000}">
      <formula1>#REF!</formula1>
    </dataValidation>
    <dataValidation type="list" allowBlank="1" showInputMessage="1" showErrorMessage="1" sqref="J13:J36" xr:uid="{00000000-0002-0000-0E00-000003000000}">
      <formula1>$AY$11:$AY$21</formula1>
    </dataValidation>
  </dataValidations>
  <hyperlinks>
    <hyperlink ref="J10:J11" location="'1'!AH8" display="Plant Status" xr:uid="{00000000-0004-0000-0E00-000000000000}"/>
  </hyperlinks>
  <pageMargins left="0.7" right="0.7" top="0.75" bottom="0.75" header="0.3" footer="0.3"/>
  <pageSetup paperSize="9" orientation="portrait" horizontalDpi="4294967293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>
    <tabColor rgb="FF7030A0"/>
  </sheetPr>
  <dimension ref="A2:BB88"/>
  <sheetViews>
    <sheetView topLeftCell="A7" zoomScaleNormal="100" workbookViewId="0">
      <selection activeCell="F12" sqref="F12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47" t="s">
        <v>145</v>
      </c>
      <c r="S3" s="348"/>
      <c r="T3" s="348"/>
      <c r="U3" s="348"/>
      <c r="V3" s="348"/>
      <c r="W3" s="34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47" t="s">
        <v>150</v>
      </c>
      <c r="S4" s="348"/>
      <c r="T4" s="348"/>
      <c r="U4" s="348"/>
      <c r="V4" s="348"/>
      <c r="W4" s="34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47" t="s">
        <v>151</v>
      </c>
      <c r="S5" s="348"/>
      <c r="T5" s="348"/>
      <c r="U5" s="348"/>
      <c r="V5" s="348"/>
      <c r="W5" s="34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50" t="s">
        <v>6</v>
      </c>
      <c r="C6" s="351"/>
      <c r="D6" s="352" t="s">
        <v>7</v>
      </c>
      <c r="E6" s="353"/>
      <c r="F6" s="353"/>
      <c r="G6" s="353"/>
      <c r="H6" s="353"/>
      <c r="I6" s="353"/>
      <c r="J6" s="354"/>
      <c r="K6" s="87"/>
      <c r="L6" s="87"/>
      <c r="M6" s="246"/>
      <c r="N6" s="355">
        <v>41686</v>
      </c>
      <c r="O6" s="356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37" t="s">
        <v>8</v>
      </c>
      <c r="C7" s="338"/>
      <c r="D7" s="337" t="s">
        <v>9</v>
      </c>
      <c r="E7" s="339"/>
      <c r="F7" s="339"/>
      <c r="G7" s="339"/>
      <c r="H7" s="339"/>
      <c r="I7" s="338"/>
      <c r="J7" s="23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36" t="s">
        <v>14</v>
      </c>
      <c r="R7" s="337" t="s">
        <v>15</v>
      </c>
      <c r="S7" s="339"/>
      <c r="T7" s="339"/>
      <c r="U7" s="339"/>
      <c r="V7" s="338"/>
      <c r="W7" s="337" t="s">
        <v>16</v>
      </c>
      <c r="X7" s="338"/>
      <c r="Y7" s="99" t="s">
        <v>17</v>
      </c>
      <c r="Z7" s="337" t="s">
        <v>18</v>
      </c>
      <c r="AA7" s="338"/>
      <c r="AB7" s="337" t="s">
        <v>19</v>
      </c>
      <c r="AC7" s="338"/>
      <c r="AD7" s="337" t="s">
        <v>20</v>
      </c>
      <c r="AE7" s="338"/>
      <c r="AF7" s="337" t="s">
        <v>21</v>
      </c>
      <c r="AG7" s="338"/>
      <c r="AH7" s="99" t="s">
        <v>22</v>
      </c>
      <c r="AI7" s="99" t="s">
        <v>23</v>
      </c>
      <c r="AJ7" s="99" t="s">
        <v>24</v>
      </c>
      <c r="AK7" s="99" t="s">
        <v>25</v>
      </c>
      <c r="AL7" s="337" t="s">
        <v>26</v>
      </c>
      <c r="AM7" s="339"/>
      <c r="AN7" s="339"/>
      <c r="AO7" s="339"/>
      <c r="AP7" s="339"/>
      <c r="AQ7" s="338"/>
      <c r="AR7" s="337" t="s">
        <v>27</v>
      </c>
      <c r="AS7" s="339"/>
      <c r="AT7" s="33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40">
        <v>43236</v>
      </c>
      <c r="C8" s="341"/>
      <c r="D8" s="342" t="s">
        <v>29</v>
      </c>
      <c r="E8" s="343"/>
      <c r="F8" s="343"/>
      <c r="G8" s="343"/>
      <c r="H8" s="343"/>
      <c r="I8" s="344"/>
      <c r="J8" s="28"/>
      <c r="K8" s="342" t="s">
        <v>29</v>
      </c>
      <c r="L8" s="343"/>
      <c r="M8" s="34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42" t="s">
        <v>33</v>
      </c>
      <c r="X8" s="344"/>
      <c r="Y8" s="30" t="s">
        <v>34</v>
      </c>
      <c r="Z8" s="326">
        <v>0</v>
      </c>
      <c r="AA8" s="327"/>
      <c r="AB8" s="345" t="s">
        <v>35</v>
      </c>
      <c r="AC8" s="346"/>
      <c r="AD8" s="326">
        <v>1185</v>
      </c>
      <c r="AE8" s="327"/>
      <c r="AF8" s="328">
        <v>800</v>
      </c>
      <c r="AG8" s="329"/>
      <c r="AH8" s="28"/>
      <c r="AI8" s="30">
        <f>AI36-AI11</f>
        <v>27451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37"/>
      <c r="C9" s="238"/>
      <c r="D9" s="239"/>
      <c r="E9" s="240"/>
      <c r="F9" s="240"/>
      <c r="G9" s="240"/>
      <c r="H9" s="240"/>
      <c r="I9" s="241"/>
      <c r="J9" s="121"/>
      <c r="K9" s="239"/>
      <c r="L9" s="240"/>
      <c r="M9" s="241"/>
      <c r="N9" s="29"/>
      <c r="O9" s="29"/>
      <c r="P9" s="29"/>
      <c r="Q9" s="121"/>
      <c r="R9" s="121"/>
      <c r="S9" s="121"/>
      <c r="T9" s="122"/>
      <c r="U9" s="123"/>
      <c r="V9" s="124"/>
      <c r="W9" s="239"/>
      <c r="X9" s="241"/>
      <c r="Y9" s="30"/>
      <c r="Z9" s="242"/>
      <c r="AA9" s="125"/>
      <c r="AB9" s="126"/>
      <c r="AC9" s="126"/>
      <c r="AD9" s="125"/>
      <c r="AE9" s="125"/>
      <c r="AF9" s="127"/>
      <c r="AG9" s="243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30" t="s">
        <v>39</v>
      </c>
      <c r="C10" s="331"/>
      <c r="D10" s="330" t="s">
        <v>40</v>
      </c>
      <c r="E10" s="332"/>
      <c r="F10" s="331"/>
      <c r="G10" s="330" t="s">
        <v>41</v>
      </c>
      <c r="H10" s="332"/>
      <c r="I10" s="331"/>
      <c r="J10" s="333" t="s">
        <v>42</v>
      </c>
      <c r="K10" s="330" t="s">
        <v>43</v>
      </c>
      <c r="L10" s="332"/>
      <c r="M10" s="331"/>
      <c r="N10" s="99" t="s">
        <v>44</v>
      </c>
      <c r="O10" s="335" t="s">
        <v>45</v>
      </c>
      <c r="P10" s="33" t="s">
        <v>46</v>
      </c>
      <c r="Q10" s="324" t="s">
        <v>47</v>
      </c>
      <c r="R10" s="324" t="s">
        <v>48</v>
      </c>
      <c r="S10" s="34" t="s">
        <v>49</v>
      </c>
      <c r="T10" s="312" t="s">
        <v>50</v>
      </c>
      <c r="U10" s="313"/>
      <c r="V10" s="314"/>
      <c r="W10" s="247" t="s">
        <v>51</v>
      </c>
      <c r="X10" s="247" t="s">
        <v>52</v>
      </c>
      <c r="Y10" s="318" t="s">
        <v>53</v>
      </c>
      <c r="Z10" s="319" t="s">
        <v>54</v>
      </c>
      <c r="AA10" s="320"/>
      <c r="AB10" s="320"/>
      <c r="AC10" s="320"/>
      <c r="AD10" s="320"/>
      <c r="AE10" s="320"/>
      <c r="AF10" s="320"/>
      <c r="AG10" s="321"/>
      <c r="AH10" s="245" t="s">
        <v>55</v>
      </c>
      <c r="AI10" s="245" t="s">
        <v>56</v>
      </c>
      <c r="AJ10" s="307" t="s">
        <v>57</v>
      </c>
      <c r="AK10" s="322" t="s">
        <v>58</v>
      </c>
      <c r="AL10" s="247" t="s">
        <v>59</v>
      </c>
      <c r="AM10" s="247" t="s">
        <v>60</v>
      </c>
      <c r="AN10" s="247" t="s">
        <v>61</v>
      </c>
      <c r="AO10" s="247" t="s">
        <v>62</v>
      </c>
      <c r="AP10" s="247" t="s">
        <v>63</v>
      </c>
      <c r="AQ10" s="247" t="s">
        <v>123</v>
      </c>
      <c r="AR10" s="247" t="s">
        <v>64</v>
      </c>
      <c r="AS10" s="247" t="s">
        <v>65</v>
      </c>
      <c r="AT10" s="324" t="s">
        <v>66</v>
      </c>
      <c r="AU10" s="247" t="s">
        <v>67</v>
      </c>
      <c r="AV10" s="30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47" t="s">
        <v>72</v>
      </c>
      <c r="C11" s="247" t="s">
        <v>73</v>
      </c>
      <c r="D11" s="247" t="s">
        <v>74</v>
      </c>
      <c r="E11" s="247" t="s">
        <v>75</v>
      </c>
      <c r="F11" s="247" t="s">
        <v>126</v>
      </c>
      <c r="G11" s="247" t="s">
        <v>74</v>
      </c>
      <c r="H11" s="247" t="s">
        <v>75</v>
      </c>
      <c r="I11" s="247" t="s">
        <v>126</v>
      </c>
      <c r="J11" s="334"/>
      <c r="K11" s="247" t="s">
        <v>75</v>
      </c>
      <c r="L11" s="247" t="s">
        <v>75</v>
      </c>
      <c r="M11" s="247" t="s">
        <v>75</v>
      </c>
      <c r="N11" s="28" t="s">
        <v>29</v>
      </c>
      <c r="O11" s="336"/>
      <c r="P11" s="28" t="s">
        <v>29</v>
      </c>
      <c r="Q11" s="325"/>
      <c r="R11" s="325"/>
      <c r="S11" s="1">
        <f>'MAY 15'!S36</f>
        <v>94592405</v>
      </c>
      <c r="T11" s="315"/>
      <c r="U11" s="316"/>
      <c r="V11" s="317"/>
      <c r="W11" s="247" t="s">
        <v>75</v>
      </c>
      <c r="X11" s="247" t="s">
        <v>75</v>
      </c>
      <c r="Y11" s="31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'MAY 15'!AI36</f>
        <v>15767147</v>
      </c>
      <c r="AJ11" s="307"/>
      <c r="AK11" s="323"/>
      <c r="AL11" s="247" t="s">
        <v>84</v>
      </c>
      <c r="AM11" s="247" t="s">
        <v>84</v>
      </c>
      <c r="AN11" s="247" t="s">
        <v>84</v>
      </c>
      <c r="AO11" s="247" t="s">
        <v>84</v>
      </c>
      <c r="AP11" s="247" t="s">
        <v>84</v>
      </c>
      <c r="AQ11" s="247" t="s">
        <v>84</v>
      </c>
      <c r="AR11" s="247" t="s">
        <v>84</v>
      </c>
      <c r="AS11" s="1"/>
      <c r="AT11" s="325"/>
      <c r="AU11" s="244" t="s">
        <v>85</v>
      </c>
      <c r="AV11" s="307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283</v>
      </c>
      <c r="B12" s="305" t="s">
        <v>284</v>
      </c>
      <c r="C12" s="305" t="s">
        <v>285</v>
      </c>
      <c r="D12" s="305" t="s">
        <v>286</v>
      </c>
      <c r="E12" s="305" t="s">
        <v>287</v>
      </c>
      <c r="F12" s="305" t="s">
        <v>288</v>
      </c>
      <c r="G12" s="305" t="s">
        <v>289</v>
      </c>
      <c r="H12" s="305" t="s">
        <v>290</v>
      </c>
      <c r="I12" s="305" t="s">
        <v>291</v>
      </c>
      <c r="J12" s="297" t="s">
        <v>292</v>
      </c>
      <c r="K12" s="305" t="s">
        <v>293</v>
      </c>
      <c r="L12" s="305" t="s">
        <v>294</v>
      </c>
      <c r="M12" s="305" t="s">
        <v>295</v>
      </c>
      <c r="N12" s="28" t="s">
        <v>296</v>
      </c>
      <c r="O12" s="298" t="s">
        <v>297</v>
      </c>
      <c r="P12" s="28" t="s">
        <v>298</v>
      </c>
      <c r="Q12" s="300" t="s">
        <v>299</v>
      </c>
      <c r="R12" s="300" t="s">
        <v>300</v>
      </c>
      <c r="S12" s="1" t="s">
        <v>301</v>
      </c>
      <c r="T12" s="302" t="s">
        <v>302</v>
      </c>
      <c r="U12" s="303" t="s">
        <v>303</v>
      </c>
      <c r="V12" s="304" t="s">
        <v>304</v>
      </c>
      <c r="W12" s="305" t="s">
        <v>305</v>
      </c>
      <c r="X12" s="305" t="s">
        <v>306</v>
      </c>
      <c r="Y12" s="305" t="s">
        <v>307</v>
      </c>
      <c r="Z12" s="37" t="s">
        <v>308</v>
      </c>
      <c r="AA12" s="37" t="s">
        <v>309</v>
      </c>
      <c r="AB12" s="37" t="s">
        <v>310</v>
      </c>
      <c r="AC12" s="37" t="s">
        <v>311</v>
      </c>
      <c r="AD12" s="37" t="s">
        <v>312</v>
      </c>
      <c r="AE12" s="37" t="s">
        <v>313</v>
      </c>
      <c r="AF12" s="37" t="s">
        <v>314</v>
      </c>
      <c r="AG12" s="37" t="s">
        <v>315</v>
      </c>
      <c r="AH12" s="38" t="s">
        <v>316</v>
      </c>
      <c r="AI12" s="1" t="s">
        <v>317</v>
      </c>
      <c r="AJ12" s="301" t="s">
        <v>318</v>
      </c>
      <c r="AK12" s="306" t="s">
        <v>319</v>
      </c>
      <c r="AL12" s="305" t="s">
        <v>320</v>
      </c>
      <c r="AM12" s="305" t="s">
        <v>321</v>
      </c>
      <c r="AN12" s="305" t="s">
        <v>322</v>
      </c>
      <c r="AO12" s="305" t="s">
        <v>323</v>
      </c>
      <c r="AP12" s="305" t="s">
        <v>324</v>
      </c>
      <c r="AQ12" s="305" t="s">
        <v>325</v>
      </c>
      <c r="AR12" s="305" t="s">
        <v>326</v>
      </c>
      <c r="AS12" s="1" t="s">
        <v>327</v>
      </c>
      <c r="AT12" s="300" t="s">
        <v>328</v>
      </c>
      <c r="AU12" s="299" t="s">
        <v>329</v>
      </c>
      <c r="AV12" s="301"/>
      <c r="AY12" s="39"/>
      <c r="AZ12" s="39"/>
      <c r="BB12" s="136"/>
    </row>
    <row r="13" spans="1:54" x14ac:dyDescent="0.35">
      <c r="A13" s="357">
        <v>43236</v>
      </c>
      <c r="B13" s="40">
        <v>2</v>
      </c>
      <c r="C13" s="40">
        <v>4.1666666666666664E-2</v>
      </c>
      <c r="D13" s="156">
        <v>3</v>
      </c>
      <c r="E13" s="154">
        <f>D13/1.42</f>
        <v>2.1126760563380285</v>
      </c>
      <c r="F13" s="154">
        <v>3</v>
      </c>
      <c r="G13" s="118">
        <v>69</v>
      </c>
      <c r="H13" s="154">
        <f t="shared" ref="H13:H36" si="0">G13/1.42</f>
        <v>48.591549295774648</v>
      </c>
      <c r="I13" s="154">
        <v>69</v>
      </c>
      <c r="J13" s="41" t="s">
        <v>88</v>
      </c>
      <c r="K13" s="41">
        <f>L13-(2/1.42)</f>
        <v>43.661971830985919</v>
      </c>
      <c r="L13" s="42">
        <f>(G13-5)/1.42</f>
        <v>45.070422535211272</v>
      </c>
      <c r="M13" s="41">
        <f>L13+(6/1.42)</f>
        <v>49.295774647887328</v>
      </c>
      <c r="N13" s="43">
        <v>14</v>
      </c>
      <c r="O13" s="44" t="s">
        <v>89</v>
      </c>
      <c r="P13" s="44">
        <v>11.4</v>
      </c>
      <c r="Q13" s="157">
        <v>145</v>
      </c>
      <c r="R13" s="157"/>
      <c r="S13" s="157">
        <v>94596611</v>
      </c>
      <c r="T13" s="45">
        <f>IF(ISBLANK(S13),"-",S13-S11)</f>
        <v>4206</v>
      </c>
      <c r="U13" s="46">
        <f>T13*24/1000</f>
        <v>100.944</v>
      </c>
      <c r="V13" s="46">
        <f>T13/1000</f>
        <v>4.2060000000000004</v>
      </c>
      <c r="W13" s="96">
        <v>4.3</v>
      </c>
      <c r="X13" s="96">
        <f t="shared" ref="X13:X36" si="1">W13</f>
        <v>4.3</v>
      </c>
      <c r="Y13" s="97" t="s">
        <v>138</v>
      </c>
      <c r="Z13" s="158">
        <v>0</v>
      </c>
      <c r="AA13" s="158">
        <v>0</v>
      </c>
      <c r="AB13" s="158">
        <v>0</v>
      </c>
      <c r="AC13" s="158">
        <v>1185</v>
      </c>
      <c r="AD13" s="158">
        <v>1187</v>
      </c>
      <c r="AE13" s="158">
        <v>1185</v>
      </c>
      <c r="AF13" s="47" t="s">
        <v>90</v>
      </c>
      <c r="AG13" s="47" t="s">
        <v>90</v>
      </c>
      <c r="AH13" s="98" t="s">
        <v>90</v>
      </c>
      <c r="AI13" s="103">
        <v>15768262</v>
      </c>
      <c r="AJ13" s="45">
        <f>IF(ISBLANK(AI13),"-",AI13-AI11)</f>
        <v>1115</v>
      </c>
      <c r="AK13" s="48">
        <f>AJ13/V13</f>
        <v>265.09747979077508</v>
      </c>
      <c r="AL13" s="155">
        <v>0</v>
      </c>
      <c r="AM13" s="155">
        <v>0</v>
      </c>
      <c r="AN13" s="155">
        <v>0</v>
      </c>
      <c r="AO13" s="155">
        <v>1</v>
      </c>
      <c r="AP13" s="155">
        <v>1</v>
      </c>
      <c r="AQ13" s="155">
        <v>1</v>
      </c>
      <c r="AR13" s="155">
        <v>0.8</v>
      </c>
      <c r="AS13" s="158"/>
      <c r="AT13" s="158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357">
        <v>43236</v>
      </c>
      <c r="B14" s="40">
        <v>2.0416666666666701</v>
      </c>
      <c r="C14" s="40">
        <v>8.3333333333333329E-2</v>
      </c>
      <c r="D14" s="156">
        <v>3</v>
      </c>
      <c r="E14" s="154">
        <f t="shared" ref="E14:E36" si="2">D14/1.42</f>
        <v>2.1126760563380285</v>
      </c>
      <c r="F14" s="154">
        <v>4</v>
      </c>
      <c r="G14" s="118">
        <v>70</v>
      </c>
      <c r="H14" s="154">
        <f t="shared" si="0"/>
        <v>49.295774647887328</v>
      </c>
      <c r="I14" s="154">
        <v>70</v>
      </c>
      <c r="J14" s="41" t="s">
        <v>88</v>
      </c>
      <c r="K14" s="41">
        <f t="shared" ref="K14:K36" si="3">L14-(2/1.42)</f>
        <v>44.366197183098592</v>
      </c>
      <c r="L14" s="42">
        <f>(G14-5)/1.42</f>
        <v>45.774647887323944</v>
      </c>
      <c r="M14" s="41">
        <f>L14+(6/1.42)</f>
        <v>50</v>
      </c>
      <c r="N14" s="43">
        <v>14</v>
      </c>
      <c r="O14" s="44" t="s">
        <v>89</v>
      </c>
      <c r="P14" s="44">
        <v>11.2</v>
      </c>
      <c r="Q14" s="157">
        <v>142</v>
      </c>
      <c r="R14" s="157"/>
      <c r="S14" s="157">
        <v>94600642</v>
      </c>
      <c r="T14" s="45">
        <f t="shared" ref="T14:T36" si="4">IF(ISBLANK(S14),"-",S14-S13)</f>
        <v>4031</v>
      </c>
      <c r="U14" s="46">
        <f t="shared" ref="U14:U37" si="5">T14*24/1000</f>
        <v>96.744</v>
      </c>
      <c r="V14" s="46">
        <f t="shared" ref="V14:V37" si="6">T14/1000</f>
        <v>4.0309999999999997</v>
      </c>
      <c r="W14" s="96">
        <v>6</v>
      </c>
      <c r="X14" s="96">
        <f t="shared" si="1"/>
        <v>6</v>
      </c>
      <c r="Y14" s="97" t="s">
        <v>138</v>
      </c>
      <c r="Z14" s="158">
        <v>0</v>
      </c>
      <c r="AA14" s="158">
        <v>0</v>
      </c>
      <c r="AB14" s="158">
        <v>0</v>
      </c>
      <c r="AC14" s="158">
        <v>1185</v>
      </c>
      <c r="AD14" s="158">
        <v>1187</v>
      </c>
      <c r="AE14" s="158">
        <v>1185</v>
      </c>
      <c r="AF14" s="47" t="s">
        <v>90</v>
      </c>
      <c r="AG14" s="47" t="s">
        <v>90</v>
      </c>
      <c r="AH14" s="98" t="s">
        <v>90</v>
      </c>
      <c r="AI14" s="103">
        <v>15769385</v>
      </c>
      <c r="AJ14" s="45">
        <f t="shared" ref="AJ14:AJ36" si="7">IF(ISBLANK(AI14),"-",AI14-AI13)</f>
        <v>1123</v>
      </c>
      <c r="AK14" s="48">
        <f t="shared" ref="AK14:AK36" si="8">AJ14/V14</f>
        <v>278.59092036715458</v>
      </c>
      <c r="AL14" s="155">
        <v>0</v>
      </c>
      <c r="AM14" s="155">
        <v>0</v>
      </c>
      <c r="AN14" s="155">
        <v>0</v>
      </c>
      <c r="AO14" s="155">
        <v>1</v>
      </c>
      <c r="AP14" s="155">
        <v>1</v>
      </c>
      <c r="AQ14" s="155">
        <v>1</v>
      </c>
      <c r="AR14" s="155">
        <v>0.8</v>
      </c>
      <c r="AS14" s="158"/>
      <c r="AT14" s="158">
        <f t="shared" ref="AT14:AT35" si="9">AS14-AS13</f>
        <v>0</v>
      </c>
      <c r="AU14" s="119">
        <v>0.91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57">
        <v>43236</v>
      </c>
      <c r="B15" s="40">
        <v>2.0833333333333299</v>
      </c>
      <c r="C15" s="40">
        <v>0.125</v>
      </c>
      <c r="D15" s="156">
        <v>3</v>
      </c>
      <c r="E15" s="154">
        <f t="shared" si="2"/>
        <v>2.1126760563380285</v>
      </c>
      <c r="F15" s="154">
        <v>5</v>
      </c>
      <c r="G15" s="118">
        <v>72</v>
      </c>
      <c r="H15" s="154">
        <f t="shared" si="0"/>
        <v>50.70422535211268</v>
      </c>
      <c r="I15" s="154">
        <v>71</v>
      </c>
      <c r="J15" s="41" t="s">
        <v>88</v>
      </c>
      <c r="K15" s="41">
        <f t="shared" si="3"/>
        <v>45.774647887323944</v>
      </c>
      <c r="L15" s="42">
        <f>(G15-5)/1.42</f>
        <v>47.183098591549296</v>
      </c>
      <c r="M15" s="41">
        <f>L15+(6/1.42)</f>
        <v>51.408450704225352</v>
      </c>
      <c r="N15" s="43">
        <v>14</v>
      </c>
      <c r="O15" s="44" t="s">
        <v>89</v>
      </c>
      <c r="P15" s="44">
        <v>11.2</v>
      </c>
      <c r="Q15" s="157">
        <v>143</v>
      </c>
      <c r="R15" s="157"/>
      <c r="S15" s="157">
        <v>94604561</v>
      </c>
      <c r="T15" s="45">
        <f>IF(ISBLANK(S15),"-",S15-S14)</f>
        <v>3919</v>
      </c>
      <c r="U15" s="46">
        <f t="shared" si="5"/>
        <v>94.055999999999997</v>
      </c>
      <c r="V15" s="46">
        <f t="shared" si="6"/>
        <v>3.919</v>
      </c>
      <c r="W15" s="96">
        <v>7.6</v>
      </c>
      <c r="X15" s="96">
        <f t="shared" si="1"/>
        <v>7.6</v>
      </c>
      <c r="Y15" s="97" t="s">
        <v>138</v>
      </c>
      <c r="Z15" s="158">
        <v>0</v>
      </c>
      <c r="AA15" s="158">
        <v>0</v>
      </c>
      <c r="AB15" s="158">
        <v>0</v>
      </c>
      <c r="AC15" s="158">
        <v>1185</v>
      </c>
      <c r="AD15" s="158">
        <v>1187</v>
      </c>
      <c r="AE15" s="158">
        <v>1185</v>
      </c>
      <c r="AF15" s="47" t="s">
        <v>90</v>
      </c>
      <c r="AG15" s="47" t="s">
        <v>90</v>
      </c>
      <c r="AH15" s="98" t="s">
        <v>90</v>
      </c>
      <c r="AI15" s="103">
        <v>15770487</v>
      </c>
      <c r="AJ15" s="45">
        <f t="shared" si="7"/>
        <v>1102</v>
      </c>
      <c r="AK15" s="48">
        <f t="shared" si="8"/>
        <v>281.19418218933401</v>
      </c>
      <c r="AL15" s="155">
        <v>0</v>
      </c>
      <c r="AM15" s="155">
        <v>0</v>
      </c>
      <c r="AN15" s="155">
        <v>0</v>
      </c>
      <c r="AO15" s="155">
        <v>1</v>
      </c>
      <c r="AP15" s="155">
        <v>1</v>
      </c>
      <c r="AQ15" s="155">
        <v>1</v>
      </c>
      <c r="AR15" s="155">
        <v>0.8</v>
      </c>
      <c r="AS15" s="158"/>
      <c r="AT15" s="158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357">
        <v>43236</v>
      </c>
      <c r="B16" s="40">
        <v>2.125</v>
      </c>
      <c r="C16" s="40">
        <v>0.16666666666666699</v>
      </c>
      <c r="D16" s="156">
        <v>3</v>
      </c>
      <c r="E16" s="154">
        <f t="shared" si="2"/>
        <v>2.1126760563380285</v>
      </c>
      <c r="F16" s="154">
        <v>6</v>
      </c>
      <c r="G16" s="118">
        <v>72</v>
      </c>
      <c r="H16" s="154">
        <f t="shared" si="0"/>
        <v>50.70422535211268</v>
      </c>
      <c r="I16" s="154">
        <v>71</v>
      </c>
      <c r="J16" s="41" t="s">
        <v>88</v>
      </c>
      <c r="K16" s="41">
        <f t="shared" si="3"/>
        <v>45.774647887323944</v>
      </c>
      <c r="L16" s="42">
        <f>(G16-5)/1.42</f>
        <v>47.183098591549296</v>
      </c>
      <c r="M16" s="41">
        <f>L16+(6/1.42)</f>
        <v>51.408450704225352</v>
      </c>
      <c r="N16" s="43">
        <v>14</v>
      </c>
      <c r="O16" s="44" t="s">
        <v>89</v>
      </c>
      <c r="P16" s="44">
        <v>12.8</v>
      </c>
      <c r="Q16" s="157">
        <v>147</v>
      </c>
      <c r="R16" s="157"/>
      <c r="S16" s="157">
        <v>94608401</v>
      </c>
      <c r="T16" s="45">
        <f t="shared" si="4"/>
        <v>3840</v>
      </c>
      <c r="U16" s="46">
        <f t="shared" si="5"/>
        <v>92.16</v>
      </c>
      <c r="V16" s="46">
        <f t="shared" si="6"/>
        <v>3.84</v>
      </c>
      <c r="W16" s="96">
        <v>9.1999999999999993</v>
      </c>
      <c r="X16" s="96">
        <f t="shared" si="1"/>
        <v>9.1999999999999993</v>
      </c>
      <c r="Y16" s="97" t="s">
        <v>138</v>
      </c>
      <c r="Z16" s="158">
        <v>0</v>
      </c>
      <c r="AA16" s="158">
        <v>0</v>
      </c>
      <c r="AB16" s="158">
        <v>0</v>
      </c>
      <c r="AC16" s="158">
        <v>1185</v>
      </c>
      <c r="AD16" s="158">
        <v>1187</v>
      </c>
      <c r="AE16" s="158">
        <v>1185</v>
      </c>
      <c r="AF16" s="47" t="s">
        <v>90</v>
      </c>
      <c r="AG16" s="47" t="s">
        <v>90</v>
      </c>
      <c r="AH16" s="98" t="s">
        <v>90</v>
      </c>
      <c r="AI16" s="103">
        <v>15771584</v>
      </c>
      <c r="AJ16" s="45">
        <f t="shared" si="7"/>
        <v>1097</v>
      </c>
      <c r="AK16" s="48">
        <f t="shared" si="8"/>
        <v>285.67708333333337</v>
      </c>
      <c r="AL16" s="155">
        <v>0</v>
      </c>
      <c r="AM16" s="155">
        <v>0</v>
      </c>
      <c r="AN16" s="155">
        <v>0</v>
      </c>
      <c r="AO16" s="155">
        <v>1</v>
      </c>
      <c r="AP16" s="155">
        <v>1</v>
      </c>
      <c r="AQ16" s="155">
        <v>1</v>
      </c>
      <c r="AR16" s="155">
        <v>0.8</v>
      </c>
      <c r="AS16" s="158"/>
      <c r="AT16" s="158">
        <f t="shared" si="9"/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357">
        <v>43236</v>
      </c>
      <c r="B17" s="40">
        <v>2.1666666666666701</v>
      </c>
      <c r="C17" s="40">
        <v>0.20833333333333301</v>
      </c>
      <c r="D17" s="156">
        <v>3</v>
      </c>
      <c r="E17" s="154">
        <f t="shared" si="2"/>
        <v>2.1126760563380285</v>
      </c>
      <c r="F17" s="154">
        <v>7</v>
      </c>
      <c r="G17" s="118">
        <v>83</v>
      </c>
      <c r="H17" s="154">
        <f t="shared" si="0"/>
        <v>58.450704225352112</v>
      </c>
      <c r="I17" s="154">
        <v>79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7">
        <v>129</v>
      </c>
      <c r="R17" s="157"/>
      <c r="S17" s="157">
        <v>94612691</v>
      </c>
      <c r="T17" s="45">
        <f t="shared" si="4"/>
        <v>4290</v>
      </c>
      <c r="U17" s="46">
        <f t="shared" si="5"/>
        <v>102.96</v>
      </c>
      <c r="V17" s="46">
        <f t="shared" si="6"/>
        <v>4.29</v>
      </c>
      <c r="W17" s="96">
        <v>9.5</v>
      </c>
      <c r="X17" s="96">
        <f t="shared" si="1"/>
        <v>9.5</v>
      </c>
      <c r="Y17" s="97" t="s">
        <v>138</v>
      </c>
      <c r="Z17" s="158">
        <v>0</v>
      </c>
      <c r="AA17" s="158">
        <v>0</v>
      </c>
      <c r="AB17" s="158">
        <v>0</v>
      </c>
      <c r="AC17" s="158">
        <v>1185</v>
      </c>
      <c r="AD17" s="158">
        <v>1187</v>
      </c>
      <c r="AE17" s="158">
        <v>1185</v>
      </c>
      <c r="AF17" s="47" t="s">
        <v>90</v>
      </c>
      <c r="AG17" s="47" t="s">
        <v>90</v>
      </c>
      <c r="AH17" s="98" t="s">
        <v>90</v>
      </c>
      <c r="AI17" s="103">
        <v>15772634</v>
      </c>
      <c r="AJ17" s="45">
        <f t="shared" si="7"/>
        <v>1050</v>
      </c>
      <c r="AK17" s="48">
        <f t="shared" si="8"/>
        <v>244.75524475524475</v>
      </c>
      <c r="AL17" s="155">
        <v>0</v>
      </c>
      <c r="AM17" s="155">
        <v>0</v>
      </c>
      <c r="AN17" s="155">
        <v>0</v>
      </c>
      <c r="AO17" s="155">
        <v>1</v>
      </c>
      <c r="AP17" s="155">
        <v>1</v>
      </c>
      <c r="AQ17" s="155">
        <v>1</v>
      </c>
      <c r="AR17" s="155">
        <v>0</v>
      </c>
      <c r="AS17" s="158"/>
      <c r="AT17" s="158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57">
        <v>43236</v>
      </c>
      <c r="B18" s="40">
        <v>2.2083333333333299</v>
      </c>
      <c r="C18" s="40">
        <v>0.25</v>
      </c>
      <c r="D18" s="156">
        <v>3</v>
      </c>
      <c r="E18" s="154">
        <f t="shared" si="2"/>
        <v>2.1126760563380285</v>
      </c>
      <c r="F18" s="154">
        <v>8</v>
      </c>
      <c r="G18" s="118">
        <v>78</v>
      </c>
      <c r="H18" s="154">
        <f t="shared" si="0"/>
        <v>54.929577464788736</v>
      </c>
      <c r="I18" s="154">
        <v>79</v>
      </c>
      <c r="J18" s="41" t="s">
        <v>88</v>
      </c>
      <c r="K18" s="41">
        <f t="shared" si="3"/>
        <v>53.521126760563384</v>
      </c>
      <c r="L18" s="42">
        <f t="shared" ref="L18:L27" si="10">G18/1.42</f>
        <v>54.929577464788736</v>
      </c>
      <c r="M18" s="41">
        <f>L18+1.42</f>
        <v>56.349577464788737</v>
      </c>
      <c r="N18" s="43">
        <v>19</v>
      </c>
      <c r="O18" s="44" t="s">
        <v>100</v>
      </c>
      <c r="P18" s="44">
        <v>13.1</v>
      </c>
      <c r="Q18" s="157">
        <v>139</v>
      </c>
      <c r="R18" s="157"/>
      <c r="S18" s="157">
        <v>94617762</v>
      </c>
      <c r="T18" s="45">
        <f t="shared" si="4"/>
        <v>5071</v>
      </c>
      <c r="U18" s="46">
        <f t="shared" si="5"/>
        <v>121.70399999999999</v>
      </c>
      <c r="V18" s="46">
        <f t="shared" si="6"/>
        <v>5.0709999999999997</v>
      </c>
      <c r="W18" s="96">
        <v>9.5</v>
      </c>
      <c r="X18" s="96">
        <f t="shared" si="1"/>
        <v>9.5</v>
      </c>
      <c r="Y18" s="97" t="s">
        <v>138</v>
      </c>
      <c r="Z18" s="158">
        <v>0</v>
      </c>
      <c r="AA18" s="158">
        <v>0</v>
      </c>
      <c r="AB18" s="158">
        <v>0</v>
      </c>
      <c r="AC18" s="158">
        <v>1185</v>
      </c>
      <c r="AD18" s="158">
        <v>1187</v>
      </c>
      <c r="AE18" s="158">
        <v>1185</v>
      </c>
      <c r="AF18" s="47" t="s">
        <v>90</v>
      </c>
      <c r="AG18" s="47" t="s">
        <v>90</v>
      </c>
      <c r="AH18" s="98" t="s">
        <v>90</v>
      </c>
      <c r="AI18" s="103">
        <v>15773826</v>
      </c>
      <c r="AJ18" s="45">
        <f t="shared" si="7"/>
        <v>1192</v>
      </c>
      <c r="AK18" s="48">
        <f t="shared" si="8"/>
        <v>235.06211792545849</v>
      </c>
      <c r="AL18" s="155">
        <v>0</v>
      </c>
      <c r="AM18" s="155">
        <v>0</v>
      </c>
      <c r="AN18" s="155">
        <v>0</v>
      </c>
      <c r="AO18" s="155">
        <v>1</v>
      </c>
      <c r="AP18" s="155">
        <v>1</v>
      </c>
      <c r="AQ18" s="155">
        <v>1</v>
      </c>
      <c r="AR18" s="155">
        <v>0</v>
      </c>
      <c r="AS18" s="158"/>
      <c r="AT18" s="158">
        <f t="shared" si="9"/>
        <v>0</v>
      </c>
      <c r="AU18" s="119">
        <v>1.04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57">
        <v>43236</v>
      </c>
      <c r="B19" s="40">
        <v>2.25</v>
      </c>
      <c r="C19" s="40">
        <v>0.29166666666666669</v>
      </c>
      <c r="D19" s="156">
        <v>4</v>
      </c>
      <c r="E19" s="154">
        <f t="shared" si="2"/>
        <v>2.8169014084507045</v>
      </c>
      <c r="F19" s="154">
        <v>8</v>
      </c>
      <c r="G19" s="118">
        <v>79</v>
      </c>
      <c r="H19" s="154">
        <f t="shared" si="0"/>
        <v>55.633802816901408</v>
      </c>
      <c r="I19" s="154">
        <v>79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7">
        <v>131</v>
      </c>
      <c r="R19" s="157"/>
      <c r="S19" s="157">
        <v>94622306</v>
      </c>
      <c r="T19" s="45">
        <f t="shared" si="4"/>
        <v>4544</v>
      </c>
      <c r="U19" s="46">
        <f t="shared" si="5"/>
        <v>109.056</v>
      </c>
      <c r="V19" s="46">
        <f t="shared" si="6"/>
        <v>4.5439999999999996</v>
      </c>
      <c r="W19" s="96">
        <v>9.1999999999999993</v>
      </c>
      <c r="X19" s="96">
        <f t="shared" si="1"/>
        <v>9.1999999999999993</v>
      </c>
      <c r="Y19" s="97" t="s">
        <v>169</v>
      </c>
      <c r="Z19" s="158">
        <v>0</v>
      </c>
      <c r="AA19" s="158">
        <v>1027</v>
      </c>
      <c r="AB19" s="158">
        <v>0</v>
      </c>
      <c r="AC19" s="158">
        <v>1185</v>
      </c>
      <c r="AD19" s="158">
        <v>1186</v>
      </c>
      <c r="AE19" s="158">
        <v>1185</v>
      </c>
      <c r="AF19" s="47" t="s">
        <v>90</v>
      </c>
      <c r="AG19" s="47" t="s">
        <v>90</v>
      </c>
      <c r="AH19" s="98" t="s">
        <v>90</v>
      </c>
      <c r="AI19" s="103">
        <v>15774890</v>
      </c>
      <c r="AJ19" s="45">
        <f t="shared" si="7"/>
        <v>1064</v>
      </c>
      <c r="AK19" s="48">
        <f t="shared" si="8"/>
        <v>234.1549295774648</v>
      </c>
      <c r="AL19" s="155">
        <v>0</v>
      </c>
      <c r="AM19" s="155">
        <v>1</v>
      </c>
      <c r="AN19" s="155">
        <v>0</v>
      </c>
      <c r="AO19" s="155">
        <v>1</v>
      </c>
      <c r="AP19" s="155">
        <v>1</v>
      </c>
      <c r="AQ19" s="155">
        <v>1</v>
      </c>
      <c r="AR19" s="155">
        <v>0</v>
      </c>
      <c r="AS19" s="158"/>
      <c r="AT19" s="158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57">
        <v>43236</v>
      </c>
      <c r="B20" s="40">
        <v>2.2916666666666701</v>
      </c>
      <c r="C20" s="40">
        <v>0.33333333333333298</v>
      </c>
      <c r="D20" s="156">
        <v>4</v>
      </c>
      <c r="E20" s="154">
        <f t="shared" si="2"/>
        <v>2.8169014084507045</v>
      </c>
      <c r="F20" s="154">
        <v>7</v>
      </c>
      <c r="G20" s="118">
        <v>78</v>
      </c>
      <c r="H20" s="154">
        <f t="shared" si="0"/>
        <v>54.929577464788736</v>
      </c>
      <c r="I20" s="154">
        <v>76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7">
        <v>131</v>
      </c>
      <c r="R20" s="157"/>
      <c r="S20" s="157">
        <v>94627758</v>
      </c>
      <c r="T20" s="45">
        <f t="shared" si="4"/>
        <v>5452</v>
      </c>
      <c r="U20" s="46">
        <f>T20*24/1000</f>
        <v>130.84800000000001</v>
      </c>
      <c r="V20" s="46">
        <f t="shared" si="6"/>
        <v>5.452</v>
      </c>
      <c r="W20" s="96">
        <v>8.6</v>
      </c>
      <c r="X20" s="96">
        <f t="shared" si="1"/>
        <v>8.6</v>
      </c>
      <c r="Y20" s="97" t="s">
        <v>169</v>
      </c>
      <c r="Z20" s="158">
        <v>0</v>
      </c>
      <c r="AA20" s="158">
        <v>1027</v>
      </c>
      <c r="AB20" s="158">
        <v>0</v>
      </c>
      <c r="AC20" s="158">
        <v>1185</v>
      </c>
      <c r="AD20" s="158">
        <v>1186</v>
      </c>
      <c r="AE20" s="158">
        <v>1185</v>
      </c>
      <c r="AF20" s="47" t="s">
        <v>90</v>
      </c>
      <c r="AG20" s="47" t="s">
        <v>90</v>
      </c>
      <c r="AH20" s="98" t="s">
        <v>90</v>
      </c>
      <c r="AI20" s="103">
        <v>15776146</v>
      </c>
      <c r="AJ20" s="45">
        <f t="shared" si="7"/>
        <v>1256</v>
      </c>
      <c r="AK20" s="48">
        <f t="shared" si="8"/>
        <v>230.37417461482025</v>
      </c>
      <c r="AL20" s="155">
        <v>0</v>
      </c>
      <c r="AM20" s="155">
        <v>1</v>
      </c>
      <c r="AN20" s="155">
        <v>0</v>
      </c>
      <c r="AO20" s="155">
        <v>1</v>
      </c>
      <c r="AP20" s="155">
        <v>1</v>
      </c>
      <c r="AQ20" s="155">
        <v>1</v>
      </c>
      <c r="AR20" s="155">
        <v>0</v>
      </c>
      <c r="AS20" s="158"/>
      <c r="AT20" s="158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357">
        <v>43236</v>
      </c>
      <c r="B21" s="40">
        <v>2.3333333333333299</v>
      </c>
      <c r="C21" s="40">
        <v>0.375</v>
      </c>
      <c r="D21" s="156">
        <v>4</v>
      </c>
      <c r="E21" s="154">
        <f t="shared" si="2"/>
        <v>2.8169014084507045</v>
      </c>
      <c r="F21" s="154">
        <v>7</v>
      </c>
      <c r="G21" s="118">
        <v>77</v>
      </c>
      <c r="H21" s="154">
        <f t="shared" si="0"/>
        <v>54.225352112676056</v>
      </c>
      <c r="I21" s="154">
        <v>76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7">
        <v>130</v>
      </c>
      <c r="R21" s="157"/>
      <c r="S21" s="157">
        <v>94632604</v>
      </c>
      <c r="T21" s="45">
        <f t="shared" si="4"/>
        <v>4846</v>
      </c>
      <c r="U21" s="46">
        <f t="shared" si="5"/>
        <v>116.304</v>
      </c>
      <c r="V21" s="46">
        <f t="shared" si="6"/>
        <v>4.8460000000000001</v>
      </c>
      <c r="W21" s="96">
        <v>7.9</v>
      </c>
      <c r="X21" s="96">
        <f t="shared" si="1"/>
        <v>7.9</v>
      </c>
      <c r="Y21" s="97" t="s">
        <v>169</v>
      </c>
      <c r="Z21" s="158">
        <v>0</v>
      </c>
      <c r="AA21" s="158">
        <v>1028</v>
      </c>
      <c r="AB21" s="158">
        <v>0</v>
      </c>
      <c r="AC21" s="158">
        <v>1185</v>
      </c>
      <c r="AD21" s="158">
        <v>1186</v>
      </c>
      <c r="AE21" s="158">
        <v>1185</v>
      </c>
      <c r="AF21" s="47" t="s">
        <v>90</v>
      </c>
      <c r="AG21" s="47" t="s">
        <v>90</v>
      </c>
      <c r="AH21" s="98" t="s">
        <v>90</v>
      </c>
      <c r="AI21" s="103">
        <v>15777312</v>
      </c>
      <c r="AJ21" s="45">
        <f t="shared" si="7"/>
        <v>1166</v>
      </c>
      <c r="AK21" s="48">
        <f t="shared" si="8"/>
        <v>240.61081304168385</v>
      </c>
      <c r="AL21" s="155">
        <v>0</v>
      </c>
      <c r="AM21" s="155">
        <v>1</v>
      </c>
      <c r="AN21" s="155">
        <v>0</v>
      </c>
      <c r="AO21" s="155">
        <v>1</v>
      </c>
      <c r="AP21" s="155">
        <v>1</v>
      </c>
      <c r="AQ21" s="155">
        <v>1</v>
      </c>
      <c r="AR21" s="155">
        <v>0</v>
      </c>
      <c r="AS21" s="158"/>
      <c r="AT21" s="158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205</v>
      </c>
    </row>
    <row r="22" spans="1:54" x14ac:dyDescent="0.35">
      <c r="A22" s="357">
        <v>43236</v>
      </c>
      <c r="B22" s="40">
        <v>2.375</v>
      </c>
      <c r="C22" s="40">
        <v>0.41666666666666669</v>
      </c>
      <c r="D22" s="156">
        <v>4</v>
      </c>
      <c r="E22" s="154">
        <f t="shared" si="2"/>
        <v>2.8169014084507045</v>
      </c>
      <c r="F22" s="154">
        <v>6</v>
      </c>
      <c r="G22" s="118">
        <v>77</v>
      </c>
      <c r="H22" s="154">
        <f t="shared" si="0"/>
        <v>54.225352112676056</v>
      </c>
      <c r="I22" s="154">
        <v>74</v>
      </c>
      <c r="J22" s="41" t="s">
        <v>88</v>
      </c>
      <c r="K22" s="41">
        <f t="shared" si="3"/>
        <v>52.816901408450704</v>
      </c>
      <c r="L22" s="42">
        <f t="shared" si="10"/>
        <v>54.225352112676056</v>
      </c>
      <c r="M22" s="41">
        <f t="shared" si="11"/>
        <v>55.645352112676058</v>
      </c>
      <c r="N22" s="43">
        <v>19</v>
      </c>
      <c r="O22" s="44" t="s">
        <v>100</v>
      </c>
      <c r="P22" s="44">
        <v>17.7</v>
      </c>
      <c r="Q22" s="157">
        <v>131</v>
      </c>
      <c r="R22" s="157"/>
      <c r="S22" s="157">
        <v>94637168</v>
      </c>
      <c r="T22" s="45">
        <f t="shared" si="4"/>
        <v>4564</v>
      </c>
      <c r="U22" s="46">
        <f t="shared" si="5"/>
        <v>109.536</v>
      </c>
      <c r="V22" s="46">
        <f t="shared" si="6"/>
        <v>4.5640000000000001</v>
      </c>
      <c r="W22" s="96">
        <v>7.4</v>
      </c>
      <c r="X22" s="96">
        <f t="shared" si="1"/>
        <v>7.4</v>
      </c>
      <c r="Y22" s="97" t="s">
        <v>169</v>
      </c>
      <c r="Z22" s="158">
        <v>0</v>
      </c>
      <c r="AA22" s="158">
        <v>1027</v>
      </c>
      <c r="AB22" s="158">
        <v>0</v>
      </c>
      <c r="AC22" s="158">
        <v>1185</v>
      </c>
      <c r="AD22" s="158">
        <v>1187</v>
      </c>
      <c r="AE22" s="158">
        <v>1185</v>
      </c>
      <c r="AF22" s="47" t="s">
        <v>90</v>
      </c>
      <c r="AG22" s="47" t="s">
        <v>90</v>
      </c>
      <c r="AH22" s="98" t="s">
        <v>90</v>
      </c>
      <c r="AI22" s="103">
        <v>15778482</v>
      </c>
      <c r="AJ22" s="45">
        <f t="shared" si="7"/>
        <v>1170</v>
      </c>
      <c r="AK22" s="48">
        <f t="shared" si="8"/>
        <v>256.35407537248028</v>
      </c>
      <c r="AL22" s="155">
        <v>0</v>
      </c>
      <c r="AM22" s="155">
        <v>1</v>
      </c>
      <c r="AN22" s="155">
        <v>0</v>
      </c>
      <c r="AO22" s="155">
        <v>1</v>
      </c>
      <c r="AP22" s="155">
        <v>1</v>
      </c>
      <c r="AQ22" s="155">
        <v>1</v>
      </c>
      <c r="AR22" s="155">
        <v>0</v>
      </c>
      <c r="AS22" s="158"/>
      <c r="AT22" s="158">
        <f t="shared" si="9"/>
        <v>0</v>
      </c>
      <c r="AU22" s="119">
        <v>1.22</v>
      </c>
      <c r="AV22" s="50" t="s">
        <v>125</v>
      </c>
      <c r="BB22" s="136" t="s">
        <v>157</v>
      </c>
    </row>
    <row r="23" spans="1:54" x14ac:dyDescent="0.35">
      <c r="A23" s="357">
        <v>43236</v>
      </c>
      <c r="B23" s="40">
        <v>2.4166666666666701</v>
      </c>
      <c r="C23" s="40">
        <v>0.45833333333333298</v>
      </c>
      <c r="D23" s="156">
        <v>4</v>
      </c>
      <c r="E23" s="154">
        <f t="shared" si="2"/>
        <v>2.8169014084507045</v>
      </c>
      <c r="F23" s="154">
        <v>5</v>
      </c>
      <c r="G23" s="118">
        <v>77</v>
      </c>
      <c r="H23" s="154">
        <f t="shared" si="0"/>
        <v>54.225352112676056</v>
      </c>
      <c r="I23" s="154">
        <v>74</v>
      </c>
      <c r="J23" s="41" t="s">
        <v>88</v>
      </c>
      <c r="K23" s="41">
        <f t="shared" si="3"/>
        <v>52.816901408450704</v>
      </c>
      <c r="L23" s="42">
        <f t="shared" si="10"/>
        <v>54.225352112676056</v>
      </c>
      <c r="M23" s="41">
        <f t="shared" si="11"/>
        <v>55.645352112676058</v>
      </c>
      <c r="N23" s="43">
        <v>19</v>
      </c>
      <c r="O23" s="44" t="s">
        <v>100</v>
      </c>
      <c r="P23" s="44">
        <v>17.7</v>
      </c>
      <c r="Q23" s="157">
        <v>130</v>
      </c>
      <c r="R23" s="157"/>
      <c r="S23" s="157">
        <v>94641056</v>
      </c>
      <c r="T23" s="45">
        <f t="shared" si="4"/>
        <v>3888</v>
      </c>
      <c r="U23" s="46">
        <f t="shared" si="5"/>
        <v>93.311999999999998</v>
      </c>
      <c r="V23" s="46">
        <f t="shared" si="6"/>
        <v>3.8879999999999999</v>
      </c>
      <c r="W23" s="96">
        <v>6.8</v>
      </c>
      <c r="X23" s="96">
        <f>W23</f>
        <v>6.8</v>
      </c>
      <c r="Y23" s="97" t="s">
        <v>169</v>
      </c>
      <c r="Z23" s="158">
        <v>0</v>
      </c>
      <c r="AA23" s="158">
        <v>1027</v>
      </c>
      <c r="AB23" s="158">
        <v>0</v>
      </c>
      <c r="AC23" s="158">
        <v>1185</v>
      </c>
      <c r="AD23" s="158">
        <v>1187</v>
      </c>
      <c r="AE23" s="158">
        <v>1185</v>
      </c>
      <c r="AF23" s="47" t="s">
        <v>90</v>
      </c>
      <c r="AG23" s="47" t="s">
        <v>90</v>
      </c>
      <c r="AH23" s="98" t="s">
        <v>90</v>
      </c>
      <c r="AI23" s="103">
        <v>15779642</v>
      </c>
      <c r="AJ23" s="45">
        <f t="shared" si="7"/>
        <v>1160</v>
      </c>
      <c r="AK23" s="48">
        <f t="shared" si="8"/>
        <v>298.35390946502059</v>
      </c>
      <c r="AL23" s="155">
        <v>0</v>
      </c>
      <c r="AM23" s="155">
        <v>1</v>
      </c>
      <c r="AN23" s="155">
        <v>0</v>
      </c>
      <c r="AO23" s="155">
        <v>1</v>
      </c>
      <c r="AP23" s="155">
        <v>1</v>
      </c>
      <c r="AQ23" s="155">
        <v>1</v>
      </c>
      <c r="AR23" s="155">
        <v>0</v>
      </c>
      <c r="AS23" s="158"/>
      <c r="AT23" s="158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357">
        <v>43236</v>
      </c>
      <c r="B24" s="40">
        <v>2.4583333333333299</v>
      </c>
      <c r="C24" s="40">
        <v>0.5</v>
      </c>
      <c r="D24" s="156">
        <v>3</v>
      </c>
      <c r="E24" s="154">
        <f t="shared" si="2"/>
        <v>2.1126760563380285</v>
      </c>
      <c r="F24" s="154">
        <v>5</v>
      </c>
      <c r="G24" s="118">
        <v>76</v>
      </c>
      <c r="H24" s="154">
        <f t="shared" si="0"/>
        <v>53.521126760563384</v>
      </c>
      <c r="I24" s="154">
        <v>72</v>
      </c>
      <c r="J24" s="41" t="s">
        <v>88</v>
      </c>
      <c r="K24" s="41">
        <f t="shared" si="3"/>
        <v>52.112676056338032</v>
      </c>
      <c r="L24" s="42">
        <f t="shared" si="10"/>
        <v>53.521126760563384</v>
      </c>
      <c r="M24" s="41">
        <f t="shared" si="11"/>
        <v>54.941126760563385</v>
      </c>
      <c r="N24" s="43">
        <v>19</v>
      </c>
      <c r="O24" s="44" t="s">
        <v>100</v>
      </c>
      <c r="P24" s="44">
        <v>17.3</v>
      </c>
      <c r="Q24" s="157">
        <v>127</v>
      </c>
      <c r="R24" s="157"/>
      <c r="S24" s="157">
        <v>94645118</v>
      </c>
      <c r="T24" s="45">
        <f t="shared" si="4"/>
        <v>4062</v>
      </c>
      <c r="U24" s="46">
        <f>T24*24/1000</f>
        <v>97.488</v>
      </c>
      <c r="V24" s="46">
        <f t="shared" si="6"/>
        <v>4.0620000000000003</v>
      </c>
      <c r="W24" s="96">
        <v>6.2</v>
      </c>
      <c r="X24" s="96">
        <f t="shared" si="1"/>
        <v>6.2</v>
      </c>
      <c r="Y24" s="97" t="s">
        <v>169</v>
      </c>
      <c r="Z24" s="158">
        <v>0</v>
      </c>
      <c r="AA24" s="158">
        <v>1027</v>
      </c>
      <c r="AB24" s="158">
        <v>0</v>
      </c>
      <c r="AC24" s="158">
        <v>1185</v>
      </c>
      <c r="AD24" s="158">
        <v>1187</v>
      </c>
      <c r="AE24" s="158">
        <v>1185</v>
      </c>
      <c r="AF24" s="47" t="s">
        <v>90</v>
      </c>
      <c r="AG24" s="47" t="s">
        <v>90</v>
      </c>
      <c r="AH24" s="98" t="s">
        <v>90</v>
      </c>
      <c r="AI24" s="103">
        <v>15780870</v>
      </c>
      <c r="AJ24" s="45">
        <f t="shared" si="7"/>
        <v>1228</v>
      </c>
      <c r="AK24" s="48">
        <f t="shared" si="8"/>
        <v>302.3141309699655</v>
      </c>
      <c r="AL24" s="155">
        <v>0</v>
      </c>
      <c r="AM24" s="155">
        <v>1</v>
      </c>
      <c r="AN24" s="155">
        <v>0</v>
      </c>
      <c r="AO24" s="155">
        <v>1</v>
      </c>
      <c r="AP24" s="155">
        <v>1</v>
      </c>
      <c r="AQ24" s="155">
        <v>1</v>
      </c>
      <c r="AR24" s="155">
        <v>0</v>
      </c>
      <c r="AS24" s="158"/>
      <c r="AT24" s="158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357">
        <v>43236</v>
      </c>
      <c r="B25" s="40">
        <v>2.5</v>
      </c>
      <c r="C25" s="40">
        <v>0.54166666666666696</v>
      </c>
      <c r="D25" s="156">
        <v>3</v>
      </c>
      <c r="E25" s="154">
        <f t="shared" si="2"/>
        <v>2.1126760563380285</v>
      </c>
      <c r="F25" s="154">
        <v>4</v>
      </c>
      <c r="G25" s="118">
        <v>76</v>
      </c>
      <c r="H25" s="154">
        <f t="shared" si="0"/>
        <v>53.521126760563384</v>
      </c>
      <c r="I25" s="154">
        <v>72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7">
        <v>129</v>
      </c>
      <c r="R25" s="157"/>
      <c r="S25" s="157">
        <v>94648932</v>
      </c>
      <c r="T25" s="45">
        <f t="shared" si="4"/>
        <v>3814</v>
      </c>
      <c r="U25" s="46">
        <f>T25*24/1000</f>
        <v>91.536000000000001</v>
      </c>
      <c r="V25" s="46">
        <f t="shared" si="6"/>
        <v>3.8140000000000001</v>
      </c>
      <c r="W25" s="96">
        <v>5.7</v>
      </c>
      <c r="X25" s="96">
        <f t="shared" si="1"/>
        <v>5.7</v>
      </c>
      <c r="Y25" s="97" t="s">
        <v>169</v>
      </c>
      <c r="Z25" s="158">
        <v>0</v>
      </c>
      <c r="AA25" s="158">
        <v>1027</v>
      </c>
      <c r="AB25" s="158">
        <v>0</v>
      </c>
      <c r="AC25" s="158">
        <v>1185</v>
      </c>
      <c r="AD25" s="158">
        <v>1187</v>
      </c>
      <c r="AE25" s="158">
        <v>1185</v>
      </c>
      <c r="AF25" s="47" t="s">
        <v>90</v>
      </c>
      <c r="AG25" s="47" t="s">
        <v>90</v>
      </c>
      <c r="AH25" s="98" t="s">
        <v>90</v>
      </c>
      <c r="AI25" s="103">
        <v>15781978</v>
      </c>
      <c r="AJ25" s="45">
        <f t="shared" si="7"/>
        <v>1108</v>
      </c>
      <c r="AK25" s="48">
        <f t="shared" si="8"/>
        <v>290.50865233350811</v>
      </c>
      <c r="AL25" s="155">
        <v>0</v>
      </c>
      <c r="AM25" s="155">
        <v>1</v>
      </c>
      <c r="AN25" s="155">
        <v>0</v>
      </c>
      <c r="AO25" s="155">
        <v>1</v>
      </c>
      <c r="AP25" s="155">
        <v>1</v>
      </c>
      <c r="AQ25" s="155">
        <v>1</v>
      </c>
      <c r="AR25" s="155">
        <v>0</v>
      </c>
      <c r="AS25" s="158"/>
      <c r="AT25" s="158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57">
        <v>43236</v>
      </c>
      <c r="B26" s="40">
        <v>2.5416666666666701</v>
      </c>
      <c r="C26" s="40">
        <v>0.58333333333333404</v>
      </c>
      <c r="D26" s="156">
        <v>3</v>
      </c>
      <c r="E26" s="154">
        <f t="shared" si="2"/>
        <v>2.1126760563380285</v>
      </c>
      <c r="F26" s="154">
        <v>3</v>
      </c>
      <c r="G26" s="118">
        <v>76</v>
      </c>
      <c r="H26" s="154">
        <f>G26/1.42</f>
        <v>53.521126760563384</v>
      </c>
      <c r="I26" s="154">
        <v>73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7">
        <v>130</v>
      </c>
      <c r="R26" s="157"/>
      <c r="S26" s="157">
        <v>94653685</v>
      </c>
      <c r="T26" s="45">
        <f t="shared" si="4"/>
        <v>4753</v>
      </c>
      <c r="U26" s="46">
        <f t="shared" si="5"/>
        <v>114.072</v>
      </c>
      <c r="V26" s="46">
        <f t="shared" si="6"/>
        <v>4.7530000000000001</v>
      </c>
      <c r="W26" s="96">
        <v>5.2</v>
      </c>
      <c r="X26" s="96">
        <f t="shared" si="1"/>
        <v>5.2</v>
      </c>
      <c r="Y26" s="97" t="s">
        <v>169</v>
      </c>
      <c r="Z26" s="158">
        <v>0</v>
      </c>
      <c r="AA26" s="158">
        <v>1015</v>
      </c>
      <c r="AB26" s="158">
        <v>0</v>
      </c>
      <c r="AC26" s="158">
        <v>1185</v>
      </c>
      <c r="AD26" s="158">
        <v>1187</v>
      </c>
      <c r="AE26" s="158">
        <v>1185</v>
      </c>
      <c r="AF26" s="47" t="s">
        <v>90</v>
      </c>
      <c r="AG26" s="47" t="s">
        <v>90</v>
      </c>
      <c r="AH26" s="98" t="s">
        <v>90</v>
      </c>
      <c r="AI26" s="103">
        <v>15783175</v>
      </c>
      <c r="AJ26" s="45">
        <f t="shared" si="7"/>
        <v>1197</v>
      </c>
      <c r="AK26" s="48">
        <f t="shared" si="8"/>
        <v>251.84094256259203</v>
      </c>
      <c r="AL26" s="155">
        <v>0</v>
      </c>
      <c r="AM26" s="155">
        <v>1</v>
      </c>
      <c r="AN26" s="155">
        <v>0</v>
      </c>
      <c r="AO26" s="155">
        <v>1</v>
      </c>
      <c r="AP26" s="155">
        <v>1</v>
      </c>
      <c r="AQ26" s="155">
        <v>1</v>
      </c>
      <c r="AR26" s="155">
        <v>0</v>
      </c>
      <c r="AS26" s="158"/>
      <c r="AT26" s="158">
        <f t="shared" si="9"/>
        <v>0</v>
      </c>
      <c r="AU26" s="119">
        <v>1.03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57">
        <v>43236</v>
      </c>
      <c r="B27" s="40">
        <v>2.5833333333333299</v>
      </c>
      <c r="C27" s="40">
        <v>0.625</v>
      </c>
      <c r="D27" s="156">
        <v>3</v>
      </c>
      <c r="E27" s="154">
        <f t="shared" si="2"/>
        <v>2.1126760563380285</v>
      </c>
      <c r="F27" s="154">
        <v>2</v>
      </c>
      <c r="G27" s="118">
        <v>77</v>
      </c>
      <c r="H27" s="154">
        <f>G27/1.42</f>
        <v>54.225352112676056</v>
      </c>
      <c r="I27" s="154">
        <v>74</v>
      </c>
      <c r="J27" s="41" t="s">
        <v>88</v>
      </c>
      <c r="K27" s="41">
        <f t="shared" si="3"/>
        <v>52.816901408450704</v>
      </c>
      <c r="L27" s="42">
        <f t="shared" si="10"/>
        <v>54.225352112676056</v>
      </c>
      <c r="M27" s="41">
        <f t="shared" si="12"/>
        <v>58.450704225352112</v>
      </c>
      <c r="N27" s="43">
        <v>18</v>
      </c>
      <c r="O27" s="44" t="s">
        <v>100</v>
      </c>
      <c r="P27" s="44">
        <v>16.899999999999999</v>
      </c>
      <c r="Q27" s="157">
        <v>130</v>
      </c>
      <c r="R27" s="157"/>
      <c r="S27" s="157">
        <v>94657877</v>
      </c>
      <c r="T27" s="45">
        <f t="shared" si="4"/>
        <v>4192</v>
      </c>
      <c r="U27" s="46">
        <f t="shared" si="5"/>
        <v>100.608</v>
      </c>
      <c r="V27" s="46">
        <f t="shared" si="6"/>
        <v>4.1920000000000002</v>
      </c>
      <c r="W27" s="96">
        <v>4.8</v>
      </c>
      <c r="X27" s="96">
        <f t="shared" si="1"/>
        <v>4.8</v>
      </c>
      <c r="Y27" s="97" t="s">
        <v>169</v>
      </c>
      <c r="Z27" s="158">
        <v>0</v>
      </c>
      <c r="AA27" s="158">
        <v>1015</v>
      </c>
      <c r="AB27" s="158">
        <v>0</v>
      </c>
      <c r="AC27" s="158">
        <v>1185</v>
      </c>
      <c r="AD27" s="158">
        <v>1187</v>
      </c>
      <c r="AE27" s="158">
        <v>1185</v>
      </c>
      <c r="AF27" s="47" t="s">
        <v>90</v>
      </c>
      <c r="AG27" s="47" t="s">
        <v>90</v>
      </c>
      <c r="AH27" s="98" t="s">
        <v>90</v>
      </c>
      <c r="AI27" s="103">
        <v>15784329</v>
      </c>
      <c r="AJ27" s="45">
        <f t="shared" si="7"/>
        <v>1154</v>
      </c>
      <c r="AK27" s="48">
        <f t="shared" si="8"/>
        <v>275.28625954198475</v>
      </c>
      <c r="AL27" s="155">
        <v>0</v>
      </c>
      <c r="AM27" s="155">
        <v>1</v>
      </c>
      <c r="AN27" s="155">
        <v>0</v>
      </c>
      <c r="AO27" s="155">
        <v>1</v>
      </c>
      <c r="AP27" s="155">
        <v>1</v>
      </c>
      <c r="AQ27" s="155">
        <v>1</v>
      </c>
      <c r="AR27" s="155">
        <v>0</v>
      </c>
      <c r="AS27" s="158"/>
      <c r="AT27" s="158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57">
        <v>43236</v>
      </c>
      <c r="B28" s="40">
        <v>2.625</v>
      </c>
      <c r="C28" s="40">
        <v>0.66666666666666696</v>
      </c>
      <c r="D28" s="156">
        <v>3</v>
      </c>
      <c r="E28" s="154">
        <f t="shared" si="2"/>
        <v>2.1126760563380285</v>
      </c>
      <c r="F28" s="154">
        <v>2</v>
      </c>
      <c r="G28" s="118">
        <v>76</v>
      </c>
      <c r="H28" s="154">
        <f t="shared" si="0"/>
        <v>53.521126760563384</v>
      </c>
      <c r="I28" s="154">
        <v>73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7">
        <v>131</v>
      </c>
      <c r="R28" s="157"/>
      <c r="S28" s="157">
        <v>94662299</v>
      </c>
      <c r="T28" s="45">
        <f t="shared" si="4"/>
        <v>4422</v>
      </c>
      <c r="U28" s="46">
        <f t="shared" si="5"/>
        <v>106.128</v>
      </c>
      <c r="V28" s="46">
        <f t="shared" si="6"/>
        <v>4.4219999999999997</v>
      </c>
      <c r="W28" s="96">
        <v>4.4000000000000004</v>
      </c>
      <c r="X28" s="96">
        <f t="shared" si="1"/>
        <v>4.4000000000000004</v>
      </c>
      <c r="Y28" s="97" t="s">
        <v>169</v>
      </c>
      <c r="Z28" s="158">
        <v>0</v>
      </c>
      <c r="AA28" s="158">
        <v>1016</v>
      </c>
      <c r="AB28" s="158">
        <v>0</v>
      </c>
      <c r="AC28" s="158">
        <v>1185</v>
      </c>
      <c r="AD28" s="158">
        <v>1187</v>
      </c>
      <c r="AE28" s="158">
        <v>1185</v>
      </c>
      <c r="AF28" s="47" t="s">
        <v>90</v>
      </c>
      <c r="AG28" s="47" t="s">
        <v>90</v>
      </c>
      <c r="AH28" s="98" t="s">
        <v>90</v>
      </c>
      <c r="AI28" s="103">
        <v>15785489</v>
      </c>
      <c r="AJ28" s="45">
        <f>IF(ISBLANK(AI28),"-",AI28-AI27)</f>
        <v>1160</v>
      </c>
      <c r="AK28" s="48">
        <f t="shared" si="8"/>
        <v>262.32473993668026</v>
      </c>
      <c r="AL28" s="155">
        <v>0</v>
      </c>
      <c r="AM28" s="155">
        <v>1</v>
      </c>
      <c r="AN28" s="155">
        <v>0</v>
      </c>
      <c r="AO28" s="155">
        <v>1</v>
      </c>
      <c r="AP28" s="155">
        <v>1</v>
      </c>
      <c r="AQ28" s="155">
        <v>1</v>
      </c>
      <c r="AR28" s="155">
        <v>0</v>
      </c>
      <c r="AS28" s="158"/>
      <c r="AT28" s="158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357">
        <v>43236</v>
      </c>
      <c r="B29" s="40">
        <v>2.6666666666666701</v>
      </c>
      <c r="C29" s="40">
        <v>0.70833333333333404</v>
      </c>
      <c r="D29" s="156">
        <v>3</v>
      </c>
      <c r="E29" s="154">
        <f t="shared" si="2"/>
        <v>2.1126760563380285</v>
      </c>
      <c r="F29" s="154">
        <v>1</v>
      </c>
      <c r="G29" s="118">
        <v>74</v>
      </c>
      <c r="H29" s="154">
        <f t="shared" si="0"/>
        <v>52.112676056338032</v>
      </c>
      <c r="I29" s="154">
        <v>72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7">
        <v>130</v>
      </c>
      <c r="R29" s="157"/>
      <c r="S29" s="157">
        <v>94666824</v>
      </c>
      <c r="T29" s="45">
        <f t="shared" si="4"/>
        <v>4525</v>
      </c>
      <c r="U29" s="46">
        <f t="shared" si="5"/>
        <v>108.6</v>
      </c>
      <c r="V29" s="46">
        <f t="shared" si="6"/>
        <v>4.5250000000000004</v>
      </c>
      <c r="W29" s="96">
        <v>3.9</v>
      </c>
      <c r="X29" s="96">
        <f t="shared" si="1"/>
        <v>3.9</v>
      </c>
      <c r="Y29" s="97" t="s">
        <v>169</v>
      </c>
      <c r="Z29" s="158">
        <v>0</v>
      </c>
      <c r="AA29" s="158">
        <v>1016</v>
      </c>
      <c r="AB29" s="158">
        <v>0</v>
      </c>
      <c r="AC29" s="158">
        <v>1185</v>
      </c>
      <c r="AD29" s="158">
        <v>1187</v>
      </c>
      <c r="AE29" s="158">
        <v>1185</v>
      </c>
      <c r="AF29" s="47" t="s">
        <v>90</v>
      </c>
      <c r="AG29" s="47" t="s">
        <v>90</v>
      </c>
      <c r="AH29" s="98" t="s">
        <v>90</v>
      </c>
      <c r="AI29" s="103">
        <v>15786640</v>
      </c>
      <c r="AJ29" s="45">
        <f t="shared" si="7"/>
        <v>1151</v>
      </c>
      <c r="AK29" s="48">
        <f>AJ28/V29</f>
        <v>256.35359116022096</v>
      </c>
      <c r="AL29" s="155">
        <v>0</v>
      </c>
      <c r="AM29" s="155">
        <v>1</v>
      </c>
      <c r="AN29" s="155">
        <v>0</v>
      </c>
      <c r="AO29" s="155">
        <v>1</v>
      </c>
      <c r="AP29" s="155">
        <v>1</v>
      </c>
      <c r="AQ29" s="155">
        <v>1</v>
      </c>
      <c r="AR29" s="155">
        <v>0</v>
      </c>
      <c r="AS29" s="158"/>
      <c r="AT29" s="158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357">
        <v>43236</v>
      </c>
      <c r="B30" s="40">
        <v>2.7083333333333299</v>
      </c>
      <c r="C30" s="40">
        <v>0.750000000000002</v>
      </c>
      <c r="D30" s="156">
        <v>3</v>
      </c>
      <c r="E30" s="154">
        <f t="shared" si="2"/>
        <v>2.1126760563380285</v>
      </c>
      <c r="F30" s="154">
        <v>0</v>
      </c>
      <c r="G30" s="118">
        <v>75</v>
      </c>
      <c r="H30" s="154">
        <f t="shared" si="0"/>
        <v>52.816901408450704</v>
      </c>
      <c r="I30" s="154">
        <v>73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7">
        <v>129</v>
      </c>
      <c r="R30" s="157"/>
      <c r="S30" s="157">
        <v>94671478</v>
      </c>
      <c r="T30" s="45">
        <f t="shared" si="4"/>
        <v>4654</v>
      </c>
      <c r="U30" s="46">
        <f t="shared" si="5"/>
        <v>111.696</v>
      </c>
      <c r="V30" s="46">
        <f t="shared" si="6"/>
        <v>4.6539999999999999</v>
      </c>
      <c r="W30" s="96">
        <v>3.4</v>
      </c>
      <c r="X30" s="96">
        <f t="shared" si="1"/>
        <v>3.4</v>
      </c>
      <c r="Y30" s="97" t="s">
        <v>169</v>
      </c>
      <c r="Z30" s="158">
        <v>0</v>
      </c>
      <c r="AA30" s="158">
        <v>1016</v>
      </c>
      <c r="AB30" s="158">
        <v>0</v>
      </c>
      <c r="AC30" s="158">
        <v>1185</v>
      </c>
      <c r="AD30" s="158">
        <v>1187</v>
      </c>
      <c r="AE30" s="158">
        <v>1185</v>
      </c>
      <c r="AF30" s="47" t="s">
        <v>90</v>
      </c>
      <c r="AG30" s="47" t="s">
        <v>90</v>
      </c>
      <c r="AH30" s="98" t="s">
        <v>90</v>
      </c>
      <c r="AI30" s="103">
        <v>15787802</v>
      </c>
      <c r="AJ30" s="45">
        <f t="shared" si="7"/>
        <v>1162</v>
      </c>
      <c r="AK30" s="48">
        <f>AJ29/V30</f>
        <v>247.31413837559089</v>
      </c>
      <c r="AL30" s="155">
        <v>0</v>
      </c>
      <c r="AM30" s="155">
        <v>1</v>
      </c>
      <c r="AN30" s="155">
        <v>0</v>
      </c>
      <c r="AO30" s="155">
        <v>1</v>
      </c>
      <c r="AP30" s="155">
        <v>1</v>
      </c>
      <c r="AQ30" s="155">
        <v>1</v>
      </c>
      <c r="AR30" s="155">
        <v>0</v>
      </c>
      <c r="AS30" s="158"/>
      <c r="AT30" s="158">
        <f t="shared" si="9"/>
        <v>0</v>
      </c>
      <c r="AU30" s="159">
        <v>0.97</v>
      </c>
      <c r="AV30" s="50" t="s">
        <v>124</v>
      </c>
      <c r="AY30" s="55" t="s">
        <v>114</v>
      </c>
      <c r="AZ30" s="55">
        <v>101.325</v>
      </c>
      <c r="BB30" s="74" t="s">
        <v>143</v>
      </c>
    </row>
    <row r="31" spans="1:54" x14ac:dyDescent="0.35">
      <c r="A31" s="357">
        <v>43236</v>
      </c>
      <c r="B31" s="40">
        <v>2.75</v>
      </c>
      <c r="C31" s="40">
        <v>0.79166666666666896</v>
      </c>
      <c r="D31" s="156">
        <v>3</v>
      </c>
      <c r="E31" s="154">
        <f t="shared" si="2"/>
        <v>2.1126760563380285</v>
      </c>
      <c r="F31" s="154">
        <v>-1</v>
      </c>
      <c r="G31" s="118">
        <v>74</v>
      </c>
      <c r="H31" s="154">
        <f t="shared" si="0"/>
        <v>52.112676056338032</v>
      </c>
      <c r="I31" s="154">
        <v>72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7">
        <v>129</v>
      </c>
      <c r="R31" s="157"/>
      <c r="S31" s="157">
        <v>94676129</v>
      </c>
      <c r="T31" s="45">
        <f t="shared" si="4"/>
        <v>4651</v>
      </c>
      <c r="U31" s="46">
        <f t="shared" si="5"/>
        <v>111.624</v>
      </c>
      <c r="V31" s="46">
        <f t="shared" si="6"/>
        <v>4.6509999999999998</v>
      </c>
      <c r="W31" s="96">
        <v>3.1</v>
      </c>
      <c r="X31" s="96">
        <f t="shared" si="1"/>
        <v>3.1</v>
      </c>
      <c r="Y31" s="97" t="s">
        <v>169</v>
      </c>
      <c r="Z31" s="158">
        <v>0</v>
      </c>
      <c r="AA31" s="158">
        <v>1015</v>
      </c>
      <c r="AB31" s="158">
        <v>0</v>
      </c>
      <c r="AC31" s="158">
        <v>1185</v>
      </c>
      <c r="AD31" s="158">
        <v>1187</v>
      </c>
      <c r="AE31" s="158">
        <v>1185</v>
      </c>
      <c r="AF31" s="47" t="s">
        <v>90</v>
      </c>
      <c r="AG31" s="47" t="s">
        <v>90</v>
      </c>
      <c r="AH31" s="98" t="s">
        <v>90</v>
      </c>
      <c r="AI31" s="103">
        <v>15788965</v>
      </c>
      <c r="AJ31" s="45">
        <f t="shared" si="7"/>
        <v>1163</v>
      </c>
      <c r="AK31" s="48">
        <f t="shared" si="8"/>
        <v>250.05375188131586</v>
      </c>
      <c r="AL31" s="155">
        <v>0</v>
      </c>
      <c r="AM31" s="155">
        <v>1</v>
      </c>
      <c r="AN31" s="155">
        <v>0</v>
      </c>
      <c r="AO31" s="155">
        <v>1</v>
      </c>
      <c r="AP31" s="155">
        <v>1</v>
      </c>
      <c r="AQ31" s="155">
        <v>1</v>
      </c>
      <c r="AR31" s="155">
        <v>0</v>
      </c>
      <c r="AS31" s="158"/>
      <c r="AT31" s="158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357">
        <v>43236</v>
      </c>
      <c r="B32" s="40">
        <v>2.7916666666666701</v>
      </c>
      <c r="C32" s="40">
        <v>0.83333333333333703</v>
      </c>
      <c r="D32" s="156">
        <v>3</v>
      </c>
      <c r="E32" s="154">
        <f t="shared" si="2"/>
        <v>2.1126760563380285</v>
      </c>
      <c r="F32" s="154">
        <v>-2</v>
      </c>
      <c r="G32" s="118">
        <v>74</v>
      </c>
      <c r="H32" s="154">
        <f t="shared" si="0"/>
        <v>52.112676056338032</v>
      </c>
      <c r="I32" s="154">
        <v>72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7">
        <v>127</v>
      </c>
      <c r="R32" s="157"/>
      <c r="S32" s="157">
        <v>94680710</v>
      </c>
      <c r="T32" s="45">
        <f t="shared" si="4"/>
        <v>4581</v>
      </c>
      <c r="U32" s="46">
        <f t="shared" si="5"/>
        <v>109.944</v>
      </c>
      <c r="V32" s="46">
        <f t="shared" si="6"/>
        <v>4.5810000000000004</v>
      </c>
      <c r="W32" s="96">
        <v>2.7</v>
      </c>
      <c r="X32" s="96">
        <f t="shared" si="1"/>
        <v>2.7</v>
      </c>
      <c r="Y32" s="97" t="s">
        <v>169</v>
      </c>
      <c r="Z32" s="158">
        <v>0</v>
      </c>
      <c r="AA32" s="158">
        <v>1015</v>
      </c>
      <c r="AB32" s="158">
        <v>0</v>
      </c>
      <c r="AC32" s="158">
        <v>1185</v>
      </c>
      <c r="AD32" s="158">
        <v>1187</v>
      </c>
      <c r="AE32" s="158">
        <v>1185</v>
      </c>
      <c r="AF32" s="47" t="s">
        <v>90</v>
      </c>
      <c r="AG32" s="47" t="s">
        <v>90</v>
      </c>
      <c r="AH32" s="98" t="s">
        <v>90</v>
      </c>
      <c r="AI32" s="103">
        <v>15790111</v>
      </c>
      <c r="AJ32" s="45">
        <f t="shared" si="7"/>
        <v>1146</v>
      </c>
      <c r="AK32" s="48">
        <f t="shared" si="8"/>
        <v>250.16371971185328</v>
      </c>
      <c r="AL32" s="155">
        <v>0</v>
      </c>
      <c r="AM32" s="155">
        <v>1</v>
      </c>
      <c r="AN32" s="155">
        <v>0</v>
      </c>
      <c r="AO32" s="155">
        <v>1</v>
      </c>
      <c r="AP32" s="155">
        <v>1</v>
      </c>
      <c r="AQ32" s="155">
        <v>1</v>
      </c>
      <c r="AR32" s="155">
        <v>0</v>
      </c>
      <c r="AS32" s="158"/>
      <c r="AT32" s="158">
        <v>0</v>
      </c>
      <c r="AU32" s="49"/>
      <c r="AV32" s="50" t="s">
        <v>124</v>
      </c>
      <c r="AY32" s="308" t="s">
        <v>115</v>
      </c>
      <c r="AZ32" s="308"/>
      <c r="BB32" s="74" t="s">
        <v>156</v>
      </c>
    </row>
    <row r="33" spans="1:54" x14ac:dyDescent="0.35">
      <c r="A33" s="357">
        <v>43236</v>
      </c>
      <c r="B33" s="40">
        <v>2.8333333333333299</v>
      </c>
      <c r="C33" s="40">
        <v>0.875</v>
      </c>
      <c r="D33" s="156">
        <v>3</v>
      </c>
      <c r="E33" s="154">
        <f t="shared" si="2"/>
        <v>2.1126760563380285</v>
      </c>
      <c r="F33" s="154">
        <v>-3</v>
      </c>
      <c r="G33" s="118">
        <v>74</v>
      </c>
      <c r="H33" s="154">
        <f t="shared" si="0"/>
        <v>52.112676056338032</v>
      </c>
      <c r="I33" s="154">
        <v>72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7">
        <v>126</v>
      </c>
      <c r="R33" s="157"/>
      <c r="S33" s="157">
        <v>94685648</v>
      </c>
      <c r="T33" s="45">
        <f t="shared" si="4"/>
        <v>4938</v>
      </c>
      <c r="U33" s="46">
        <f t="shared" si="5"/>
        <v>118.512</v>
      </c>
      <c r="V33" s="46">
        <f t="shared" si="6"/>
        <v>4.9379999999999997</v>
      </c>
      <c r="W33" s="96">
        <v>2.2999999999999998</v>
      </c>
      <c r="X33" s="96">
        <f t="shared" si="1"/>
        <v>2.2999999999999998</v>
      </c>
      <c r="Y33" s="97" t="s">
        <v>169</v>
      </c>
      <c r="Z33" s="158">
        <v>0</v>
      </c>
      <c r="AA33" s="158">
        <v>1015</v>
      </c>
      <c r="AB33" s="158">
        <v>0</v>
      </c>
      <c r="AC33" s="158">
        <v>1185</v>
      </c>
      <c r="AD33" s="158">
        <v>1187</v>
      </c>
      <c r="AE33" s="158">
        <v>1185</v>
      </c>
      <c r="AF33" s="47" t="s">
        <v>90</v>
      </c>
      <c r="AG33" s="47" t="s">
        <v>90</v>
      </c>
      <c r="AH33" s="98" t="s">
        <v>90</v>
      </c>
      <c r="AI33" s="103">
        <v>15791262</v>
      </c>
      <c r="AJ33" s="45">
        <f t="shared" si="7"/>
        <v>1151</v>
      </c>
      <c r="AK33" s="48">
        <f t="shared" si="8"/>
        <v>233.09031996759822</v>
      </c>
      <c r="AL33" s="155">
        <v>0</v>
      </c>
      <c r="AM33" s="155">
        <v>1</v>
      </c>
      <c r="AN33" s="155">
        <v>0</v>
      </c>
      <c r="AO33" s="155">
        <v>1</v>
      </c>
      <c r="AP33" s="155">
        <v>1</v>
      </c>
      <c r="AQ33" s="155">
        <v>1</v>
      </c>
      <c r="AR33" s="155">
        <v>0</v>
      </c>
      <c r="AS33" s="158"/>
      <c r="AT33" s="158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57">
        <v>43236</v>
      </c>
      <c r="B34" s="40">
        <v>2.875</v>
      </c>
      <c r="C34" s="40">
        <v>0.91666666666667096</v>
      </c>
      <c r="D34" s="156">
        <v>3</v>
      </c>
      <c r="E34" s="154">
        <f t="shared" si="2"/>
        <v>2.1126760563380285</v>
      </c>
      <c r="F34" s="154">
        <v>-3</v>
      </c>
      <c r="G34" s="118">
        <v>74</v>
      </c>
      <c r="H34" s="154">
        <f t="shared" si="0"/>
        <v>52.112676056338032</v>
      </c>
      <c r="I34" s="154">
        <v>72</v>
      </c>
      <c r="J34" s="41" t="s">
        <v>88</v>
      </c>
      <c r="K34" s="41">
        <f t="shared" si="3"/>
        <v>48.591549295774648</v>
      </c>
      <c r="L34" s="42">
        <f t="shared" si="13"/>
        <v>50</v>
      </c>
      <c r="M34" s="41">
        <f t="shared" si="12"/>
        <v>54.225352112676056</v>
      </c>
      <c r="N34" s="43">
        <v>14</v>
      </c>
      <c r="O34" s="44" t="s">
        <v>116</v>
      </c>
      <c r="P34" s="44">
        <v>12.6</v>
      </c>
      <c r="Q34" s="157">
        <v>130</v>
      </c>
      <c r="R34" s="157"/>
      <c r="S34" s="157">
        <v>94690104</v>
      </c>
      <c r="T34" s="45">
        <f t="shared" si="4"/>
        <v>4456</v>
      </c>
      <c r="U34" s="46">
        <f t="shared" si="5"/>
        <v>106.944</v>
      </c>
      <c r="V34" s="46">
        <f t="shared" si="6"/>
        <v>4.4560000000000004</v>
      </c>
      <c r="W34" s="96">
        <v>2</v>
      </c>
      <c r="X34" s="96">
        <f t="shared" si="1"/>
        <v>2</v>
      </c>
      <c r="Y34" s="97" t="s">
        <v>169</v>
      </c>
      <c r="Z34" s="158">
        <v>0</v>
      </c>
      <c r="AA34" s="158">
        <v>1015</v>
      </c>
      <c r="AB34" s="158">
        <v>0</v>
      </c>
      <c r="AC34" s="158">
        <v>1185</v>
      </c>
      <c r="AD34" s="158">
        <v>1187</v>
      </c>
      <c r="AE34" s="158">
        <v>1185</v>
      </c>
      <c r="AF34" s="47" t="s">
        <v>90</v>
      </c>
      <c r="AG34" s="47" t="s">
        <v>90</v>
      </c>
      <c r="AH34" s="98" t="s">
        <v>90</v>
      </c>
      <c r="AI34" s="103">
        <v>15792410</v>
      </c>
      <c r="AJ34" s="45">
        <f t="shared" si="7"/>
        <v>1148</v>
      </c>
      <c r="AK34" s="48">
        <f t="shared" si="8"/>
        <v>257.63016157989227</v>
      </c>
      <c r="AL34" s="155">
        <v>0</v>
      </c>
      <c r="AM34" s="155">
        <v>1</v>
      </c>
      <c r="AN34" s="155">
        <v>0</v>
      </c>
      <c r="AO34" s="155">
        <v>1</v>
      </c>
      <c r="AP34" s="155">
        <v>1</v>
      </c>
      <c r="AQ34" s="155">
        <v>1</v>
      </c>
      <c r="AR34" s="155">
        <v>0</v>
      </c>
      <c r="AS34" s="158"/>
      <c r="AT34" s="158">
        <f>AS34-AS33</f>
        <v>0</v>
      </c>
      <c r="AU34" s="119">
        <v>1.08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357">
        <v>43236</v>
      </c>
      <c r="B35" s="40">
        <v>2.9166666666666701</v>
      </c>
      <c r="C35" s="40">
        <v>0.95833333333333803</v>
      </c>
      <c r="D35" s="156">
        <v>3</v>
      </c>
      <c r="E35" s="154">
        <f t="shared" si="2"/>
        <v>2.1126760563380285</v>
      </c>
      <c r="F35" s="154">
        <v>-2</v>
      </c>
      <c r="G35" s="118">
        <v>72</v>
      </c>
      <c r="H35" s="154">
        <f t="shared" si="0"/>
        <v>50.70422535211268</v>
      </c>
      <c r="I35" s="154">
        <v>70</v>
      </c>
      <c r="J35" s="41" t="s">
        <v>88</v>
      </c>
      <c r="K35" s="41">
        <f>L35-(2/1.42)</f>
        <v>45.774647887323944</v>
      </c>
      <c r="L35" s="42">
        <f>(G35-5)/1.42</f>
        <v>47.183098591549296</v>
      </c>
      <c r="M35" s="41">
        <f t="shared" si="12"/>
        <v>51.408450704225352</v>
      </c>
      <c r="N35" s="43">
        <v>14</v>
      </c>
      <c r="O35" s="44" t="s">
        <v>116</v>
      </c>
      <c r="P35" s="44">
        <v>11.9</v>
      </c>
      <c r="Q35" s="157">
        <v>133</v>
      </c>
      <c r="R35" s="157"/>
      <c r="S35" s="157">
        <v>94694757</v>
      </c>
      <c r="T35" s="45">
        <f t="shared" si="4"/>
        <v>4653</v>
      </c>
      <c r="U35" s="46">
        <f t="shared" si="5"/>
        <v>111.672</v>
      </c>
      <c r="V35" s="46">
        <f t="shared" si="6"/>
        <v>4.6529999999999996</v>
      </c>
      <c r="W35" s="96">
        <v>2.4</v>
      </c>
      <c r="X35" s="96">
        <f t="shared" si="1"/>
        <v>2.4</v>
      </c>
      <c r="Y35" s="97" t="s">
        <v>138</v>
      </c>
      <c r="Z35" s="158">
        <v>0</v>
      </c>
      <c r="AA35" s="158">
        <v>0</v>
      </c>
      <c r="AB35" s="158">
        <v>0</v>
      </c>
      <c r="AC35" s="158">
        <v>1185</v>
      </c>
      <c r="AD35" s="158">
        <v>1187</v>
      </c>
      <c r="AE35" s="158">
        <v>1185</v>
      </c>
      <c r="AF35" s="47" t="s">
        <v>90</v>
      </c>
      <c r="AG35" s="47" t="s">
        <v>90</v>
      </c>
      <c r="AH35" s="98" t="s">
        <v>90</v>
      </c>
      <c r="AI35" s="103">
        <v>15793511</v>
      </c>
      <c r="AJ35" s="45">
        <f t="shared" si="7"/>
        <v>1101</v>
      </c>
      <c r="AK35" s="48">
        <f t="shared" si="8"/>
        <v>236.62153449387495</v>
      </c>
      <c r="AL35" s="155">
        <v>0</v>
      </c>
      <c r="AM35" s="155">
        <v>0</v>
      </c>
      <c r="AN35" s="155">
        <v>0</v>
      </c>
      <c r="AO35" s="155">
        <v>1</v>
      </c>
      <c r="AP35" s="155">
        <v>1</v>
      </c>
      <c r="AQ35" s="155">
        <v>1</v>
      </c>
      <c r="AR35" s="155">
        <v>0.3</v>
      </c>
      <c r="AS35" s="158"/>
      <c r="AT35" s="158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357">
        <v>43236</v>
      </c>
      <c r="B36" s="40">
        <v>2.9583333333333299</v>
      </c>
      <c r="C36" s="40">
        <v>1</v>
      </c>
      <c r="D36" s="156">
        <v>3</v>
      </c>
      <c r="E36" s="154">
        <f t="shared" si="2"/>
        <v>2.1126760563380285</v>
      </c>
      <c r="F36" s="154">
        <v>0</v>
      </c>
      <c r="G36" s="118">
        <v>74</v>
      </c>
      <c r="H36" s="154">
        <f t="shared" si="0"/>
        <v>52.112676056338032</v>
      </c>
      <c r="I36" s="154">
        <v>72</v>
      </c>
      <c r="J36" s="41" t="s">
        <v>88</v>
      </c>
      <c r="K36" s="41">
        <f t="shared" si="3"/>
        <v>47.183098591549296</v>
      </c>
      <c r="L36" s="42">
        <f>(G36-5)/1.42</f>
        <v>48.591549295774648</v>
      </c>
      <c r="M36" s="41">
        <f t="shared" si="12"/>
        <v>52.816901408450704</v>
      </c>
      <c r="N36" s="43">
        <v>14</v>
      </c>
      <c r="O36" s="44" t="s">
        <v>116</v>
      </c>
      <c r="P36" s="58">
        <v>11.5</v>
      </c>
      <c r="Q36" s="157">
        <v>135</v>
      </c>
      <c r="R36" s="157"/>
      <c r="S36" s="157">
        <v>94699376</v>
      </c>
      <c r="T36" s="45">
        <f t="shared" si="4"/>
        <v>4619</v>
      </c>
      <c r="U36" s="46">
        <f t="shared" si="5"/>
        <v>110.85599999999999</v>
      </c>
      <c r="V36" s="46">
        <f t="shared" si="6"/>
        <v>4.6189999999999998</v>
      </c>
      <c r="W36" s="96">
        <v>3</v>
      </c>
      <c r="X36" s="96">
        <f t="shared" si="1"/>
        <v>3</v>
      </c>
      <c r="Y36" s="97" t="s">
        <v>138</v>
      </c>
      <c r="Z36" s="158">
        <v>0</v>
      </c>
      <c r="AA36" s="158">
        <v>0</v>
      </c>
      <c r="AB36" s="158">
        <v>0</v>
      </c>
      <c r="AC36" s="158">
        <v>1185</v>
      </c>
      <c r="AD36" s="158">
        <v>1187</v>
      </c>
      <c r="AE36" s="158">
        <v>1185</v>
      </c>
      <c r="AF36" s="47" t="s">
        <v>90</v>
      </c>
      <c r="AG36" s="47" t="s">
        <v>90</v>
      </c>
      <c r="AH36" s="98" t="s">
        <v>90</v>
      </c>
      <c r="AI36" s="103">
        <v>15794598</v>
      </c>
      <c r="AJ36" s="45">
        <f t="shared" si="7"/>
        <v>1087</v>
      </c>
      <c r="AK36" s="48">
        <f t="shared" si="8"/>
        <v>235.33232301363932</v>
      </c>
      <c r="AL36" s="155">
        <v>0</v>
      </c>
      <c r="AM36" s="155">
        <v>0</v>
      </c>
      <c r="AN36" s="155">
        <v>0</v>
      </c>
      <c r="AO36" s="155">
        <v>1</v>
      </c>
      <c r="AP36" s="155">
        <v>1</v>
      </c>
      <c r="AQ36" s="155">
        <v>1</v>
      </c>
      <c r="AR36" s="155">
        <v>0.3</v>
      </c>
      <c r="AS36" s="158"/>
      <c r="AT36" s="158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73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09" t="s">
        <v>118</v>
      </c>
      <c r="O37" s="310"/>
      <c r="P37" s="311"/>
      <c r="Q37" s="101"/>
      <c r="R37" s="101"/>
      <c r="S37" s="101"/>
      <c r="T37" s="60">
        <f>SUM(T13:T36)</f>
        <v>106971</v>
      </c>
      <c r="U37" s="46">
        <f t="shared" si="5"/>
        <v>2567.3040000000001</v>
      </c>
      <c r="V37" s="46">
        <f t="shared" si="6"/>
        <v>106.971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27451</v>
      </c>
      <c r="AK37" s="61">
        <f>$AJ$37/$V37</f>
        <v>256.62095334249466</v>
      </c>
      <c r="AL37" s="155"/>
      <c r="AM37" s="155"/>
      <c r="AN37" s="155"/>
      <c r="AO37" s="155"/>
      <c r="AP37" s="155"/>
      <c r="AQ37" s="155"/>
      <c r="AR37" s="62"/>
      <c r="AS37" s="63">
        <f>AS36-AS11</f>
        <v>0</v>
      </c>
      <c r="AT37" s="64">
        <f>SUM(AT13:AT36)</f>
        <v>0</v>
      </c>
      <c r="AU37" s="65">
        <f>AVERAGE(AU13:AU36)</f>
        <v>1.0416666666666667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7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8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8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4"/>
      <c r="D47" s="164"/>
      <c r="E47" s="164"/>
      <c r="F47" s="164"/>
      <c r="G47" s="164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71" t="s">
        <v>215</v>
      </c>
      <c r="C48" s="172"/>
      <c r="D48" s="172"/>
      <c r="E48" s="172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70"/>
      <c r="D49" s="170"/>
      <c r="E49" s="170"/>
      <c r="F49" s="161"/>
      <c r="G49" s="161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15" t="s">
        <v>164</v>
      </c>
      <c r="C50" s="143"/>
      <c r="D50" s="143"/>
      <c r="E50" s="143"/>
      <c r="F50" s="130"/>
      <c r="G50" s="130"/>
      <c r="H50" s="160"/>
      <c r="I50" s="160"/>
      <c r="J50" s="160"/>
      <c r="K50" s="160"/>
      <c r="L50" s="160"/>
      <c r="M50" s="160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210</v>
      </c>
      <c r="B51" s="132" t="s">
        <v>163</v>
      </c>
      <c r="C51" s="143"/>
      <c r="D51" s="143"/>
      <c r="E51" s="143"/>
      <c r="F51" s="130"/>
      <c r="G51" s="130"/>
      <c r="H51" s="160"/>
      <c r="I51" s="160"/>
      <c r="J51" s="160"/>
      <c r="K51" s="160"/>
      <c r="L51" s="160"/>
      <c r="M51" s="160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235</v>
      </c>
      <c r="C52" s="120"/>
      <c r="D52" s="115"/>
      <c r="E52" s="115"/>
      <c r="F52" s="115"/>
      <c r="G52" s="115"/>
      <c r="H52" s="160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70"/>
      <c r="D53" s="170"/>
      <c r="E53" s="170"/>
      <c r="F53" s="170"/>
      <c r="G53" s="115"/>
      <c r="H53" s="115"/>
      <c r="I53" s="115"/>
      <c r="J53" s="115"/>
      <c r="K53" s="115"/>
      <c r="L53" s="115"/>
      <c r="M53" s="115"/>
      <c r="N53" s="163"/>
      <c r="O53" s="163"/>
      <c r="P53" s="163"/>
      <c r="Q53" s="163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32" t="s">
        <v>170</v>
      </c>
      <c r="C54" s="153"/>
      <c r="D54" s="170"/>
      <c r="E54" s="170"/>
      <c r="F54" s="170"/>
      <c r="G54" s="170"/>
      <c r="H54" s="170"/>
      <c r="I54" s="170"/>
      <c r="J54" s="169"/>
      <c r="K54" s="166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70"/>
      <c r="E55" s="153"/>
      <c r="F55" s="153"/>
      <c r="G55" s="153"/>
      <c r="H55" s="153"/>
      <c r="I55" s="153"/>
      <c r="J55" s="169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172</v>
      </c>
      <c r="C56" s="115"/>
      <c r="D56" s="170"/>
      <c r="E56" s="153"/>
      <c r="F56" s="153"/>
      <c r="G56" s="153"/>
      <c r="H56" s="153"/>
      <c r="I56" s="153"/>
      <c r="J56" s="153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53" t="s">
        <v>236</v>
      </c>
      <c r="C57" s="170"/>
      <c r="D57" s="170"/>
      <c r="E57" s="153"/>
      <c r="F57" s="153"/>
      <c r="G57" s="153"/>
      <c r="H57" s="153"/>
      <c r="I57" s="153"/>
      <c r="J57" s="153"/>
      <c r="K57" s="166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174</v>
      </c>
      <c r="C58" s="170"/>
      <c r="D58" s="170"/>
      <c r="E58" s="115"/>
      <c r="F58" s="115"/>
      <c r="G58" s="115"/>
      <c r="H58" s="115"/>
      <c r="I58" s="153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62" t="s">
        <v>195</v>
      </c>
      <c r="C59" s="170"/>
      <c r="D59" s="170"/>
      <c r="E59" s="153"/>
      <c r="F59" s="153"/>
      <c r="G59" s="153"/>
      <c r="H59" s="153"/>
      <c r="I59" s="153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15"/>
      <c r="C60" s="170"/>
      <c r="D60" s="223"/>
      <c r="E60" s="223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15"/>
      <c r="C61" s="153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32"/>
      <c r="C62" s="115"/>
      <c r="D62" s="100"/>
      <c r="E62" s="100"/>
      <c r="F62" s="115"/>
      <c r="G62" s="115"/>
      <c r="H62" s="92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6"/>
      <c r="E63" s="166"/>
      <c r="F63" s="166"/>
      <c r="G63" s="166"/>
      <c r="H63" s="166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53"/>
      <c r="C64" s="115"/>
      <c r="D64" s="100"/>
      <c r="E64" s="100"/>
      <c r="F64" s="115"/>
      <c r="G64" s="115"/>
      <c r="H64" s="92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6"/>
      <c r="E65" s="166"/>
      <c r="F65" s="166"/>
      <c r="G65" s="166"/>
      <c r="H65" s="166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AV65" s="86"/>
      <c r="AW65" s="86"/>
      <c r="AX65" s="86"/>
      <c r="AY65" s="86"/>
      <c r="AZ65" s="86"/>
      <c r="BA65" s="86"/>
      <c r="BB65" s="86"/>
    </row>
    <row r="66" spans="2:54" x14ac:dyDescent="0.35">
      <c r="B66" s="162"/>
      <c r="C66" s="115"/>
      <c r="D66" s="166"/>
      <c r="E66" s="166"/>
      <c r="F66" s="166"/>
      <c r="G66" s="166"/>
      <c r="H66" s="166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6"/>
      <c r="E67" s="166"/>
      <c r="F67" s="166"/>
      <c r="G67" s="166"/>
      <c r="H67" s="166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Q13:Q36 S13:S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3" name="Range1_16_1_1_1_1_1_1_2_2_2_2_2_2_2_2_2_2_2_2_2_2_2_2_2_2_2_2_2_2_2_1_2_2_2_2_2_2_2_2_2_2_3_2_2_2_2_2_2_2_2_2_2_1_1_1_1_2_2_1_1_1_1_1_1_1_1_1_1_1_1_1_1_3"/>
    <protectedRange sqref="B60:B61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R5:W5" name="Range1_16_1_1_1_1_1_1_2_2_2_2_2_2_2_2_2_2_2_2_2_2_2_2_2_2_2_2_2_2_2_1_2_2_2_2_2_2_2_2_2_2_3_2_2_2_2_2_2_2_2_2_2_1_1_1_1_2_2_1_1_1_1_1_1_1_1_1_1_3_1_3_2_1_1_1"/>
    <protectedRange sqref="R4:W4" name="Range1_16_1_1_1_1_1_1_2_2_2_2_2_2_2_2_2_2_2_2_2_2_2_2_2_2_2_2_2_2_2_1_2_2_2_2_2_2_2_2_2_2_3_2_2_2_2_2_2_2_2_2_2_1_1_1_1_2_2_1_1_1_1_1_1_1_1_1_1_1_1_1_1_2_1_2_1"/>
    <protectedRange sqref="B50 B52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3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271" priority="5" operator="containsText" text="N/A">
      <formula>NOT(ISERROR(SEARCH("N/A",Z13)))</formula>
    </cfRule>
    <cfRule type="cellIs" dxfId="270" priority="17" operator="equal">
      <formula>0</formula>
    </cfRule>
  </conditionalFormatting>
  <conditionalFormatting sqref="Z13:AG36">
    <cfRule type="cellIs" dxfId="269" priority="16" operator="greaterThanOrEqual">
      <formula>1185</formula>
    </cfRule>
  </conditionalFormatting>
  <conditionalFormatting sqref="Z13:AG36">
    <cfRule type="cellIs" dxfId="268" priority="15" operator="between">
      <formula>0.1</formula>
      <formula>1184</formula>
    </cfRule>
  </conditionalFormatting>
  <conditionalFormatting sqref="Z8:Z9 AT13:AT36 AL37:AQ37 AL13:AR36">
    <cfRule type="cellIs" dxfId="267" priority="14" operator="equal">
      <formula>0</formula>
    </cfRule>
  </conditionalFormatting>
  <conditionalFormatting sqref="Z8:Z9 AT13:AT36 AL37:AQ37 AL13:AR36">
    <cfRule type="cellIs" dxfId="266" priority="13" operator="greaterThan">
      <formula>1179</formula>
    </cfRule>
  </conditionalFormatting>
  <conditionalFormatting sqref="Z8:Z9 AT13:AT36 AL37:AQ37 AL13:AR36">
    <cfRule type="cellIs" dxfId="265" priority="12" operator="greaterThan">
      <formula>99</formula>
    </cfRule>
  </conditionalFormatting>
  <conditionalFormatting sqref="Z8:Z9 AT13:AT36 AL37:AQ37 AL13:AR36">
    <cfRule type="cellIs" dxfId="264" priority="11" operator="greaterThan">
      <formula>0.99</formula>
    </cfRule>
  </conditionalFormatting>
  <conditionalFormatting sqref="AD8:AD9">
    <cfRule type="cellIs" dxfId="263" priority="10" operator="equal">
      <formula>0</formula>
    </cfRule>
  </conditionalFormatting>
  <conditionalFormatting sqref="AD8:AD9">
    <cfRule type="cellIs" dxfId="262" priority="9" operator="greaterThan">
      <formula>1179</formula>
    </cfRule>
  </conditionalFormatting>
  <conditionalFormatting sqref="AD8:AD9">
    <cfRule type="cellIs" dxfId="261" priority="8" operator="greaterThan">
      <formula>99</formula>
    </cfRule>
  </conditionalFormatting>
  <conditionalFormatting sqref="AD8:AD9">
    <cfRule type="cellIs" dxfId="260" priority="7" operator="greaterThan">
      <formula>0.99</formula>
    </cfRule>
  </conditionalFormatting>
  <conditionalFormatting sqref="AK13:AK36">
    <cfRule type="cellIs" dxfId="259" priority="6" operator="greaterThan">
      <formula>$AK$8</formula>
    </cfRule>
  </conditionalFormatting>
  <conditionalFormatting sqref="AS13:AS36">
    <cfRule type="containsText" dxfId="258" priority="1" operator="containsText" text="N/A">
      <formula>NOT(ISERROR(SEARCH("N/A",AS13)))</formula>
    </cfRule>
    <cfRule type="cellIs" dxfId="257" priority="4" operator="equal">
      <formula>0</formula>
    </cfRule>
  </conditionalFormatting>
  <conditionalFormatting sqref="AS13:AS36">
    <cfRule type="cellIs" dxfId="256" priority="3" operator="greaterThanOrEqual">
      <formula>1185</formula>
    </cfRule>
  </conditionalFormatting>
  <conditionalFormatting sqref="AS13:AS36">
    <cfRule type="cellIs" dxfId="255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F00-000000000000}">
      <formula1>$AY$11:$AY$21</formula1>
    </dataValidation>
    <dataValidation type="list" allowBlank="1" showInputMessage="1" showErrorMessage="1" sqref="AS8:AT9 P11:P12 N11:N12 D8:E9 Q8:V9" xr:uid="{00000000-0002-0000-0F00-000001000000}">
      <formula1>#REF!</formula1>
    </dataValidation>
    <dataValidation type="list" allowBlank="1" showInputMessage="1" showErrorMessage="1" sqref="AY33:AZ33" xr:uid="{00000000-0002-0000-0F00-000002000000}">
      <formula1>$AY$26:$AY$30</formula1>
    </dataValidation>
    <dataValidation type="list" allowBlank="1" showInputMessage="1" showErrorMessage="1" sqref="R3:R5" xr:uid="{00000000-0002-0000-0F00-000003000000}">
      <formula1>$BB$11:$BB$42</formula1>
    </dataValidation>
  </dataValidations>
  <hyperlinks>
    <hyperlink ref="J10:J11" location="'1'!AH8" display="Plant Status" xr:uid="{00000000-0004-0000-0F00-000000000000}"/>
  </hyperlinks>
  <pageMargins left="0.7" right="0.7" top="0.75" bottom="0.75" header="0.3" footer="0.3"/>
  <pageSetup paperSize="9" orientation="portrait" horizontalDpi="4294967293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tabColor rgb="FF7030A0"/>
  </sheetPr>
  <dimension ref="A2:BB88"/>
  <sheetViews>
    <sheetView topLeftCell="A10" zoomScaleNormal="100" workbookViewId="0">
      <selection activeCell="B56" sqref="B56:B5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47" t="s">
        <v>148</v>
      </c>
      <c r="S3" s="348"/>
      <c r="T3" s="348"/>
      <c r="U3" s="348"/>
      <c r="V3" s="348"/>
      <c r="W3" s="34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47" t="s">
        <v>134</v>
      </c>
      <c r="S4" s="348"/>
      <c r="T4" s="348"/>
      <c r="U4" s="348"/>
      <c r="V4" s="348"/>
      <c r="W4" s="34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47" t="s">
        <v>151</v>
      </c>
      <c r="S5" s="348"/>
      <c r="T5" s="348"/>
      <c r="U5" s="348"/>
      <c r="V5" s="348"/>
      <c r="W5" s="34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50" t="s">
        <v>6</v>
      </c>
      <c r="C6" s="351"/>
      <c r="D6" s="352" t="s">
        <v>7</v>
      </c>
      <c r="E6" s="353"/>
      <c r="F6" s="353"/>
      <c r="G6" s="353"/>
      <c r="H6" s="353"/>
      <c r="I6" s="353"/>
      <c r="J6" s="354"/>
      <c r="K6" s="87"/>
      <c r="L6" s="87"/>
      <c r="M6" s="246"/>
      <c r="N6" s="355">
        <v>41686</v>
      </c>
      <c r="O6" s="356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37" t="s">
        <v>8</v>
      </c>
      <c r="C7" s="338"/>
      <c r="D7" s="337" t="s">
        <v>9</v>
      </c>
      <c r="E7" s="339"/>
      <c r="F7" s="339"/>
      <c r="G7" s="339"/>
      <c r="H7" s="339"/>
      <c r="I7" s="338"/>
      <c r="J7" s="23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36" t="s">
        <v>14</v>
      </c>
      <c r="R7" s="337" t="s">
        <v>15</v>
      </c>
      <c r="S7" s="339"/>
      <c r="T7" s="339"/>
      <c r="U7" s="339"/>
      <c r="V7" s="338"/>
      <c r="W7" s="337" t="s">
        <v>16</v>
      </c>
      <c r="X7" s="338"/>
      <c r="Y7" s="99" t="s">
        <v>17</v>
      </c>
      <c r="Z7" s="337" t="s">
        <v>18</v>
      </c>
      <c r="AA7" s="338"/>
      <c r="AB7" s="337" t="s">
        <v>19</v>
      </c>
      <c r="AC7" s="338"/>
      <c r="AD7" s="337" t="s">
        <v>20</v>
      </c>
      <c r="AE7" s="338"/>
      <c r="AF7" s="337" t="s">
        <v>21</v>
      </c>
      <c r="AG7" s="338"/>
      <c r="AH7" s="99" t="s">
        <v>22</v>
      </c>
      <c r="AI7" s="99" t="s">
        <v>23</v>
      </c>
      <c r="AJ7" s="99" t="s">
        <v>24</v>
      </c>
      <c r="AK7" s="99" t="s">
        <v>25</v>
      </c>
      <c r="AL7" s="337" t="s">
        <v>26</v>
      </c>
      <c r="AM7" s="339"/>
      <c r="AN7" s="339"/>
      <c r="AO7" s="339"/>
      <c r="AP7" s="339"/>
      <c r="AQ7" s="338"/>
      <c r="AR7" s="337" t="s">
        <v>27</v>
      </c>
      <c r="AS7" s="339"/>
      <c r="AT7" s="33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40">
        <v>43237</v>
      </c>
      <c r="C8" s="341"/>
      <c r="D8" s="342" t="s">
        <v>29</v>
      </c>
      <c r="E8" s="343"/>
      <c r="F8" s="343"/>
      <c r="G8" s="343"/>
      <c r="H8" s="343"/>
      <c r="I8" s="344"/>
      <c r="J8" s="28"/>
      <c r="K8" s="342" t="s">
        <v>29</v>
      </c>
      <c r="L8" s="343"/>
      <c r="M8" s="34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42" t="s">
        <v>33</v>
      </c>
      <c r="X8" s="344"/>
      <c r="Y8" s="30" t="s">
        <v>34</v>
      </c>
      <c r="Z8" s="326">
        <v>0</v>
      </c>
      <c r="AA8" s="327"/>
      <c r="AB8" s="345" t="s">
        <v>35</v>
      </c>
      <c r="AC8" s="346"/>
      <c r="AD8" s="326">
        <v>1185</v>
      </c>
      <c r="AE8" s="327"/>
      <c r="AF8" s="328">
        <v>800</v>
      </c>
      <c r="AG8" s="329"/>
      <c r="AH8" s="28"/>
      <c r="AI8" s="30">
        <f>AI36-AI11</f>
        <v>27597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37"/>
      <c r="C9" s="238"/>
      <c r="D9" s="239"/>
      <c r="E9" s="240"/>
      <c r="F9" s="240"/>
      <c r="G9" s="240"/>
      <c r="H9" s="240"/>
      <c r="I9" s="241"/>
      <c r="J9" s="121"/>
      <c r="K9" s="239"/>
      <c r="L9" s="240"/>
      <c r="M9" s="241"/>
      <c r="N9" s="29"/>
      <c r="O9" s="29"/>
      <c r="P9" s="29"/>
      <c r="Q9" s="121"/>
      <c r="R9" s="121"/>
      <c r="S9" s="121"/>
      <c r="T9" s="122"/>
      <c r="U9" s="123"/>
      <c r="V9" s="124"/>
      <c r="W9" s="239"/>
      <c r="X9" s="241"/>
      <c r="Y9" s="30"/>
      <c r="Z9" s="242"/>
      <c r="AA9" s="125"/>
      <c r="AB9" s="126"/>
      <c r="AC9" s="126"/>
      <c r="AD9" s="125"/>
      <c r="AE9" s="125"/>
      <c r="AF9" s="127"/>
      <c r="AG9" s="243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30" t="s">
        <v>39</v>
      </c>
      <c r="C10" s="331"/>
      <c r="D10" s="330" t="s">
        <v>40</v>
      </c>
      <c r="E10" s="332"/>
      <c r="F10" s="331"/>
      <c r="G10" s="330" t="s">
        <v>41</v>
      </c>
      <c r="H10" s="332"/>
      <c r="I10" s="331"/>
      <c r="J10" s="333" t="s">
        <v>42</v>
      </c>
      <c r="K10" s="330" t="s">
        <v>43</v>
      </c>
      <c r="L10" s="332"/>
      <c r="M10" s="331"/>
      <c r="N10" s="99" t="s">
        <v>44</v>
      </c>
      <c r="O10" s="335" t="s">
        <v>45</v>
      </c>
      <c r="P10" s="33" t="s">
        <v>46</v>
      </c>
      <c r="Q10" s="324" t="s">
        <v>47</v>
      </c>
      <c r="R10" s="324" t="s">
        <v>48</v>
      </c>
      <c r="S10" s="34" t="s">
        <v>49</v>
      </c>
      <c r="T10" s="312" t="s">
        <v>50</v>
      </c>
      <c r="U10" s="313"/>
      <c r="V10" s="314"/>
      <c r="W10" s="247" t="s">
        <v>51</v>
      </c>
      <c r="X10" s="247" t="s">
        <v>52</v>
      </c>
      <c r="Y10" s="318" t="s">
        <v>53</v>
      </c>
      <c r="Z10" s="319" t="s">
        <v>54</v>
      </c>
      <c r="AA10" s="320"/>
      <c r="AB10" s="320"/>
      <c r="AC10" s="320"/>
      <c r="AD10" s="320"/>
      <c r="AE10" s="320"/>
      <c r="AF10" s="320"/>
      <c r="AG10" s="321"/>
      <c r="AH10" s="245" t="s">
        <v>55</v>
      </c>
      <c r="AI10" s="245" t="s">
        <v>56</v>
      </c>
      <c r="AJ10" s="307" t="s">
        <v>57</v>
      </c>
      <c r="AK10" s="322" t="s">
        <v>58</v>
      </c>
      <c r="AL10" s="247" t="s">
        <v>59</v>
      </c>
      <c r="AM10" s="247" t="s">
        <v>60</v>
      </c>
      <c r="AN10" s="247" t="s">
        <v>61</v>
      </c>
      <c r="AO10" s="247" t="s">
        <v>62</v>
      </c>
      <c r="AP10" s="247" t="s">
        <v>63</v>
      </c>
      <c r="AQ10" s="247" t="s">
        <v>123</v>
      </c>
      <c r="AR10" s="247" t="s">
        <v>64</v>
      </c>
      <c r="AS10" s="247" t="s">
        <v>65</v>
      </c>
      <c r="AT10" s="324" t="s">
        <v>66</v>
      </c>
      <c r="AU10" s="247" t="s">
        <v>67</v>
      </c>
      <c r="AV10" s="30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47" t="s">
        <v>72</v>
      </c>
      <c r="C11" s="247" t="s">
        <v>73</v>
      </c>
      <c r="D11" s="247" t="s">
        <v>74</v>
      </c>
      <c r="E11" s="247" t="s">
        <v>75</v>
      </c>
      <c r="F11" s="247" t="s">
        <v>126</v>
      </c>
      <c r="G11" s="247" t="s">
        <v>74</v>
      </c>
      <c r="H11" s="247" t="s">
        <v>75</v>
      </c>
      <c r="I11" s="247" t="s">
        <v>126</v>
      </c>
      <c r="J11" s="334"/>
      <c r="K11" s="247" t="s">
        <v>75</v>
      </c>
      <c r="L11" s="247" t="s">
        <v>75</v>
      </c>
      <c r="M11" s="247" t="s">
        <v>75</v>
      </c>
      <c r="N11" s="28" t="s">
        <v>29</v>
      </c>
      <c r="O11" s="336"/>
      <c r="P11" s="28" t="s">
        <v>29</v>
      </c>
      <c r="Q11" s="325"/>
      <c r="R11" s="325"/>
      <c r="S11" s="1">
        <f>'MAY 16'!S36</f>
        <v>94699376</v>
      </c>
      <c r="T11" s="315"/>
      <c r="U11" s="316"/>
      <c r="V11" s="317"/>
      <c r="W11" s="247" t="s">
        <v>75</v>
      </c>
      <c r="X11" s="247" t="s">
        <v>75</v>
      </c>
      <c r="Y11" s="31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'MAY 16'!AI36</f>
        <v>15794598</v>
      </c>
      <c r="AJ11" s="307"/>
      <c r="AK11" s="323"/>
      <c r="AL11" s="247" t="s">
        <v>84</v>
      </c>
      <c r="AM11" s="247" t="s">
        <v>84</v>
      </c>
      <c r="AN11" s="247" t="s">
        <v>84</v>
      </c>
      <c r="AO11" s="247" t="s">
        <v>84</v>
      </c>
      <c r="AP11" s="247" t="s">
        <v>84</v>
      </c>
      <c r="AQ11" s="247" t="s">
        <v>84</v>
      </c>
      <c r="AR11" s="247" t="s">
        <v>84</v>
      </c>
      <c r="AS11" s="1"/>
      <c r="AT11" s="325"/>
      <c r="AU11" s="244" t="s">
        <v>85</v>
      </c>
      <c r="AV11" s="307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283</v>
      </c>
      <c r="B12" s="305" t="s">
        <v>284</v>
      </c>
      <c r="C12" s="305" t="s">
        <v>285</v>
      </c>
      <c r="D12" s="305" t="s">
        <v>286</v>
      </c>
      <c r="E12" s="305" t="s">
        <v>287</v>
      </c>
      <c r="F12" s="305" t="s">
        <v>288</v>
      </c>
      <c r="G12" s="305" t="s">
        <v>289</v>
      </c>
      <c r="H12" s="305" t="s">
        <v>290</v>
      </c>
      <c r="I12" s="305" t="s">
        <v>291</v>
      </c>
      <c r="J12" s="297" t="s">
        <v>292</v>
      </c>
      <c r="K12" s="305" t="s">
        <v>293</v>
      </c>
      <c r="L12" s="305" t="s">
        <v>294</v>
      </c>
      <c r="M12" s="305" t="s">
        <v>295</v>
      </c>
      <c r="N12" s="28" t="s">
        <v>296</v>
      </c>
      <c r="O12" s="298" t="s">
        <v>297</v>
      </c>
      <c r="P12" s="28" t="s">
        <v>298</v>
      </c>
      <c r="Q12" s="300" t="s">
        <v>299</v>
      </c>
      <c r="R12" s="300" t="s">
        <v>300</v>
      </c>
      <c r="S12" s="1" t="s">
        <v>301</v>
      </c>
      <c r="T12" s="302" t="s">
        <v>302</v>
      </c>
      <c r="U12" s="303" t="s">
        <v>303</v>
      </c>
      <c r="V12" s="304" t="s">
        <v>304</v>
      </c>
      <c r="W12" s="305" t="s">
        <v>305</v>
      </c>
      <c r="X12" s="305" t="s">
        <v>306</v>
      </c>
      <c r="Y12" s="305" t="s">
        <v>307</v>
      </c>
      <c r="Z12" s="37" t="s">
        <v>308</v>
      </c>
      <c r="AA12" s="37" t="s">
        <v>309</v>
      </c>
      <c r="AB12" s="37" t="s">
        <v>310</v>
      </c>
      <c r="AC12" s="37" t="s">
        <v>311</v>
      </c>
      <c r="AD12" s="37" t="s">
        <v>312</v>
      </c>
      <c r="AE12" s="37" t="s">
        <v>313</v>
      </c>
      <c r="AF12" s="37" t="s">
        <v>314</v>
      </c>
      <c r="AG12" s="37" t="s">
        <v>315</v>
      </c>
      <c r="AH12" s="38" t="s">
        <v>316</v>
      </c>
      <c r="AI12" s="1" t="s">
        <v>317</v>
      </c>
      <c r="AJ12" s="301" t="s">
        <v>318</v>
      </c>
      <c r="AK12" s="306" t="s">
        <v>319</v>
      </c>
      <c r="AL12" s="305" t="s">
        <v>320</v>
      </c>
      <c r="AM12" s="305" t="s">
        <v>321</v>
      </c>
      <c r="AN12" s="305" t="s">
        <v>322</v>
      </c>
      <c r="AO12" s="305" t="s">
        <v>323</v>
      </c>
      <c r="AP12" s="305" t="s">
        <v>324</v>
      </c>
      <c r="AQ12" s="305" t="s">
        <v>325</v>
      </c>
      <c r="AR12" s="305" t="s">
        <v>326</v>
      </c>
      <c r="AS12" s="1" t="s">
        <v>327</v>
      </c>
      <c r="AT12" s="300" t="s">
        <v>328</v>
      </c>
      <c r="AU12" s="299" t="s">
        <v>329</v>
      </c>
      <c r="AV12" s="301"/>
      <c r="AY12" s="39"/>
      <c r="AZ12" s="39"/>
      <c r="BB12" s="136"/>
    </row>
    <row r="13" spans="1:54" x14ac:dyDescent="0.35">
      <c r="A13" s="357">
        <v>43237</v>
      </c>
      <c r="B13" s="40">
        <v>2</v>
      </c>
      <c r="C13" s="40">
        <v>4.1666666666666664E-2</v>
      </c>
      <c r="D13" s="156">
        <v>3</v>
      </c>
      <c r="E13" s="154">
        <f>D13/1.42</f>
        <v>2.1126760563380285</v>
      </c>
      <c r="F13" s="154">
        <v>2</v>
      </c>
      <c r="G13" s="118">
        <v>72</v>
      </c>
      <c r="H13" s="154">
        <f t="shared" ref="H13:H36" si="0">G13/1.42</f>
        <v>50.70422535211268</v>
      </c>
      <c r="I13" s="154">
        <v>71</v>
      </c>
      <c r="J13" s="41" t="s">
        <v>88</v>
      </c>
      <c r="K13" s="41">
        <f>L13-(2/1.42)</f>
        <v>45.774647887323944</v>
      </c>
      <c r="L13" s="42">
        <f>(G13-5)/1.42</f>
        <v>47.183098591549296</v>
      </c>
      <c r="M13" s="41">
        <f>L13+(6/1.42)</f>
        <v>51.408450704225352</v>
      </c>
      <c r="N13" s="43">
        <v>14</v>
      </c>
      <c r="O13" s="44" t="s">
        <v>89</v>
      </c>
      <c r="P13" s="44">
        <v>11.4</v>
      </c>
      <c r="Q13" s="157">
        <v>143</v>
      </c>
      <c r="R13" s="157"/>
      <c r="S13" s="157">
        <v>94703704</v>
      </c>
      <c r="T13" s="45">
        <f>IF(ISBLANK(S13),"-",S13-S11)</f>
        <v>4328</v>
      </c>
      <c r="U13" s="46">
        <f>T13*24/1000</f>
        <v>103.872</v>
      </c>
      <c r="V13" s="46">
        <f>T13/1000</f>
        <v>4.3280000000000003</v>
      </c>
      <c r="W13" s="96">
        <v>4.5999999999999996</v>
      </c>
      <c r="X13" s="96">
        <f t="shared" ref="X13:X36" si="1">W13</f>
        <v>4.5999999999999996</v>
      </c>
      <c r="Y13" s="97" t="s">
        <v>138</v>
      </c>
      <c r="Z13" s="158">
        <v>0</v>
      </c>
      <c r="AA13" s="158">
        <v>0</v>
      </c>
      <c r="AB13" s="158">
        <v>0</v>
      </c>
      <c r="AC13" s="158">
        <v>1185</v>
      </c>
      <c r="AD13" s="158">
        <v>1187</v>
      </c>
      <c r="AE13" s="158">
        <v>1185</v>
      </c>
      <c r="AF13" s="47" t="s">
        <v>90</v>
      </c>
      <c r="AG13" s="47" t="s">
        <v>90</v>
      </c>
      <c r="AH13" s="98" t="s">
        <v>90</v>
      </c>
      <c r="AI13" s="103">
        <v>15795809</v>
      </c>
      <c r="AJ13" s="45">
        <f>IF(ISBLANK(AI13),"-",AI13-AI11)</f>
        <v>1211</v>
      </c>
      <c r="AK13" s="48">
        <f>AJ13/V13</f>
        <v>279.80591497227357</v>
      </c>
      <c r="AL13" s="155">
        <v>0</v>
      </c>
      <c r="AM13" s="155">
        <v>0</v>
      </c>
      <c r="AN13" s="155">
        <v>0</v>
      </c>
      <c r="AO13" s="155">
        <v>1</v>
      </c>
      <c r="AP13" s="155">
        <v>1</v>
      </c>
      <c r="AQ13" s="155">
        <v>1</v>
      </c>
      <c r="AR13" s="155">
        <v>0.8</v>
      </c>
      <c r="AS13" s="158"/>
      <c r="AT13" s="158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357">
        <v>43237</v>
      </c>
      <c r="B14" s="40">
        <v>2.0416666666666701</v>
      </c>
      <c r="C14" s="40">
        <v>8.3333333333333329E-2</v>
      </c>
      <c r="D14" s="156">
        <v>3</v>
      </c>
      <c r="E14" s="154">
        <f t="shared" ref="E14:E36" si="2">D14/1.42</f>
        <v>2.1126760563380285</v>
      </c>
      <c r="F14" s="154">
        <v>3</v>
      </c>
      <c r="G14" s="118">
        <v>73</v>
      </c>
      <c r="H14" s="154">
        <f t="shared" si="0"/>
        <v>51.408450704225352</v>
      </c>
      <c r="I14" s="154">
        <v>72</v>
      </c>
      <c r="J14" s="41" t="s">
        <v>88</v>
      </c>
      <c r="K14" s="41">
        <f t="shared" ref="K14:K36" si="3">L14-(2/1.42)</f>
        <v>46.478873239436624</v>
      </c>
      <c r="L14" s="42">
        <f>(G14-5)/1.42</f>
        <v>47.887323943661976</v>
      </c>
      <c r="M14" s="41">
        <f>L14+(6/1.42)</f>
        <v>52.112676056338032</v>
      </c>
      <c r="N14" s="43">
        <v>14</v>
      </c>
      <c r="O14" s="44" t="s">
        <v>89</v>
      </c>
      <c r="P14" s="44">
        <v>11.2</v>
      </c>
      <c r="Q14" s="157">
        <v>142</v>
      </c>
      <c r="R14" s="157"/>
      <c r="S14" s="157">
        <v>94707906</v>
      </c>
      <c r="T14" s="45">
        <f t="shared" ref="T14:T36" si="4">IF(ISBLANK(S14),"-",S14-S13)</f>
        <v>4202</v>
      </c>
      <c r="U14" s="46">
        <f t="shared" ref="U14:U37" si="5">T14*24/1000</f>
        <v>100.848</v>
      </c>
      <c r="V14" s="46">
        <f t="shared" ref="V14:V37" si="6">T14/1000</f>
        <v>4.202</v>
      </c>
      <c r="W14" s="96">
        <v>5.4</v>
      </c>
      <c r="X14" s="96">
        <f t="shared" si="1"/>
        <v>5.4</v>
      </c>
      <c r="Y14" s="97" t="s">
        <v>138</v>
      </c>
      <c r="Z14" s="158">
        <v>0</v>
      </c>
      <c r="AA14" s="158">
        <v>0</v>
      </c>
      <c r="AB14" s="158">
        <v>0</v>
      </c>
      <c r="AC14" s="158">
        <v>1185</v>
      </c>
      <c r="AD14" s="158">
        <v>1187</v>
      </c>
      <c r="AE14" s="158">
        <v>1185</v>
      </c>
      <c r="AF14" s="47" t="s">
        <v>90</v>
      </c>
      <c r="AG14" s="47" t="s">
        <v>90</v>
      </c>
      <c r="AH14" s="98" t="s">
        <v>90</v>
      </c>
      <c r="AI14" s="103">
        <v>15796911</v>
      </c>
      <c r="AJ14" s="45">
        <f t="shared" ref="AJ14:AJ36" si="7">IF(ISBLANK(AI14),"-",AI14-AI13)</f>
        <v>1102</v>
      </c>
      <c r="AK14" s="48">
        <f t="shared" ref="AK14:AK36" si="8">AJ14/V14</f>
        <v>262.25606853879106</v>
      </c>
      <c r="AL14" s="155">
        <v>0</v>
      </c>
      <c r="AM14" s="155">
        <v>0</v>
      </c>
      <c r="AN14" s="155">
        <v>0</v>
      </c>
      <c r="AO14" s="155">
        <v>1</v>
      </c>
      <c r="AP14" s="155">
        <v>1</v>
      </c>
      <c r="AQ14" s="155">
        <v>1</v>
      </c>
      <c r="AR14" s="155">
        <v>0.8</v>
      </c>
      <c r="AS14" s="158"/>
      <c r="AT14" s="158">
        <f t="shared" ref="AT14:AT35" si="9">AS14-AS13</f>
        <v>0</v>
      </c>
      <c r="AU14" s="119">
        <v>0.98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57">
        <v>43237</v>
      </c>
      <c r="B15" s="40">
        <v>2.0833333333333299</v>
      </c>
      <c r="C15" s="40">
        <v>0.125</v>
      </c>
      <c r="D15" s="156">
        <v>3</v>
      </c>
      <c r="E15" s="154">
        <f t="shared" si="2"/>
        <v>2.1126760563380285</v>
      </c>
      <c r="F15" s="154">
        <v>5</v>
      </c>
      <c r="G15" s="118">
        <v>71</v>
      </c>
      <c r="H15" s="154">
        <f t="shared" si="0"/>
        <v>50</v>
      </c>
      <c r="I15" s="154">
        <v>70</v>
      </c>
      <c r="J15" s="41" t="s">
        <v>88</v>
      </c>
      <c r="K15" s="41">
        <f t="shared" si="3"/>
        <v>45.070422535211272</v>
      </c>
      <c r="L15" s="42">
        <f>(G15-5)/1.42</f>
        <v>46.478873239436624</v>
      </c>
      <c r="M15" s="41">
        <f>L15+(6/1.42)</f>
        <v>50.70422535211268</v>
      </c>
      <c r="N15" s="43">
        <v>14</v>
      </c>
      <c r="O15" s="44" t="s">
        <v>89</v>
      </c>
      <c r="P15" s="44">
        <v>11.2</v>
      </c>
      <c r="Q15" s="157">
        <v>145</v>
      </c>
      <c r="R15" s="157"/>
      <c r="S15" s="157">
        <v>94712062</v>
      </c>
      <c r="T15" s="45">
        <f>IF(ISBLANK(S15),"-",S15-S14)</f>
        <v>4156</v>
      </c>
      <c r="U15" s="46">
        <f t="shared" si="5"/>
        <v>99.744</v>
      </c>
      <c r="V15" s="46">
        <f t="shared" si="6"/>
        <v>4.1559999999999997</v>
      </c>
      <c r="W15" s="96">
        <v>6.1</v>
      </c>
      <c r="X15" s="96">
        <f t="shared" si="1"/>
        <v>6.1</v>
      </c>
      <c r="Y15" s="97" t="s">
        <v>138</v>
      </c>
      <c r="Z15" s="158">
        <v>0</v>
      </c>
      <c r="AA15" s="158">
        <v>0</v>
      </c>
      <c r="AB15" s="158">
        <v>0</v>
      </c>
      <c r="AC15" s="158">
        <v>1185</v>
      </c>
      <c r="AD15" s="158">
        <v>1187</v>
      </c>
      <c r="AE15" s="158">
        <v>1185</v>
      </c>
      <c r="AF15" s="47" t="s">
        <v>90</v>
      </c>
      <c r="AG15" s="47" t="s">
        <v>90</v>
      </c>
      <c r="AH15" s="98" t="s">
        <v>90</v>
      </c>
      <c r="AI15" s="103">
        <v>15797993</v>
      </c>
      <c r="AJ15" s="45">
        <f t="shared" si="7"/>
        <v>1082</v>
      </c>
      <c r="AK15" s="48">
        <f t="shared" si="8"/>
        <v>260.34648700673728</v>
      </c>
      <c r="AL15" s="155">
        <v>0</v>
      </c>
      <c r="AM15" s="155">
        <v>0</v>
      </c>
      <c r="AN15" s="155">
        <v>0</v>
      </c>
      <c r="AO15" s="155">
        <v>1</v>
      </c>
      <c r="AP15" s="155">
        <v>1</v>
      </c>
      <c r="AQ15" s="155">
        <v>1</v>
      </c>
      <c r="AR15" s="155">
        <v>0.8</v>
      </c>
      <c r="AS15" s="158"/>
      <c r="AT15" s="158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357">
        <v>43237</v>
      </c>
      <c r="B16" s="40">
        <v>2.125</v>
      </c>
      <c r="C16" s="40">
        <v>0.16666666666666699</v>
      </c>
      <c r="D16" s="156">
        <v>3</v>
      </c>
      <c r="E16" s="154">
        <f t="shared" si="2"/>
        <v>2.1126760563380285</v>
      </c>
      <c r="F16" s="154">
        <v>6</v>
      </c>
      <c r="G16" s="118">
        <v>71</v>
      </c>
      <c r="H16" s="154">
        <f t="shared" si="0"/>
        <v>50</v>
      </c>
      <c r="I16" s="154">
        <v>70</v>
      </c>
      <c r="J16" s="41" t="s">
        <v>88</v>
      </c>
      <c r="K16" s="41">
        <f t="shared" si="3"/>
        <v>45.070422535211272</v>
      </c>
      <c r="L16" s="42">
        <f>(G16-5)/1.42</f>
        <v>46.478873239436624</v>
      </c>
      <c r="M16" s="41">
        <f>L16+(6/1.42)</f>
        <v>50.70422535211268</v>
      </c>
      <c r="N16" s="43">
        <v>14</v>
      </c>
      <c r="O16" s="44" t="s">
        <v>89</v>
      </c>
      <c r="P16" s="44">
        <v>12.8</v>
      </c>
      <c r="Q16" s="157">
        <v>146</v>
      </c>
      <c r="R16" s="157"/>
      <c r="S16" s="157">
        <v>94715631</v>
      </c>
      <c r="T16" s="45">
        <f t="shared" si="4"/>
        <v>3569</v>
      </c>
      <c r="U16" s="46">
        <f t="shared" si="5"/>
        <v>85.656000000000006</v>
      </c>
      <c r="V16" s="46">
        <f t="shared" si="6"/>
        <v>3.569</v>
      </c>
      <c r="W16" s="96">
        <v>8.1999999999999993</v>
      </c>
      <c r="X16" s="96">
        <f t="shared" si="1"/>
        <v>8.1999999999999993</v>
      </c>
      <c r="Y16" s="97" t="s">
        <v>138</v>
      </c>
      <c r="Z16" s="158">
        <v>0</v>
      </c>
      <c r="AA16" s="158">
        <v>0</v>
      </c>
      <c r="AB16" s="158">
        <v>0</v>
      </c>
      <c r="AC16" s="158">
        <v>1185</v>
      </c>
      <c r="AD16" s="158">
        <v>1187</v>
      </c>
      <c r="AE16" s="158">
        <v>1185</v>
      </c>
      <c r="AF16" s="47" t="s">
        <v>90</v>
      </c>
      <c r="AG16" s="47" t="s">
        <v>90</v>
      </c>
      <c r="AH16" s="98" t="s">
        <v>90</v>
      </c>
      <c r="AI16" s="103">
        <v>15798997</v>
      </c>
      <c r="AJ16" s="45">
        <f t="shared" si="7"/>
        <v>1004</v>
      </c>
      <c r="AK16" s="48">
        <f t="shared" si="8"/>
        <v>281.31129167834126</v>
      </c>
      <c r="AL16" s="155">
        <v>0</v>
      </c>
      <c r="AM16" s="155">
        <v>0</v>
      </c>
      <c r="AN16" s="155">
        <v>0</v>
      </c>
      <c r="AO16" s="155">
        <v>1</v>
      </c>
      <c r="AP16" s="155">
        <v>1</v>
      </c>
      <c r="AQ16" s="155">
        <v>1</v>
      </c>
      <c r="AR16" s="155">
        <v>0.8</v>
      </c>
      <c r="AS16" s="158"/>
      <c r="AT16" s="158">
        <f t="shared" si="9"/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357">
        <v>43237</v>
      </c>
      <c r="B17" s="40">
        <v>2.1666666666666701</v>
      </c>
      <c r="C17" s="40">
        <v>0.20833333333333301</v>
      </c>
      <c r="D17" s="156">
        <v>3</v>
      </c>
      <c r="E17" s="154">
        <f t="shared" si="2"/>
        <v>2.1126760563380285</v>
      </c>
      <c r="F17" s="154">
        <v>8</v>
      </c>
      <c r="G17" s="118">
        <v>82</v>
      </c>
      <c r="H17" s="154">
        <f t="shared" si="0"/>
        <v>57.74647887323944</v>
      </c>
      <c r="I17" s="154">
        <v>80</v>
      </c>
      <c r="J17" s="41" t="s">
        <v>88</v>
      </c>
      <c r="K17" s="41">
        <f t="shared" si="3"/>
        <v>52.816901408450704</v>
      </c>
      <c r="L17" s="42">
        <f>(G17-5)/1.42</f>
        <v>54.225352112676056</v>
      </c>
      <c r="M17" s="41">
        <f>L17+(6/1.42)</f>
        <v>58.450704225352112</v>
      </c>
      <c r="N17" s="43">
        <v>18</v>
      </c>
      <c r="O17" s="44" t="s">
        <v>89</v>
      </c>
      <c r="P17" s="44">
        <v>13.1</v>
      </c>
      <c r="Q17" s="157">
        <v>128</v>
      </c>
      <c r="R17" s="157"/>
      <c r="S17" s="157">
        <v>94720063</v>
      </c>
      <c r="T17" s="45">
        <f t="shared" si="4"/>
        <v>4432</v>
      </c>
      <c r="U17" s="46">
        <f t="shared" si="5"/>
        <v>106.36799999999999</v>
      </c>
      <c r="V17" s="46">
        <f t="shared" si="6"/>
        <v>4.4320000000000004</v>
      </c>
      <c r="W17" s="96">
        <v>9.5</v>
      </c>
      <c r="X17" s="96">
        <f t="shared" si="1"/>
        <v>9.5</v>
      </c>
      <c r="Y17" s="97" t="s">
        <v>138</v>
      </c>
      <c r="Z17" s="158">
        <v>0</v>
      </c>
      <c r="AA17" s="158">
        <v>0</v>
      </c>
      <c r="AB17" s="158">
        <v>0</v>
      </c>
      <c r="AC17" s="158">
        <v>1185</v>
      </c>
      <c r="AD17" s="158">
        <v>1187</v>
      </c>
      <c r="AE17" s="158">
        <v>1185</v>
      </c>
      <c r="AF17" s="47" t="s">
        <v>90</v>
      </c>
      <c r="AG17" s="47" t="s">
        <v>90</v>
      </c>
      <c r="AH17" s="98" t="s">
        <v>90</v>
      </c>
      <c r="AI17" s="103">
        <v>15800099</v>
      </c>
      <c r="AJ17" s="45">
        <f t="shared" si="7"/>
        <v>1102</v>
      </c>
      <c r="AK17" s="48">
        <f t="shared" si="8"/>
        <v>248.64620938628155</v>
      </c>
      <c r="AL17" s="155">
        <v>0</v>
      </c>
      <c r="AM17" s="155">
        <v>0</v>
      </c>
      <c r="AN17" s="155">
        <v>0</v>
      </c>
      <c r="AO17" s="155">
        <v>1</v>
      </c>
      <c r="AP17" s="155">
        <v>1</v>
      </c>
      <c r="AQ17" s="155">
        <v>1</v>
      </c>
      <c r="AR17" s="155">
        <v>0</v>
      </c>
      <c r="AS17" s="158"/>
      <c r="AT17" s="158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57">
        <v>43237</v>
      </c>
      <c r="B18" s="40">
        <v>2.2083333333333299</v>
      </c>
      <c r="C18" s="40">
        <v>0.25</v>
      </c>
      <c r="D18" s="156">
        <v>3</v>
      </c>
      <c r="E18" s="154">
        <f t="shared" si="2"/>
        <v>2.1126760563380285</v>
      </c>
      <c r="F18" s="154">
        <v>8</v>
      </c>
      <c r="G18" s="118">
        <v>76</v>
      </c>
      <c r="H18" s="154">
        <f t="shared" si="0"/>
        <v>53.521126760563384</v>
      </c>
      <c r="I18" s="154">
        <v>80</v>
      </c>
      <c r="J18" s="41" t="s">
        <v>88</v>
      </c>
      <c r="K18" s="41">
        <f t="shared" si="3"/>
        <v>52.112676056338032</v>
      </c>
      <c r="L18" s="42">
        <f t="shared" ref="L18:L27" si="10">G18/1.42</f>
        <v>53.521126760563384</v>
      </c>
      <c r="M18" s="41">
        <f>L18+1.42</f>
        <v>54.941126760563385</v>
      </c>
      <c r="N18" s="43">
        <v>19</v>
      </c>
      <c r="O18" s="44" t="s">
        <v>100</v>
      </c>
      <c r="P18" s="44">
        <v>13.1</v>
      </c>
      <c r="Q18" s="157">
        <v>139</v>
      </c>
      <c r="R18" s="157"/>
      <c r="S18" s="157">
        <v>94725126</v>
      </c>
      <c r="T18" s="45">
        <f t="shared" si="4"/>
        <v>5063</v>
      </c>
      <c r="U18" s="46">
        <f t="shared" si="5"/>
        <v>121.512</v>
      </c>
      <c r="V18" s="46">
        <f t="shared" si="6"/>
        <v>5.0629999999999997</v>
      </c>
      <c r="W18" s="96">
        <v>9.5</v>
      </c>
      <c r="X18" s="96">
        <f t="shared" si="1"/>
        <v>9.5</v>
      </c>
      <c r="Y18" s="97" t="s">
        <v>138</v>
      </c>
      <c r="Z18" s="158">
        <v>0</v>
      </c>
      <c r="AA18" s="158">
        <v>0</v>
      </c>
      <c r="AB18" s="158">
        <v>0</v>
      </c>
      <c r="AC18" s="158">
        <v>1185</v>
      </c>
      <c r="AD18" s="158">
        <v>1187</v>
      </c>
      <c r="AE18" s="158">
        <v>1185</v>
      </c>
      <c r="AF18" s="47" t="s">
        <v>90</v>
      </c>
      <c r="AG18" s="47" t="s">
        <v>90</v>
      </c>
      <c r="AH18" s="98" t="s">
        <v>90</v>
      </c>
      <c r="AI18" s="103">
        <v>15801240</v>
      </c>
      <c r="AJ18" s="45">
        <f t="shared" si="7"/>
        <v>1141</v>
      </c>
      <c r="AK18" s="48">
        <f t="shared" si="8"/>
        <v>225.36045822634802</v>
      </c>
      <c r="AL18" s="155">
        <v>0</v>
      </c>
      <c r="AM18" s="155">
        <v>0</v>
      </c>
      <c r="AN18" s="155">
        <v>0</v>
      </c>
      <c r="AO18" s="155">
        <v>1</v>
      </c>
      <c r="AP18" s="155">
        <v>1</v>
      </c>
      <c r="AQ18" s="155">
        <v>1</v>
      </c>
      <c r="AR18" s="155">
        <v>0</v>
      </c>
      <c r="AS18" s="158"/>
      <c r="AT18" s="158">
        <f t="shared" si="9"/>
        <v>0</v>
      </c>
      <c r="AU18" s="119">
        <v>1.04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57">
        <v>43237</v>
      </c>
      <c r="B19" s="40">
        <v>2.25</v>
      </c>
      <c r="C19" s="40">
        <v>0.29166666666666669</v>
      </c>
      <c r="D19" s="156">
        <v>4</v>
      </c>
      <c r="E19" s="154">
        <f t="shared" si="2"/>
        <v>2.8169014084507045</v>
      </c>
      <c r="F19" s="154">
        <v>8</v>
      </c>
      <c r="G19" s="118">
        <v>78</v>
      </c>
      <c r="H19" s="154">
        <f t="shared" si="0"/>
        <v>54.929577464788736</v>
      </c>
      <c r="I19" s="154">
        <v>78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7">
        <v>133</v>
      </c>
      <c r="R19" s="157"/>
      <c r="S19" s="157">
        <v>94729794</v>
      </c>
      <c r="T19" s="45">
        <f t="shared" si="4"/>
        <v>4668</v>
      </c>
      <c r="U19" s="46">
        <f t="shared" si="5"/>
        <v>112.032</v>
      </c>
      <c r="V19" s="46">
        <f t="shared" si="6"/>
        <v>4.6680000000000001</v>
      </c>
      <c r="W19" s="96">
        <v>9.1</v>
      </c>
      <c r="X19" s="96">
        <f t="shared" si="1"/>
        <v>9.1</v>
      </c>
      <c r="Y19" s="97" t="s">
        <v>169</v>
      </c>
      <c r="Z19" s="158">
        <v>1027</v>
      </c>
      <c r="AA19" s="158">
        <v>0</v>
      </c>
      <c r="AB19" s="158">
        <v>0</v>
      </c>
      <c r="AC19" s="158">
        <v>1185</v>
      </c>
      <c r="AD19" s="158">
        <v>1187</v>
      </c>
      <c r="AE19" s="158">
        <v>1185</v>
      </c>
      <c r="AF19" s="47" t="s">
        <v>90</v>
      </c>
      <c r="AG19" s="47" t="s">
        <v>90</v>
      </c>
      <c r="AH19" s="98" t="s">
        <v>90</v>
      </c>
      <c r="AI19" s="103">
        <v>15802330</v>
      </c>
      <c r="AJ19" s="45">
        <f t="shared" si="7"/>
        <v>1090</v>
      </c>
      <c r="AK19" s="48">
        <f t="shared" si="8"/>
        <v>233.50471293916024</v>
      </c>
      <c r="AL19" s="155">
        <v>1</v>
      </c>
      <c r="AM19" s="155">
        <v>0</v>
      </c>
      <c r="AN19" s="155">
        <v>0</v>
      </c>
      <c r="AO19" s="155">
        <v>1</v>
      </c>
      <c r="AP19" s="155">
        <v>1</v>
      </c>
      <c r="AQ19" s="155">
        <v>1</v>
      </c>
      <c r="AR19" s="155">
        <v>0</v>
      </c>
      <c r="AS19" s="158"/>
      <c r="AT19" s="158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57">
        <v>43237</v>
      </c>
      <c r="B20" s="40">
        <v>2.2916666666666701</v>
      </c>
      <c r="C20" s="40">
        <v>0.33333333333333298</v>
      </c>
      <c r="D20" s="156">
        <v>4</v>
      </c>
      <c r="E20" s="154">
        <f t="shared" si="2"/>
        <v>2.8169014084507045</v>
      </c>
      <c r="F20" s="154">
        <v>7</v>
      </c>
      <c r="G20" s="118">
        <v>77</v>
      </c>
      <c r="H20" s="154">
        <f t="shared" si="0"/>
        <v>54.225352112676056</v>
      </c>
      <c r="I20" s="154">
        <v>78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7">
        <v>128</v>
      </c>
      <c r="R20" s="157"/>
      <c r="S20" s="157">
        <v>94734710</v>
      </c>
      <c r="T20" s="45">
        <f t="shared" si="4"/>
        <v>4916</v>
      </c>
      <c r="U20" s="46">
        <f>T20*24/1000</f>
        <v>117.98399999999999</v>
      </c>
      <c r="V20" s="46">
        <f t="shared" si="6"/>
        <v>4.9160000000000004</v>
      </c>
      <c r="W20" s="96">
        <v>8.5</v>
      </c>
      <c r="X20" s="96">
        <f t="shared" si="1"/>
        <v>8.5</v>
      </c>
      <c r="Y20" s="97" t="s">
        <v>169</v>
      </c>
      <c r="Z20" s="158">
        <v>1047</v>
      </c>
      <c r="AA20" s="158">
        <v>0</v>
      </c>
      <c r="AB20" s="158">
        <v>0</v>
      </c>
      <c r="AC20" s="158">
        <v>1185</v>
      </c>
      <c r="AD20" s="158">
        <v>1186</v>
      </c>
      <c r="AE20" s="158">
        <v>1185</v>
      </c>
      <c r="AF20" s="47" t="s">
        <v>90</v>
      </c>
      <c r="AG20" s="47" t="s">
        <v>90</v>
      </c>
      <c r="AH20" s="98" t="s">
        <v>90</v>
      </c>
      <c r="AI20" s="103">
        <v>15803544</v>
      </c>
      <c r="AJ20" s="45">
        <f t="shared" si="7"/>
        <v>1214</v>
      </c>
      <c r="AK20" s="48">
        <f t="shared" si="8"/>
        <v>246.94873881204228</v>
      </c>
      <c r="AL20" s="155">
        <v>1</v>
      </c>
      <c r="AM20" s="155">
        <v>0</v>
      </c>
      <c r="AN20" s="155">
        <v>0</v>
      </c>
      <c r="AO20" s="155">
        <v>1</v>
      </c>
      <c r="AP20" s="155">
        <v>1</v>
      </c>
      <c r="AQ20" s="155">
        <v>1</v>
      </c>
      <c r="AR20" s="155">
        <v>0</v>
      </c>
      <c r="AS20" s="158"/>
      <c r="AT20" s="158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357">
        <v>43237</v>
      </c>
      <c r="B21" s="40">
        <v>2.3333333333333299</v>
      </c>
      <c r="C21" s="40">
        <v>0.375</v>
      </c>
      <c r="D21" s="156">
        <v>4</v>
      </c>
      <c r="E21" s="154">
        <f t="shared" si="2"/>
        <v>2.8169014084507045</v>
      </c>
      <c r="F21" s="154">
        <v>7</v>
      </c>
      <c r="G21" s="118">
        <v>76</v>
      </c>
      <c r="H21" s="154">
        <f t="shared" si="0"/>
        <v>53.521126760563384</v>
      </c>
      <c r="I21" s="154">
        <v>74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7">
        <v>130</v>
      </c>
      <c r="R21" s="157"/>
      <c r="S21" s="157">
        <v>94739114</v>
      </c>
      <c r="T21" s="45">
        <f t="shared" si="4"/>
        <v>4404</v>
      </c>
      <c r="U21" s="46">
        <f t="shared" si="5"/>
        <v>105.696</v>
      </c>
      <c r="V21" s="46">
        <f t="shared" si="6"/>
        <v>4.4039999999999999</v>
      </c>
      <c r="W21" s="96">
        <v>7.7</v>
      </c>
      <c r="X21" s="96">
        <f t="shared" si="1"/>
        <v>7.7</v>
      </c>
      <c r="Y21" s="97" t="s">
        <v>169</v>
      </c>
      <c r="Z21" s="158">
        <v>1046</v>
      </c>
      <c r="AA21" s="158">
        <v>0</v>
      </c>
      <c r="AB21" s="158">
        <v>0</v>
      </c>
      <c r="AC21" s="158">
        <v>1185</v>
      </c>
      <c r="AD21" s="158">
        <v>1186</v>
      </c>
      <c r="AE21" s="158">
        <v>1185</v>
      </c>
      <c r="AF21" s="47" t="s">
        <v>90</v>
      </c>
      <c r="AG21" s="47" t="s">
        <v>90</v>
      </c>
      <c r="AH21" s="98" t="s">
        <v>90</v>
      </c>
      <c r="AI21" s="103">
        <v>15804734</v>
      </c>
      <c r="AJ21" s="45">
        <f t="shared" si="7"/>
        <v>1190</v>
      </c>
      <c r="AK21" s="48">
        <f t="shared" si="8"/>
        <v>270.20890099909172</v>
      </c>
      <c r="AL21" s="155">
        <v>1</v>
      </c>
      <c r="AM21" s="155">
        <v>0</v>
      </c>
      <c r="AN21" s="155">
        <v>0</v>
      </c>
      <c r="AO21" s="155">
        <v>1</v>
      </c>
      <c r="AP21" s="155">
        <v>1</v>
      </c>
      <c r="AQ21" s="155">
        <v>1</v>
      </c>
      <c r="AR21" s="155">
        <v>0</v>
      </c>
      <c r="AS21" s="158"/>
      <c r="AT21" s="158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205</v>
      </c>
    </row>
    <row r="22" spans="1:54" x14ac:dyDescent="0.35">
      <c r="A22" s="357">
        <v>43237</v>
      </c>
      <c r="B22" s="40">
        <v>2.375</v>
      </c>
      <c r="C22" s="40">
        <v>0.41666666666666669</v>
      </c>
      <c r="D22" s="156">
        <v>4</v>
      </c>
      <c r="E22" s="154">
        <f t="shared" si="2"/>
        <v>2.8169014084507045</v>
      </c>
      <c r="F22" s="154">
        <v>6</v>
      </c>
      <c r="G22" s="118">
        <v>76</v>
      </c>
      <c r="H22" s="154">
        <f t="shared" si="0"/>
        <v>53.521126760563384</v>
      </c>
      <c r="I22" s="154">
        <v>74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7">
        <v>129</v>
      </c>
      <c r="R22" s="157"/>
      <c r="S22" s="157">
        <v>94743158</v>
      </c>
      <c r="T22" s="45">
        <f t="shared" si="4"/>
        <v>4044</v>
      </c>
      <c r="U22" s="46">
        <f t="shared" si="5"/>
        <v>97.055999999999997</v>
      </c>
      <c r="V22" s="46">
        <f t="shared" si="6"/>
        <v>4.0439999999999996</v>
      </c>
      <c r="W22" s="96">
        <v>7</v>
      </c>
      <c r="X22" s="96">
        <f t="shared" si="1"/>
        <v>7</v>
      </c>
      <c r="Y22" s="97" t="s">
        <v>169</v>
      </c>
      <c r="Z22" s="158">
        <v>1048</v>
      </c>
      <c r="AA22" s="158">
        <v>0</v>
      </c>
      <c r="AB22" s="158">
        <v>0</v>
      </c>
      <c r="AC22" s="158">
        <v>1185</v>
      </c>
      <c r="AD22" s="158">
        <v>1187</v>
      </c>
      <c r="AE22" s="158">
        <v>1185</v>
      </c>
      <c r="AF22" s="47" t="s">
        <v>90</v>
      </c>
      <c r="AG22" s="47" t="s">
        <v>90</v>
      </c>
      <c r="AH22" s="98" t="s">
        <v>90</v>
      </c>
      <c r="AI22" s="103">
        <v>15805932</v>
      </c>
      <c r="AJ22" s="45">
        <f t="shared" si="7"/>
        <v>1198</v>
      </c>
      <c r="AK22" s="48">
        <f t="shared" si="8"/>
        <v>296.24134520276954</v>
      </c>
      <c r="AL22" s="155">
        <v>1</v>
      </c>
      <c r="AM22" s="155">
        <v>0</v>
      </c>
      <c r="AN22" s="155">
        <v>0</v>
      </c>
      <c r="AO22" s="155">
        <v>1</v>
      </c>
      <c r="AP22" s="155">
        <v>1</v>
      </c>
      <c r="AQ22" s="155">
        <v>1</v>
      </c>
      <c r="AR22" s="155">
        <v>0</v>
      </c>
      <c r="AS22" s="158"/>
      <c r="AT22" s="158">
        <f t="shared" si="9"/>
        <v>0</v>
      </c>
      <c r="AU22" s="119">
        <v>1.18</v>
      </c>
      <c r="AV22" s="50" t="s">
        <v>125</v>
      </c>
      <c r="BB22" s="136" t="s">
        <v>157</v>
      </c>
    </row>
    <row r="23" spans="1:54" x14ac:dyDescent="0.35">
      <c r="A23" s="357">
        <v>43237</v>
      </c>
      <c r="B23" s="40">
        <v>2.4166666666666701</v>
      </c>
      <c r="C23" s="40">
        <v>0.45833333333333298</v>
      </c>
      <c r="D23" s="156">
        <v>4</v>
      </c>
      <c r="E23" s="154">
        <f t="shared" si="2"/>
        <v>2.8169014084507045</v>
      </c>
      <c r="F23" s="154">
        <v>5</v>
      </c>
      <c r="G23" s="118">
        <v>76</v>
      </c>
      <c r="H23" s="154">
        <f t="shared" si="0"/>
        <v>53.521126760563384</v>
      </c>
      <c r="I23" s="154">
        <v>73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7">
        <v>128</v>
      </c>
      <c r="R23" s="157"/>
      <c r="S23" s="157">
        <v>94746656</v>
      </c>
      <c r="T23" s="45">
        <f t="shared" si="4"/>
        <v>3498</v>
      </c>
      <c r="U23" s="46">
        <f t="shared" si="5"/>
        <v>83.951999999999998</v>
      </c>
      <c r="V23" s="46">
        <f t="shared" si="6"/>
        <v>3.4980000000000002</v>
      </c>
      <c r="W23" s="96">
        <v>6.4</v>
      </c>
      <c r="X23" s="96">
        <f>W23</f>
        <v>6.4</v>
      </c>
      <c r="Y23" s="97" t="s">
        <v>169</v>
      </c>
      <c r="Z23" s="158">
        <v>1047</v>
      </c>
      <c r="AA23" s="158">
        <v>0</v>
      </c>
      <c r="AB23" s="158">
        <v>0</v>
      </c>
      <c r="AC23" s="158">
        <v>1185</v>
      </c>
      <c r="AD23" s="158">
        <v>1187</v>
      </c>
      <c r="AE23" s="158">
        <v>1185</v>
      </c>
      <c r="AF23" s="47" t="s">
        <v>90</v>
      </c>
      <c r="AG23" s="47" t="s">
        <v>90</v>
      </c>
      <c r="AH23" s="98" t="s">
        <v>90</v>
      </c>
      <c r="AI23" s="103">
        <v>15807066</v>
      </c>
      <c r="AJ23" s="45">
        <f t="shared" si="7"/>
        <v>1134</v>
      </c>
      <c r="AK23" s="48">
        <f t="shared" si="8"/>
        <v>324.18524871355061</v>
      </c>
      <c r="AL23" s="155">
        <v>1</v>
      </c>
      <c r="AM23" s="155">
        <v>0</v>
      </c>
      <c r="AN23" s="155">
        <v>0</v>
      </c>
      <c r="AO23" s="155">
        <v>1</v>
      </c>
      <c r="AP23" s="155">
        <v>1</v>
      </c>
      <c r="AQ23" s="155">
        <v>1</v>
      </c>
      <c r="AR23" s="155">
        <v>0</v>
      </c>
      <c r="AS23" s="158"/>
      <c r="AT23" s="158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357">
        <v>43237</v>
      </c>
      <c r="B24" s="40">
        <v>2.4583333333333299</v>
      </c>
      <c r="C24" s="40">
        <v>0.5</v>
      </c>
      <c r="D24" s="156">
        <v>3</v>
      </c>
      <c r="E24" s="154">
        <f t="shared" si="2"/>
        <v>2.1126760563380285</v>
      </c>
      <c r="F24" s="154">
        <v>5</v>
      </c>
      <c r="G24" s="118">
        <v>76</v>
      </c>
      <c r="H24" s="154">
        <f t="shared" si="0"/>
        <v>53.521126760563384</v>
      </c>
      <c r="I24" s="154">
        <v>73</v>
      </c>
      <c r="J24" s="41" t="s">
        <v>88</v>
      </c>
      <c r="K24" s="41">
        <f t="shared" si="3"/>
        <v>52.112676056338032</v>
      </c>
      <c r="L24" s="42">
        <f t="shared" si="10"/>
        <v>53.521126760563384</v>
      </c>
      <c r="M24" s="41">
        <f t="shared" si="11"/>
        <v>54.941126760563385</v>
      </c>
      <c r="N24" s="43">
        <v>19</v>
      </c>
      <c r="O24" s="44" t="s">
        <v>100</v>
      </c>
      <c r="P24" s="44">
        <v>17.3</v>
      </c>
      <c r="Q24" s="157">
        <v>127</v>
      </c>
      <c r="R24" s="157"/>
      <c r="S24" s="157">
        <v>94750492</v>
      </c>
      <c r="T24" s="45">
        <f t="shared" si="4"/>
        <v>3836</v>
      </c>
      <c r="U24" s="46">
        <f>T24*24/1000</f>
        <v>92.063999999999993</v>
      </c>
      <c r="V24" s="46">
        <f t="shared" si="6"/>
        <v>3.8359999999999999</v>
      </c>
      <c r="W24" s="96">
        <v>5.8</v>
      </c>
      <c r="X24" s="96">
        <f t="shared" si="1"/>
        <v>5.8</v>
      </c>
      <c r="Y24" s="97" t="s">
        <v>169</v>
      </c>
      <c r="Z24" s="158">
        <v>1046</v>
      </c>
      <c r="AA24" s="158">
        <v>0</v>
      </c>
      <c r="AB24" s="158">
        <v>0</v>
      </c>
      <c r="AC24" s="158">
        <v>1185</v>
      </c>
      <c r="AD24" s="158">
        <v>1186</v>
      </c>
      <c r="AE24" s="158">
        <v>1185</v>
      </c>
      <c r="AF24" s="47" t="s">
        <v>90</v>
      </c>
      <c r="AG24" s="47" t="s">
        <v>90</v>
      </c>
      <c r="AH24" s="98" t="s">
        <v>90</v>
      </c>
      <c r="AI24" s="103">
        <v>15808230</v>
      </c>
      <c r="AJ24" s="45">
        <f t="shared" si="7"/>
        <v>1164</v>
      </c>
      <c r="AK24" s="48">
        <f t="shared" si="8"/>
        <v>303.4410844629823</v>
      </c>
      <c r="AL24" s="155">
        <v>1</v>
      </c>
      <c r="AM24" s="155">
        <v>0</v>
      </c>
      <c r="AN24" s="155">
        <v>0</v>
      </c>
      <c r="AO24" s="155">
        <v>1</v>
      </c>
      <c r="AP24" s="155">
        <v>1</v>
      </c>
      <c r="AQ24" s="155">
        <v>1</v>
      </c>
      <c r="AR24" s="155">
        <v>0</v>
      </c>
      <c r="AS24" s="158"/>
      <c r="AT24" s="158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357">
        <v>43237</v>
      </c>
      <c r="B25" s="40">
        <v>2.5</v>
      </c>
      <c r="C25" s="40">
        <v>0.54166666666666696</v>
      </c>
      <c r="D25" s="156">
        <v>3</v>
      </c>
      <c r="E25" s="154">
        <f t="shared" si="2"/>
        <v>2.1126760563380285</v>
      </c>
      <c r="F25" s="154">
        <v>5</v>
      </c>
      <c r="G25" s="118">
        <v>75</v>
      </c>
      <c r="H25" s="154">
        <f t="shared" si="0"/>
        <v>52.816901408450704</v>
      </c>
      <c r="I25" s="154">
        <v>74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7">
        <v>127</v>
      </c>
      <c r="R25" s="157"/>
      <c r="S25" s="157">
        <v>94755166</v>
      </c>
      <c r="T25" s="45">
        <f t="shared" si="4"/>
        <v>4674</v>
      </c>
      <c r="U25" s="46">
        <f>T25*24/1000</f>
        <v>112.176</v>
      </c>
      <c r="V25" s="46">
        <f t="shared" si="6"/>
        <v>4.6740000000000004</v>
      </c>
      <c r="W25" s="96">
        <v>5.0999999999999996</v>
      </c>
      <c r="X25" s="96">
        <f t="shared" si="1"/>
        <v>5.0999999999999996</v>
      </c>
      <c r="Y25" s="97" t="s">
        <v>169</v>
      </c>
      <c r="Z25" s="158">
        <v>1047</v>
      </c>
      <c r="AA25" s="158">
        <v>0</v>
      </c>
      <c r="AB25" s="158">
        <v>0</v>
      </c>
      <c r="AC25" s="158">
        <v>1185</v>
      </c>
      <c r="AD25" s="158">
        <v>1187</v>
      </c>
      <c r="AE25" s="158">
        <v>1185</v>
      </c>
      <c r="AF25" s="47" t="s">
        <v>90</v>
      </c>
      <c r="AG25" s="47" t="s">
        <v>90</v>
      </c>
      <c r="AH25" s="98" t="s">
        <v>90</v>
      </c>
      <c r="AI25" s="103">
        <v>15809508</v>
      </c>
      <c r="AJ25" s="45">
        <f t="shared" si="7"/>
        <v>1278</v>
      </c>
      <c r="AK25" s="48">
        <f t="shared" si="8"/>
        <v>273.42747111681643</v>
      </c>
      <c r="AL25" s="155">
        <v>1</v>
      </c>
      <c r="AM25" s="155">
        <v>0</v>
      </c>
      <c r="AN25" s="155">
        <v>0</v>
      </c>
      <c r="AO25" s="155">
        <v>1</v>
      </c>
      <c r="AP25" s="155">
        <v>1</v>
      </c>
      <c r="AQ25" s="155">
        <v>1</v>
      </c>
      <c r="AR25" s="155">
        <v>0</v>
      </c>
      <c r="AS25" s="158"/>
      <c r="AT25" s="158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57">
        <v>43237</v>
      </c>
      <c r="B26" s="40">
        <v>2.5416666666666701</v>
      </c>
      <c r="C26" s="40">
        <v>0.58333333333333404</v>
      </c>
      <c r="D26" s="156">
        <v>3</v>
      </c>
      <c r="E26" s="154">
        <f t="shared" si="2"/>
        <v>2.1126760563380285</v>
      </c>
      <c r="F26" s="154">
        <v>4</v>
      </c>
      <c r="G26" s="118">
        <v>75</v>
      </c>
      <c r="H26" s="154">
        <f>G26/1.42</f>
        <v>52.816901408450704</v>
      </c>
      <c r="I26" s="154">
        <v>74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7">
        <v>128</v>
      </c>
      <c r="R26" s="157"/>
      <c r="S26" s="157">
        <v>94759041</v>
      </c>
      <c r="T26" s="45">
        <f t="shared" si="4"/>
        <v>3875</v>
      </c>
      <c r="U26" s="46">
        <f t="shared" si="5"/>
        <v>93</v>
      </c>
      <c r="V26" s="46">
        <f t="shared" si="6"/>
        <v>3.875</v>
      </c>
      <c r="W26" s="96">
        <v>4.5999999999999996</v>
      </c>
      <c r="X26" s="96">
        <f t="shared" si="1"/>
        <v>4.5999999999999996</v>
      </c>
      <c r="Y26" s="97" t="s">
        <v>169</v>
      </c>
      <c r="Z26" s="158">
        <v>1016</v>
      </c>
      <c r="AA26" s="158">
        <v>0</v>
      </c>
      <c r="AB26" s="158">
        <v>0</v>
      </c>
      <c r="AC26" s="158">
        <v>1185</v>
      </c>
      <c r="AD26" s="158">
        <v>1187</v>
      </c>
      <c r="AE26" s="158">
        <v>1185</v>
      </c>
      <c r="AF26" s="47" t="s">
        <v>90</v>
      </c>
      <c r="AG26" s="47" t="s">
        <v>90</v>
      </c>
      <c r="AH26" s="98" t="s">
        <v>90</v>
      </c>
      <c r="AI26" s="103">
        <v>15810660</v>
      </c>
      <c r="AJ26" s="45">
        <f t="shared" si="7"/>
        <v>1152</v>
      </c>
      <c r="AK26" s="48">
        <f t="shared" si="8"/>
        <v>297.29032258064518</v>
      </c>
      <c r="AL26" s="155">
        <v>1</v>
      </c>
      <c r="AM26" s="155">
        <v>0</v>
      </c>
      <c r="AN26" s="155">
        <v>0</v>
      </c>
      <c r="AO26" s="155">
        <v>1</v>
      </c>
      <c r="AP26" s="155">
        <v>1</v>
      </c>
      <c r="AQ26" s="155">
        <v>1</v>
      </c>
      <c r="AR26" s="155">
        <v>0</v>
      </c>
      <c r="AS26" s="158"/>
      <c r="AT26" s="158">
        <f t="shared" si="9"/>
        <v>0</v>
      </c>
      <c r="AU26" s="119">
        <v>1.1200000000000001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57">
        <v>43237</v>
      </c>
      <c r="B27" s="40">
        <v>2.5833333333333299</v>
      </c>
      <c r="C27" s="40">
        <v>0.625</v>
      </c>
      <c r="D27" s="156">
        <v>3</v>
      </c>
      <c r="E27" s="154">
        <f t="shared" si="2"/>
        <v>2.1126760563380285</v>
      </c>
      <c r="F27" s="154">
        <v>3</v>
      </c>
      <c r="G27" s="118">
        <v>75</v>
      </c>
      <c r="H27" s="154">
        <f>G27/1.42</f>
        <v>52.816901408450704</v>
      </c>
      <c r="I27" s="154">
        <v>74</v>
      </c>
      <c r="J27" s="41" t="s">
        <v>88</v>
      </c>
      <c r="K27" s="41">
        <f t="shared" si="3"/>
        <v>51.408450704225352</v>
      </c>
      <c r="L27" s="42">
        <f t="shared" si="10"/>
        <v>52.816901408450704</v>
      </c>
      <c r="M27" s="41">
        <f t="shared" si="12"/>
        <v>57.04225352112676</v>
      </c>
      <c r="N27" s="43">
        <v>18</v>
      </c>
      <c r="O27" s="44" t="s">
        <v>100</v>
      </c>
      <c r="P27" s="44">
        <v>16.899999999999999</v>
      </c>
      <c r="Q27" s="157">
        <v>129</v>
      </c>
      <c r="R27" s="157"/>
      <c r="S27" s="157">
        <v>94763227</v>
      </c>
      <c r="T27" s="45">
        <f t="shared" si="4"/>
        <v>4186</v>
      </c>
      <c r="U27" s="46">
        <f t="shared" si="5"/>
        <v>100.464</v>
      </c>
      <c r="V27" s="46">
        <f t="shared" si="6"/>
        <v>4.1859999999999999</v>
      </c>
      <c r="W27" s="96">
        <v>4.2</v>
      </c>
      <c r="X27" s="96">
        <f t="shared" si="1"/>
        <v>4.2</v>
      </c>
      <c r="Y27" s="97" t="s">
        <v>169</v>
      </c>
      <c r="Z27" s="158">
        <v>1016</v>
      </c>
      <c r="AA27" s="158">
        <v>0</v>
      </c>
      <c r="AB27" s="158">
        <v>0</v>
      </c>
      <c r="AC27" s="158">
        <v>1185</v>
      </c>
      <c r="AD27" s="158">
        <v>1188</v>
      </c>
      <c r="AE27" s="158">
        <v>1185</v>
      </c>
      <c r="AF27" s="47" t="s">
        <v>90</v>
      </c>
      <c r="AG27" s="47" t="s">
        <v>90</v>
      </c>
      <c r="AH27" s="98" t="s">
        <v>90</v>
      </c>
      <c r="AI27" s="103">
        <v>15811812</v>
      </c>
      <c r="AJ27" s="45">
        <f t="shared" si="7"/>
        <v>1152</v>
      </c>
      <c r="AK27" s="48">
        <f t="shared" si="8"/>
        <v>275.20305781175347</v>
      </c>
      <c r="AL27" s="155">
        <v>1</v>
      </c>
      <c r="AM27" s="155">
        <v>0</v>
      </c>
      <c r="AN27" s="155">
        <v>0</v>
      </c>
      <c r="AO27" s="155">
        <v>1</v>
      </c>
      <c r="AP27" s="155">
        <v>1</v>
      </c>
      <c r="AQ27" s="155">
        <v>1</v>
      </c>
      <c r="AR27" s="155">
        <v>0</v>
      </c>
      <c r="AS27" s="158"/>
      <c r="AT27" s="158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57">
        <v>43237</v>
      </c>
      <c r="B28" s="40">
        <v>2.625</v>
      </c>
      <c r="C28" s="40">
        <v>0.66666666666666696</v>
      </c>
      <c r="D28" s="156">
        <v>3</v>
      </c>
      <c r="E28" s="154">
        <f t="shared" si="2"/>
        <v>2.1126760563380285</v>
      </c>
      <c r="F28" s="154">
        <v>3</v>
      </c>
      <c r="G28" s="118">
        <v>75</v>
      </c>
      <c r="H28" s="154">
        <f t="shared" si="0"/>
        <v>52.816901408450704</v>
      </c>
      <c r="I28" s="154">
        <v>73</v>
      </c>
      <c r="J28" s="41" t="s">
        <v>88</v>
      </c>
      <c r="K28" s="41">
        <f t="shared" si="3"/>
        <v>49.295774647887328</v>
      </c>
      <c r="L28" s="42">
        <f>(G28-3)/1.42</f>
        <v>50.70422535211268</v>
      </c>
      <c r="M28" s="41">
        <f t="shared" si="12"/>
        <v>54.929577464788736</v>
      </c>
      <c r="N28" s="43">
        <v>18</v>
      </c>
      <c r="O28" s="44" t="s">
        <v>100</v>
      </c>
      <c r="P28" s="44">
        <v>16.7</v>
      </c>
      <c r="Q28" s="157">
        <v>129</v>
      </c>
      <c r="R28" s="157"/>
      <c r="S28" s="157">
        <v>94767667</v>
      </c>
      <c r="T28" s="45">
        <f t="shared" si="4"/>
        <v>4440</v>
      </c>
      <c r="U28" s="46">
        <f t="shared" si="5"/>
        <v>106.56</v>
      </c>
      <c r="V28" s="46">
        <f t="shared" si="6"/>
        <v>4.4400000000000004</v>
      </c>
      <c r="W28" s="96">
        <v>3.7</v>
      </c>
      <c r="X28" s="96">
        <f t="shared" si="1"/>
        <v>3.7</v>
      </c>
      <c r="Y28" s="97" t="s">
        <v>169</v>
      </c>
      <c r="Z28" s="158">
        <v>1015</v>
      </c>
      <c r="AA28" s="158">
        <v>0</v>
      </c>
      <c r="AB28" s="158">
        <v>0</v>
      </c>
      <c r="AC28" s="158">
        <v>1185</v>
      </c>
      <c r="AD28" s="158">
        <v>1186</v>
      </c>
      <c r="AE28" s="158">
        <v>1185</v>
      </c>
      <c r="AF28" s="47" t="s">
        <v>90</v>
      </c>
      <c r="AG28" s="47" t="s">
        <v>90</v>
      </c>
      <c r="AH28" s="98" t="s">
        <v>90</v>
      </c>
      <c r="AI28" s="103">
        <v>15812978</v>
      </c>
      <c r="AJ28" s="45">
        <f>IF(ISBLANK(AI28),"-",AI28-AI27)</f>
        <v>1166</v>
      </c>
      <c r="AK28" s="48">
        <f t="shared" si="8"/>
        <v>262.61261261261257</v>
      </c>
      <c r="AL28" s="155">
        <v>1</v>
      </c>
      <c r="AM28" s="155">
        <v>0</v>
      </c>
      <c r="AN28" s="155">
        <v>0</v>
      </c>
      <c r="AO28" s="155">
        <v>1</v>
      </c>
      <c r="AP28" s="155">
        <v>1</v>
      </c>
      <c r="AQ28" s="155">
        <v>1</v>
      </c>
      <c r="AR28" s="155">
        <v>0</v>
      </c>
      <c r="AS28" s="158"/>
      <c r="AT28" s="158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357">
        <v>43237</v>
      </c>
      <c r="B29" s="40">
        <v>2.6666666666666701</v>
      </c>
      <c r="C29" s="40">
        <v>0.70833333333333404</v>
      </c>
      <c r="D29" s="156">
        <v>3</v>
      </c>
      <c r="E29" s="154">
        <f t="shared" si="2"/>
        <v>2.1126760563380285</v>
      </c>
      <c r="F29" s="154">
        <v>2</v>
      </c>
      <c r="G29" s="118">
        <v>74</v>
      </c>
      <c r="H29" s="154">
        <f t="shared" si="0"/>
        <v>52.112676056338032</v>
      </c>
      <c r="I29" s="154">
        <v>71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7">
        <v>129</v>
      </c>
      <c r="R29" s="157"/>
      <c r="S29" s="157">
        <v>94772203</v>
      </c>
      <c r="T29" s="45">
        <f t="shared" si="4"/>
        <v>4536</v>
      </c>
      <c r="U29" s="46">
        <f t="shared" si="5"/>
        <v>108.864</v>
      </c>
      <c r="V29" s="46">
        <f t="shared" si="6"/>
        <v>4.5359999999999996</v>
      </c>
      <c r="W29" s="96">
        <v>3.3</v>
      </c>
      <c r="X29" s="96">
        <f t="shared" si="1"/>
        <v>3.3</v>
      </c>
      <c r="Y29" s="97" t="s">
        <v>169</v>
      </c>
      <c r="Z29" s="158">
        <v>1015</v>
      </c>
      <c r="AA29" s="158">
        <v>0</v>
      </c>
      <c r="AB29" s="158">
        <v>0</v>
      </c>
      <c r="AC29" s="158">
        <v>1185</v>
      </c>
      <c r="AD29" s="158">
        <v>1187</v>
      </c>
      <c r="AE29" s="158">
        <v>1185</v>
      </c>
      <c r="AF29" s="47" t="s">
        <v>90</v>
      </c>
      <c r="AG29" s="47" t="s">
        <v>90</v>
      </c>
      <c r="AH29" s="98" t="s">
        <v>90</v>
      </c>
      <c r="AI29" s="103">
        <v>15814149</v>
      </c>
      <c r="AJ29" s="45">
        <f t="shared" si="7"/>
        <v>1171</v>
      </c>
      <c r="AK29" s="48">
        <f>AJ28/V29</f>
        <v>257.05467372134041</v>
      </c>
      <c r="AL29" s="155">
        <v>1</v>
      </c>
      <c r="AM29" s="155">
        <v>0</v>
      </c>
      <c r="AN29" s="155">
        <v>0</v>
      </c>
      <c r="AO29" s="155">
        <v>1</v>
      </c>
      <c r="AP29" s="155">
        <v>1</v>
      </c>
      <c r="AQ29" s="155">
        <v>1</v>
      </c>
      <c r="AR29" s="155">
        <v>0</v>
      </c>
      <c r="AS29" s="158"/>
      <c r="AT29" s="158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357">
        <v>43237</v>
      </c>
      <c r="B30" s="40">
        <v>2.7083333333333299</v>
      </c>
      <c r="C30" s="40">
        <v>0.750000000000002</v>
      </c>
      <c r="D30" s="156">
        <v>3</v>
      </c>
      <c r="E30" s="154">
        <f t="shared" si="2"/>
        <v>2.1126760563380285</v>
      </c>
      <c r="F30" s="154">
        <v>1</v>
      </c>
      <c r="G30" s="118">
        <v>74</v>
      </c>
      <c r="H30" s="154">
        <f t="shared" si="0"/>
        <v>52.112676056338032</v>
      </c>
      <c r="I30" s="154">
        <v>71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7">
        <v>128</v>
      </c>
      <c r="R30" s="157"/>
      <c r="S30" s="157">
        <v>94776450</v>
      </c>
      <c r="T30" s="45">
        <f t="shared" si="4"/>
        <v>4247</v>
      </c>
      <c r="U30" s="46">
        <f t="shared" si="5"/>
        <v>101.928</v>
      </c>
      <c r="V30" s="46">
        <f t="shared" si="6"/>
        <v>4.2469999999999999</v>
      </c>
      <c r="W30" s="96">
        <v>2.9</v>
      </c>
      <c r="X30" s="96">
        <f t="shared" si="1"/>
        <v>2.9</v>
      </c>
      <c r="Y30" s="97" t="s">
        <v>169</v>
      </c>
      <c r="Z30" s="158">
        <v>1016</v>
      </c>
      <c r="AA30" s="158">
        <v>0</v>
      </c>
      <c r="AB30" s="158">
        <v>0</v>
      </c>
      <c r="AC30" s="158">
        <v>1185</v>
      </c>
      <c r="AD30" s="158">
        <v>1187</v>
      </c>
      <c r="AE30" s="158">
        <v>1185</v>
      </c>
      <c r="AF30" s="47" t="s">
        <v>90</v>
      </c>
      <c r="AG30" s="47" t="s">
        <v>90</v>
      </c>
      <c r="AH30" s="98" t="s">
        <v>90</v>
      </c>
      <c r="AI30" s="103">
        <v>15815320</v>
      </c>
      <c r="AJ30" s="45">
        <f t="shared" si="7"/>
        <v>1171</v>
      </c>
      <c r="AK30" s="48">
        <f>AJ29/V30</f>
        <v>275.72404049917589</v>
      </c>
      <c r="AL30" s="155">
        <v>1</v>
      </c>
      <c r="AM30" s="155">
        <v>0</v>
      </c>
      <c r="AN30" s="155">
        <v>0</v>
      </c>
      <c r="AO30" s="155">
        <v>1</v>
      </c>
      <c r="AP30" s="155">
        <v>1</v>
      </c>
      <c r="AQ30" s="155">
        <v>1</v>
      </c>
      <c r="AR30" s="155">
        <v>0</v>
      </c>
      <c r="AS30" s="158"/>
      <c r="AT30" s="158">
        <f t="shared" si="9"/>
        <v>0</v>
      </c>
      <c r="AU30" s="159">
        <v>1.03</v>
      </c>
      <c r="AV30" s="50" t="s">
        <v>124</v>
      </c>
      <c r="AY30" s="55" t="s">
        <v>114</v>
      </c>
      <c r="AZ30" s="55">
        <v>101.325</v>
      </c>
      <c r="BB30" s="74" t="s">
        <v>143</v>
      </c>
    </row>
    <row r="31" spans="1:54" x14ac:dyDescent="0.35">
      <c r="A31" s="357">
        <v>43237</v>
      </c>
      <c r="B31" s="40">
        <v>2.75</v>
      </c>
      <c r="C31" s="40">
        <v>0.79166666666666896</v>
      </c>
      <c r="D31" s="156">
        <v>3</v>
      </c>
      <c r="E31" s="154">
        <f t="shared" si="2"/>
        <v>2.1126760563380285</v>
      </c>
      <c r="F31" s="154">
        <v>-1</v>
      </c>
      <c r="G31" s="118">
        <v>74</v>
      </c>
      <c r="H31" s="154">
        <f t="shared" si="0"/>
        <v>52.112676056338032</v>
      </c>
      <c r="I31" s="154">
        <v>72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7">
        <v>129</v>
      </c>
      <c r="R31" s="157"/>
      <c r="S31" s="157">
        <v>94780949</v>
      </c>
      <c r="T31" s="45">
        <f t="shared" si="4"/>
        <v>4499</v>
      </c>
      <c r="U31" s="46">
        <f t="shared" si="5"/>
        <v>107.976</v>
      </c>
      <c r="V31" s="46">
        <f t="shared" si="6"/>
        <v>4.4989999999999997</v>
      </c>
      <c r="W31" s="96">
        <v>2.6</v>
      </c>
      <c r="X31" s="96">
        <f t="shared" si="1"/>
        <v>2.6</v>
      </c>
      <c r="Y31" s="97" t="s">
        <v>169</v>
      </c>
      <c r="Z31" s="158">
        <v>1015</v>
      </c>
      <c r="AA31" s="158">
        <v>0</v>
      </c>
      <c r="AB31" s="158">
        <v>0</v>
      </c>
      <c r="AC31" s="158">
        <v>1185</v>
      </c>
      <c r="AD31" s="158">
        <v>1187</v>
      </c>
      <c r="AE31" s="158">
        <v>1185</v>
      </c>
      <c r="AF31" s="47" t="s">
        <v>90</v>
      </c>
      <c r="AG31" s="47" t="s">
        <v>90</v>
      </c>
      <c r="AH31" s="98" t="s">
        <v>90</v>
      </c>
      <c r="AI31" s="103">
        <v>15816488</v>
      </c>
      <c r="AJ31" s="45">
        <f t="shared" si="7"/>
        <v>1168</v>
      </c>
      <c r="AK31" s="48">
        <f t="shared" si="8"/>
        <v>259.61324738830854</v>
      </c>
      <c r="AL31" s="155">
        <v>1</v>
      </c>
      <c r="AM31" s="155">
        <v>0</v>
      </c>
      <c r="AN31" s="155">
        <v>0</v>
      </c>
      <c r="AO31" s="155">
        <v>1</v>
      </c>
      <c r="AP31" s="155">
        <v>1</v>
      </c>
      <c r="AQ31" s="155">
        <v>1</v>
      </c>
      <c r="AR31" s="155">
        <v>0</v>
      </c>
      <c r="AS31" s="158"/>
      <c r="AT31" s="158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357">
        <v>43237</v>
      </c>
      <c r="B32" s="40">
        <v>2.7916666666666701</v>
      </c>
      <c r="C32" s="40">
        <v>0.83333333333333703</v>
      </c>
      <c r="D32" s="156">
        <v>3</v>
      </c>
      <c r="E32" s="154">
        <f t="shared" si="2"/>
        <v>2.1126760563380285</v>
      </c>
      <c r="F32" s="154">
        <v>-2</v>
      </c>
      <c r="G32" s="118">
        <v>73</v>
      </c>
      <c r="H32" s="154">
        <f t="shared" si="0"/>
        <v>51.408450704225352</v>
      </c>
      <c r="I32" s="154">
        <v>71</v>
      </c>
      <c r="J32" s="41" t="s">
        <v>88</v>
      </c>
      <c r="K32" s="41">
        <f t="shared" si="3"/>
        <v>47.887323943661976</v>
      </c>
      <c r="L32" s="42">
        <f t="shared" si="13"/>
        <v>49.295774647887328</v>
      </c>
      <c r="M32" s="41">
        <f t="shared" si="12"/>
        <v>53.521126760563384</v>
      </c>
      <c r="N32" s="43">
        <v>18</v>
      </c>
      <c r="O32" s="44" t="s">
        <v>100</v>
      </c>
      <c r="P32" s="44">
        <v>16.600000000000001</v>
      </c>
      <c r="Q32" s="157">
        <v>128</v>
      </c>
      <c r="R32" s="157"/>
      <c r="S32" s="157">
        <v>94786089</v>
      </c>
      <c r="T32" s="45">
        <f t="shared" si="4"/>
        <v>5140</v>
      </c>
      <c r="U32" s="46">
        <f t="shared" si="5"/>
        <v>123.36</v>
      </c>
      <c r="V32" s="46">
        <f t="shared" si="6"/>
        <v>5.14</v>
      </c>
      <c r="W32" s="96">
        <v>2.2000000000000002</v>
      </c>
      <c r="X32" s="96">
        <f t="shared" si="1"/>
        <v>2.2000000000000002</v>
      </c>
      <c r="Y32" s="97" t="s">
        <v>169</v>
      </c>
      <c r="Z32" s="158">
        <v>1016</v>
      </c>
      <c r="AA32" s="158">
        <v>0</v>
      </c>
      <c r="AB32" s="158">
        <v>0</v>
      </c>
      <c r="AC32" s="158">
        <v>1185</v>
      </c>
      <c r="AD32" s="158">
        <v>1187</v>
      </c>
      <c r="AE32" s="158">
        <v>1185</v>
      </c>
      <c r="AF32" s="47" t="s">
        <v>90</v>
      </c>
      <c r="AG32" s="47" t="s">
        <v>90</v>
      </c>
      <c r="AH32" s="98" t="s">
        <v>90</v>
      </c>
      <c r="AI32" s="103">
        <v>15817646</v>
      </c>
      <c r="AJ32" s="45">
        <f t="shared" si="7"/>
        <v>1158</v>
      </c>
      <c r="AK32" s="48">
        <f t="shared" si="8"/>
        <v>225.29182879377433</v>
      </c>
      <c r="AL32" s="155">
        <v>1</v>
      </c>
      <c r="AM32" s="155">
        <v>0</v>
      </c>
      <c r="AN32" s="155">
        <v>0</v>
      </c>
      <c r="AO32" s="155">
        <v>1</v>
      </c>
      <c r="AP32" s="155">
        <v>1</v>
      </c>
      <c r="AQ32" s="155">
        <v>1</v>
      </c>
      <c r="AR32" s="155">
        <v>0</v>
      </c>
      <c r="AS32" s="158"/>
      <c r="AT32" s="158">
        <v>0</v>
      </c>
      <c r="AU32" s="49"/>
      <c r="AV32" s="50" t="s">
        <v>124</v>
      </c>
      <c r="AY32" s="308" t="s">
        <v>115</v>
      </c>
      <c r="AZ32" s="308"/>
      <c r="BB32" s="74" t="s">
        <v>156</v>
      </c>
    </row>
    <row r="33" spans="1:54" x14ac:dyDescent="0.35">
      <c r="A33" s="357">
        <v>43237</v>
      </c>
      <c r="B33" s="40">
        <v>2.8333333333333299</v>
      </c>
      <c r="C33" s="40">
        <v>0.875</v>
      </c>
      <c r="D33" s="156">
        <v>3</v>
      </c>
      <c r="E33" s="154">
        <f t="shared" si="2"/>
        <v>2.1126760563380285</v>
      </c>
      <c r="F33" s="154">
        <v>-3</v>
      </c>
      <c r="G33" s="118">
        <v>73</v>
      </c>
      <c r="H33" s="154">
        <f t="shared" si="0"/>
        <v>51.408450704225352</v>
      </c>
      <c r="I33" s="154">
        <v>71</v>
      </c>
      <c r="J33" s="41" t="s">
        <v>88</v>
      </c>
      <c r="K33" s="41">
        <f t="shared" si="3"/>
        <v>47.887323943661976</v>
      </c>
      <c r="L33" s="42">
        <f t="shared" si="13"/>
        <v>49.295774647887328</v>
      </c>
      <c r="M33" s="41">
        <f t="shared" si="12"/>
        <v>53.521126760563384</v>
      </c>
      <c r="N33" s="43">
        <v>18</v>
      </c>
      <c r="O33" s="44" t="s">
        <v>100</v>
      </c>
      <c r="P33" s="44">
        <v>16.100000000000001</v>
      </c>
      <c r="Q33" s="157">
        <v>128</v>
      </c>
      <c r="R33" s="157"/>
      <c r="S33" s="157">
        <v>94790779</v>
      </c>
      <c r="T33" s="45">
        <f t="shared" si="4"/>
        <v>4690</v>
      </c>
      <c r="U33" s="46">
        <f t="shared" si="5"/>
        <v>112.56</v>
      </c>
      <c r="V33" s="46">
        <f t="shared" si="6"/>
        <v>4.6900000000000004</v>
      </c>
      <c r="W33" s="96">
        <v>1.9</v>
      </c>
      <c r="X33" s="96">
        <f t="shared" si="1"/>
        <v>1.9</v>
      </c>
      <c r="Y33" s="97" t="s">
        <v>169</v>
      </c>
      <c r="Z33" s="158">
        <v>1016</v>
      </c>
      <c r="AA33" s="158">
        <v>0</v>
      </c>
      <c r="AB33" s="158">
        <v>0</v>
      </c>
      <c r="AC33" s="158">
        <v>1185</v>
      </c>
      <c r="AD33" s="158">
        <v>1187</v>
      </c>
      <c r="AE33" s="158">
        <v>1185</v>
      </c>
      <c r="AF33" s="47" t="s">
        <v>90</v>
      </c>
      <c r="AG33" s="47" t="s">
        <v>90</v>
      </c>
      <c r="AH33" s="98" t="s">
        <v>90</v>
      </c>
      <c r="AI33" s="103">
        <v>15818783</v>
      </c>
      <c r="AJ33" s="45">
        <f t="shared" si="7"/>
        <v>1137</v>
      </c>
      <c r="AK33" s="48">
        <f t="shared" si="8"/>
        <v>242.43070362473347</v>
      </c>
      <c r="AL33" s="155">
        <v>1</v>
      </c>
      <c r="AM33" s="155">
        <v>0</v>
      </c>
      <c r="AN33" s="155">
        <v>0</v>
      </c>
      <c r="AO33" s="155">
        <v>1</v>
      </c>
      <c r="AP33" s="155">
        <v>1</v>
      </c>
      <c r="AQ33" s="155">
        <v>1</v>
      </c>
      <c r="AR33" s="155">
        <v>0</v>
      </c>
      <c r="AS33" s="158"/>
      <c r="AT33" s="158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57">
        <v>43237</v>
      </c>
      <c r="B34" s="40">
        <v>2.875</v>
      </c>
      <c r="C34" s="40">
        <v>0.91666666666667096</v>
      </c>
      <c r="D34" s="156">
        <v>3</v>
      </c>
      <c r="E34" s="154">
        <f t="shared" si="2"/>
        <v>2.1126760563380285</v>
      </c>
      <c r="F34" s="154">
        <v>-4</v>
      </c>
      <c r="G34" s="118">
        <v>74</v>
      </c>
      <c r="H34" s="154">
        <f t="shared" si="0"/>
        <v>52.112676056338032</v>
      </c>
      <c r="I34" s="154">
        <v>72</v>
      </c>
      <c r="J34" s="41" t="s">
        <v>88</v>
      </c>
      <c r="K34" s="41">
        <f t="shared" si="3"/>
        <v>48.591549295774648</v>
      </c>
      <c r="L34" s="42">
        <f t="shared" si="13"/>
        <v>50</v>
      </c>
      <c r="M34" s="41">
        <f t="shared" si="12"/>
        <v>54.225352112676056</v>
      </c>
      <c r="N34" s="43">
        <v>14</v>
      </c>
      <c r="O34" s="44" t="s">
        <v>116</v>
      </c>
      <c r="P34" s="44">
        <v>12.6</v>
      </c>
      <c r="Q34" s="157">
        <v>127</v>
      </c>
      <c r="R34" s="157"/>
      <c r="S34" s="157">
        <v>94795650</v>
      </c>
      <c r="T34" s="45">
        <f t="shared" si="4"/>
        <v>4871</v>
      </c>
      <c r="U34" s="46">
        <f t="shared" si="5"/>
        <v>116.904</v>
      </c>
      <c r="V34" s="46">
        <f t="shared" si="6"/>
        <v>4.8710000000000004</v>
      </c>
      <c r="W34" s="96">
        <v>1.6</v>
      </c>
      <c r="X34" s="96">
        <f t="shared" si="1"/>
        <v>1.6</v>
      </c>
      <c r="Y34" s="97" t="s">
        <v>169</v>
      </c>
      <c r="Z34" s="158">
        <v>1016</v>
      </c>
      <c r="AA34" s="158">
        <v>0</v>
      </c>
      <c r="AB34" s="158">
        <v>0</v>
      </c>
      <c r="AC34" s="158">
        <v>1185</v>
      </c>
      <c r="AD34" s="158">
        <v>1187</v>
      </c>
      <c r="AE34" s="158">
        <v>1185</v>
      </c>
      <c r="AF34" s="47" t="s">
        <v>90</v>
      </c>
      <c r="AG34" s="47" t="s">
        <v>90</v>
      </c>
      <c r="AH34" s="98" t="s">
        <v>90</v>
      </c>
      <c r="AI34" s="103">
        <v>15819944</v>
      </c>
      <c r="AJ34" s="45">
        <f t="shared" si="7"/>
        <v>1161</v>
      </c>
      <c r="AK34" s="48">
        <f t="shared" si="8"/>
        <v>238.34941490453704</v>
      </c>
      <c r="AL34" s="155">
        <v>1</v>
      </c>
      <c r="AM34" s="155">
        <v>0</v>
      </c>
      <c r="AN34" s="155">
        <v>0</v>
      </c>
      <c r="AO34" s="155">
        <v>1</v>
      </c>
      <c r="AP34" s="155">
        <v>1</v>
      </c>
      <c r="AQ34" s="155">
        <v>1</v>
      </c>
      <c r="AR34" s="155">
        <v>0</v>
      </c>
      <c r="AS34" s="158"/>
      <c r="AT34" s="158">
        <f>AS34-AS33</f>
        <v>0</v>
      </c>
      <c r="AU34" s="119">
        <v>0.92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357">
        <v>43237</v>
      </c>
      <c r="B35" s="40">
        <v>2.9166666666666701</v>
      </c>
      <c r="C35" s="40">
        <v>0.95833333333333803</v>
      </c>
      <c r="D35" s="156">
        <v>3</v>
      </c>
      <c r="E35" s="154">
        <f t="shared" si="2"/>
        <v>2.1126760563380285</v>
      </c>
      <c r="F35" s="154">
        <v>-3</v>
      </c>
      <c r="G35" s="118">
        <v>71</v>
      </c>
      <c r="H35" s="154">
        <f t="shared" si="0"/>
        <v>50</v>
      </c>
      <c r="I35" s="154">
        <v>70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7">
        <v>134</v>
      </c>
      <c r="R35" s="157"/>
      <c r="S35" s="157">
        <v>94800355</v>
      </c>
      <c r="T35" s="45">
        <f t="shared" si="4"/>
        <v>4705</v>
      </c>
      <c r="U35" s="46">
        <f t="shared" si="5"/>
        <v>112.92</v>
      </c>
      <c r="V35" s="46">
        <f t="shared" si="6"/>
        <v>4.7050000000000001</v>
      </c>
      <c r="W35" s="96">
        <v>1.8</v>
      </c>
      <c r="X35" s="96">
        <f t="shared" si="1"/>
        <v>1.8</v>
      </c>
      <c r="Y35" s="97" t="s">
        <v>138</v>
      </c>
      <c r="Z35" s="158">
        <v>0</v>
      </c>
      <c r="AA35" s="158">
        <v>0</v>
      </c>
      <c r="AB35" s="158">
        <v>0</v>
      </c>
      <c r="AC35" s="158">
        <v>1185</v>
      </c>
      <c r="AD35" s="158">
        <v>1187</v>
      </c>
      <c r="AE35" s="158">
        <v>1185</v>
      </c>
      <c r="AF35" s="47" t="s">
        <v>90</v>
      </c>
      <c r="AG35" s="47" t="s">
        <v>90</v>
      </c>
      <c r="AH35" s="98" t="s">
        <v>90</v>
      </c>
      <c r="AI35" s="103">
        <v>15821082</v>
      </c>
      <c r="AJ35" s="45">
        <f t="shared" si="7"/>
        <v>1138</v>
      </c>
      <c r="AK35" s="48">
        <f t="shared" si="8"/>
        <v>241.87035069075452</v>
      </c>
      <c r="AL35" s="155">
        <v>0</v>
      </c>
      <c r="AM35" s="155">
        <v>0</v>
      </c>
      <c r="AN35" s="155">
        <v>0</v>
      </c>
      <c r="AO35" s="155">
        <v>1</v>
      </c>
      <c r="AP35" s="155">
        <v>1</v>
      </c>
      <c r="AQ35" s="155">
        <v>1</v>
      </c>
      <c r="AR35" s="155">
        <v>0.3</v>
      </c>
      <c r="AS35" s="158"/>
      <c r="AT35" s="158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357">
        <v>43237</v>
      </c>
      <c r="B36" s="40">
        <v>2.9583333333333299</v>
      </c>
      <c r="C36" s="40">
        <v>1</v>
      </c>
      <c r="D36" s="156">
        <v>3</v>
      </c>
      <c r="E36" s="154">
        <f t="shared" si="2"/>
        <v>2.1126760563380285</v>
      </c>
      <c r="F36" s="154">
        <v>-1</v>
      </c>
      <c r="G36" s="118">
        <v>73</v>
      </c>
      <c r="H36" s="154">
        <f t="shared" si="0"/>
        <v>51.408450704225352</v>
      </c>
      <c r="I36" s="154">
        <v>71</v>
      </c>
      <c r="J36" s="41" t="s">
        <v>88</v>
      </c>
      <c r="K36" s="41">
        <f t="shared" si="3"/>
        <v>46.478873239436624</v>
      </c>
      <c r="L36" s="42">
        <f>(G36-5)/1.42</f>
        <v>47.887323943661976</v>
      </c>
      <c r="M36" s="41">
        <f t="shared" si="12"/>
        <v>52.112676056338032</v>
      </c>
      <c r="N36" s="43">
        <v>14</v>
      </c>
      <c r="O36" s="44" t="s">
        <v>116</v>
      </c>
      <c r="P36" s="58">
        <v>11.5</v>
      </c>
      <c r="Q36" s="157">
        <v>139</v>
      </c>
      <c r="R36" s="157"/>
      <c r="S36" s="157">
        <v>94804705</v>
      </c>
      <c r="T36" s="45">
        <f t="shared" si="4"/>
        <v>4350</v>
      </c>
      <c r="U36" s="46">
        <f t="shared" si="5"/>
        <v>104.4</v>
      </c>
      <c r="V36" s="46">
        <f t="shared" si="6"/>
        <v>4.3499999999999996</v>
      </c>
      <c r="W36" s="96">
        <v>2.6</v>
      </c>
      <c r="X36" s="96">
        <f t="shared" si="1"/>
        <v>2.6</v>
      </c>
      <c r="Y36" s="97" t="s">
        <v>138</v>
      </c>
      <c r="Z36" s="158">
        <v>0</v>
      </c>
      <c r="AA36" s="158">
        <v>0</v>
      </c>
      <c r="AB36" s="158">
        <v>0</v>
      </c>
      <c r="AC36" s="158">
        <v>1185</v>
      </c>
      <c r="AD36" s="158">
        <v>1187</v>
      </c>
      <c r="AE36" s="158">
        <v>1185</v>
      </c>
      <c r="AF36" s="47" t="s">
        <v>90</v>
      </c>
      <c r="AG36" s="47" t="s">
        <v>90</v>
      </c>
      <c r="AH36" s="98" t="s">
        <v>90</v>
      </c>
      <c r="AI36" s="103">
        <v>15822195</v>
      </c>
      <c r="AJ36" s="45">
        <f t="shared" si="7"/>
        <v>1113</v>
      </c>
      <c r="AK36" s="48">
        <f t="shared" si="8"/>
        <v>255.86206896551727</v>
      </c>
      <c r="AL36" s="155">
        <v>0</v>
      </c>
      <c r="AM36" s="155">
        <v>0</v>
      </c>
      <c r="AN36" s="155">
        <v>0</v>
      </c>
      <c r="AO36" s="155">
        <v>1</v>
      </c>
      <c r="AP36" s="155">
        <v>1</v>
      </c>
      <c r="AQ36" s="155">
        <v>1</v>
      </c>
      <c r="AR36" s="155">
        <v>0.3</v>
      </c>
      <c r="AS36" s="158"/>
      <c r="AT36" s="158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73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09" t="s">
        <v>118</v>
      </c>
      <c r="O37" s="310"/>
      <c r="P37" s="311"/>
      <c r="Q37" s="101"/>
      <c r="R37" s="101"/>
      <c r="S37" s="101"/>
      <c r="T37" s="60">
        <f>SUM(T13:T36)</f>
        <v>105329</v>
      </c>
      <c r="U37" s="46">
        <f t="shared" si="5"/>
        <v>2527.8960000000002</v>
      </c>
      <c r="V37" s="46">
        <f t="shared" si="6"/>
        <v>105.32899999999999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27597</v>
      </c>
      <c r="AK37" s="61">
        <f>$AJ$37/$V37</f>
        <v>262.0076142372946</v>
      </c>
      <c r="AL37" s="155"/>
      <c r="AM37" s="155"/>
      <c r="AN37" s="155"/>
      <c r="AO37" s="155"/>
      <c r="AP37" s="155"/>
      <c r="AQ37" s="155"/>
      <c r="AR37" s="62"/>
      <c r="AS37" s="63">
        <f>AS36-AS11</f>
        <v>0</v>
      </c>
      <c r="AT37" s="64">
        <f>SUM(AT13:AT36)</f>
        <v>0</v>
      </c>
      <c r="AU37" s="65">
        <f>AVERAGE(AU13:AU36)</f>
        <v>1.0450000000000002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7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8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8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4"/>
      <c r="D47" s="164"/>
      <c r="E47" s="164"/>
      <c r="F47" s="164"/>
      <c r="G47" s="164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71" t="s">
        <v>237</v>
      </c>
      <c r="C48" s="172"/>
      <c r="D48" s="172"/>
      <c r="E48" s="172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70"/>
      <c r="D49" s="170"/>
      <c r="E49" s="170"/>
      <c r="F49" s="161"/>
      <c r="G49" s="161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15" t="s">
        <v>182</v>
      </c>
      <c r="C50" s="143"/>
      <c r="D50" s="143"/>
      <c r="E50" s="143"/>
      <c r="F50" s="130"/>
      <c r="G50" s="130"/>
      <c r="H50" s="160"/>
      <c r="I50" s="160"/>
      <c r="J50" s="160"/>
      <c r="K50" s="160"/>
      <c r="L50" s="160"/>
      <c r="M50" s="160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210</v>
      </c>
      <c r="B51" s="132" t="s">
        <v>163</v>
      </c>
      <c r="C51" s="143"/>
      <c r="D51" s="143"/>
      <c r="E51" s="143"/>
      <c r="F51" s="130"/>
      <c r="G51" s="130"/>
      <c r="H51" s="160"/>
      <c r="I51" s="160"/>
      <c r="J51" s="160"/>
      <c r="K51" s="160"/>
      <c r="L51" s="160"/>
      <c r="M51" s="160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238</v>
      </c>
      <c r="C52" s="120"/>
      <c r="D52" s="115"/>
      <c r="E52" s="115"/>
      <c r="F52" s="115"/>
      <c r="G52" s="115"/>
      <c r="H52" s="160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70"/>
      <c r="D53" s="170"/>
      <c r="E53" s="170"/>
      <c r="F53" s="170"/>
      <c r="G53" s="115"/>
      <c r="H53" s="115"/>
      <c r="I53" s="115"/>
      <c r="J53" s="115"/>
      <c r="K53" s="115"/>
      <c r="L53" s="115"/>
      <c r="M53" s="115"/>
      <c r="N53" s="163"/>
      <c r="O53" s="163"/>
      <c r="P53" s="163"/>
      <c r="Q53" s="163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32" t="s">
        <v>170</v>
      </c>
      <c r="C54" s="153"/>
      <c r="D54" s="170"/>
      <c r="E54" s="170"/>
      <c r="F54" s="170"/>
      <c r="G54" s="170"/>
      <c r="H54" s="170"/>
      <c r="I54" s="170"/>
      <c r="J54" s="169"/>
      <c r="K54" s="166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70"/>
      <c r="E55" s="153"/>
      <c r="F55" s="153"/>
      <c r="G55" s="153"/>
      <c r="H55" s="153"/>
      <c r="I55" s="153"/>
      <c r="J55" s="169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172</v>
      </c>
      <c r="C56" s="115"/>
      <c r="D56" s="170"/>
      <c r="E56" s="153"/>
      <c r="F56" s="153"/>
      <c r="G56" s="153"/>
      <c r="H56" s="153"/>
      <c r="I56" s="153"/>
      <c r="J56" s="153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53" t="s">
        <v>216</v>
      </c>
      <c r="C57" s="170"/>
      <c r="D57" s="170"/>
      <c r="E57" s="153"/>
      <c r="F57" s="153"/>
      <c r="G57" s="153"/>
      <c r="H57" s="153"/>
      <c r="I57" s="153"/>
      <c r="J57" s="153"/>
      <c r="K57" s="166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174</v>
      </c>
      <c r="C58" s="170"/>
      <c r="D58" s="170"/>
      <c r="E58" s="115"/>
      <c r="F58" s="115"/>
      <c r="G58" s="115"/>
      <c r="H58" s="115"/>
      <c r="I58" s="153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62" t="s">
        <v>195</v>
      </c>
      <c r="C59" s="170"/>
      <c r="D59" s="170"/>
      <c r="E59" s="153"/>
      <c r="F59" s="153"/>
      <c r="G59" s="153"/>
      <c r="H59" s="153"/>
      <c r="I59" s="153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15"/>
      <c r="C60" s="170"/>
      <c r="D60" s="223"/>
      <c r="E60" s="223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15"/>
      <c r="C61" s="153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32"/>
      <c r="C62" s="115"/>
      <c r="D62" s="100"/>
      <c r="E62" s="100"/>
      <c r="F62" s="115"/>
      <c r="G62" s="115"/>
      <c r="H62" s="92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6"/>
      <c r="E63" s="166"/>
      <c r="F63" s="166"/>
      <c r="G63" s="166"/>
      <c r="H63" s="166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53"/>
      <c r="C64" s="115"/>
      <c r="D64" s="100"/>
      <c r="E64" s="100"/>
      <c r="F64" s="115"/>
      <c r="G64" s="115"/>
      <c r="H64" s="92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6"/>
      <c r="E65" s="166"/>
      <c r="F65" s="166"/>
      <c r="G65" s="166"/>
      <c r="H65" s="166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AV65" s="86"/>
      <c r="AW65" s="86"/>
      <c r="AX65" s="86"/>
      <c r="AY65" s="86"/>
      <c r="AZ65" s="86"/>
      <c r="BA65" s="86"/>
      <c r="BB65" s="86"/>
    </row>
    <row r="66" spans="2:54" x14ac:dyDescent="0.35">
      <c r="B66" s="162"/>
      <c r="C66" s="115"/>
      <c r="D66" s="166"/>
      <c r="E66" s="166"/>
      <c r="F66" s="166"/>
      <c r="G66" s="166"/>
      <c r="H66" s="166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6"/>
      <c r="E67" s="166"/>
      <c r="F67" s="166"/>
      <c r="G67" s="166"/>
      <c r="H67" s="166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Q13:Q36 S13:S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3" name="Range1_16_1_1_1_1_1_1_2_2_2_2_2_2_2_2_2_2_2_2_2_2_2_2_2_2_2_2_2_2_2_1_2_2_2_2_2_2_2_2_2_2_3_2_2_2_2_2_2_2_2_2_2_1_1_1_1_2_2_1_1_1_1_1_1_1_1_1_1_1_1_1_1_3"/>
    <protectedRange sqref="B60:B61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R5:W5" name="Range1_16_1_1_1_1_1_1_2_2_2_2_2_2_2_2_2_2_2_2_2_2_2_2_2_2_2_2_2_2_2_1_2_2_2_2_2_2_2_2_2_2_3_2_2_2_2_2_2_2_2_2_2_1_1_1_1_2_2_1_1_1_1_1_1_1_1_1_1_3_1_3_2_1_1_1"/>
    <protectedRange sqref="R4:W4" name="Range1_16_1_1_1_1_1_1_2_2_2_2_2_2_2_2_2_2_2_2_2_2_2_2_2_2_2_2_2_2_2_1_2_2_2_2_2_2_2_2_2_2_3_2_2_2_2_2_2_2_2_2_2_1_1_1_1_2_2_1_1_1_1_1_1_1_1_1_1_1_1_1_1_2_1_2_1"/>
    <protectedRange sqref="B50 B52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4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254" priority="5" operator="containsText" text="N/A">
      <formula>NOT(ISERROR(SEARCH("N/A",Z13)))</formula>
    </cfRule>
    <cfRule type="cellIs" dxfId="253" priority="17" operator="equal">
      <formula>0</formula>
    </cfRule>
  </conditionalFormatting>
  <conditionalFormatting sqref="Z13:AG36">
    <cfRule type="cellIs" dxfId="252" priority="16" operator="greaterThanOrEqual">
      <formula>1185</formula>
    </cfRule>
  </conditionalFormatting>
  <conditionalFormatting sqref="Z13:AG36">
    <cfRule type="cellIs" dxfId="251" priority="15" operator="between">
      <formula>0.1</formula>
      <formula>1184</formula>
    </cfRule>
  </conditionalFormatting>
  <conditionalFormatting sqref="Z8:Z9 AT13:AT36 AL37:AQ37 AL13:AR36">
    <cfRule type="cellIs" dxfId="250" priority="14" operator="equal">
      <formula>0</formula>
    </cfRule>
  </conditionalFormatting>
  <conditionalFormatting sqref="Z8:Z9 AT13:AT36 AL37:AQ37 AL13:AR36">
    <cfRule type="cellIs" dxfId="249" priority="13" operator="greaterThan">
      <formula>1179</formula>
    </cfRule>
  </conditionalFormatting>
  <conditionalFormatting sqref="Z8:Z9 AT13:AT36 AL37:AQ37 AL13:AR36">
    <cfRule type="cellIs" dxfId="248" priority="12" operator="greaterThan">
      <formula>99</formula>
    </cfRule>
  </conditionalFormatting>
  <conditionalFormatting sqref="Z8:Z9 AT13:AT36 AL37:AQ37 AL13:AR36">
    <cfRule type="cellIs" dxfId="247" priority="11" operator="greaterThan">
      <formula>0.99</formula>
    </cfRule>
  </conditionalFormatting>
  <conditionalFormatting sqref="AD8:AD9">
    <cfRule type="cellIs" dxfId="246" priority="10" operator="equal">
      <formula>0</formula>
    </cfRule>
  </conditionalFormatting>
  <conditionalFormatting sqref="AD8:AD9">
    <cfRule type="cellIs" dxfId="245" priority="9" operator="greaterThan">
      <formula>1179</formula>
    </cfRule>
  </conditionalFormatting>
  <conditionalFormatting sqref="AD8:AD9">
    <cfRule type="cellIs" dxfId="244" priority="8" operator="greaterThan">
      <formula>99</formula>
    </cfRule>
  </conditionalFormatting>
  <conditionalFormatting sqref="AD8:AD9">
    <cfRule type="cellIs" dxfId="243" priority="7" operator="greaterThan">
      <formula>0.99</formula>
    </cfRule>
  </conditionalFormatting>
  <conditionalFormatting sqref="AK13:AK36">
    <cfRule type="cellIs" dxfId="242" priority="6" operator="greaterThan">
      <formula>$AK$8</formula>
    </cfRule>
  </conditionalFormatting>
  <conditionalFormatting sqref="AS13:AS36">
    <cfRule type="containsText" dxfId="241" priority="1" operator="containsText" text="N/A">
      <formula>NOT(ISERROR(SEARCH("N/A",AS13)))</formula>
    </cfRule>
    <cfRule type="cellIs" dxfId="240" priority="4" operator="equal">
      <formula>0</formula>
    </cfRule>
  </conditionalFormatting>
  <conditionalFormatting sqref="AS13:AS36">
    <cfRule type="cellIs" dxfId="239" priority="3" operator="greaterThanOrEqual">
      <formula>1185</formula>
    </cfRule>
  </conditionalFormatting>
  <conditionalFormatting sqref="AS13:AS36">
    <cfRule type="cellIs" dxfId="238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000-000000000000}">
      <formula1>$BB$11:$BB$42</formula1>
    </dataValidation>
    <dataValidation type="list" allowBlank="1" showInputMessage="1" showErrorMessage="1" sqref="AY33:AZ33" xr:uid="{00000000-0002-0000-1000-000001000000}">
      <formula1>$AY$26:$AY$30</formula1>
    </dataValidation>
    <dataValidation type="list" allowBlank="1" showInputMessage="1" showErrorMessage="1" sqref="AS8:AT9 P11:P12 N11:N12 D8:E9 Q8:V9" xr:uid="{00000000-0002-0000-1000-000002000000}">
      <formula1>#REF!</formula1>
    </dataValidation>
    <dataValidation type="list" allowBlank="1" showInputMessage="1" showErrorMessage="1" sqref="J13:J36" xr:uid="{00000000-0002-0000-1000-000003000000}">
      <formula1>$AY$11:$AY$21</formula1>
    </dataValidation>
  </dataValidations>
  <hyperlinks>
    <hyperlink ref="J10:J11" location="'1'!AH8" display="Plant Status" xr:uid="{00000000-0004-0000-1000-000000000000}"/>
  </hyperlinks>
  <pageMargins left="0.7" right="0.7" top="0.75" bottom="0.75" header="0.3" footer="0.3"/>
  <pageSetup paperSize="9" orientation="portrait" horizontalDpi="4294967293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>
    <tabColor rgb="FF7030A0"/>
  </sheetPr>
  <dimension ref="A2:BB88"/>
  <sheetViews>
    <sheetView zoomScaleNormal="100" workbookViewId="0">
      <selection activeCell="R5" sqref="R5:W5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47" t="s">
        <v>157</v>
      </c>
      <c r="S3" s="348"/>
      <c r="T3" s="348"/>
      <c r="U3" s="348"/>
      <c r="V3" s="348"/>
      <c r="W3" s="34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47" t="s">
        <v>143</v>
      </c>
      <c r="S4" s="348"/>
      <c r="T4" s="348"/>
      <c r="U4" s="348"/>
      <c r="V4" s="348"/>
      <c r="W4" s="34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47" t="s">
        <v>158</v>
      </c>
      <c r="S5" s="348"/>
      <c r="T5" s="348"/>
      <c r="U5" s="348"/>
      <c r="V5" s="348"/>
      <c r="W5" s="34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50" t="s">
        <v>6</v>
      </c>
      <c r="C6" s="351"/>
      <c r="D6" s="352" t="s">
        <v>7</v>
      </c>
      <c r="E6" s="353"/>
      <c r="F6" s="353"/>
      <c r="G6" s="353"/>
      <c r="H6" s="353"/>
      <c r="I6" s="353"/>
      <c r="J6" s="354"/>
      <c r="K6" s="87"/>
      <c r="L6" s="87"/>
      <c r="M6" s="249"/>
      <c r="N6" s="355">
        <v>41686</v>
      </c>
      <c r="O6" s="356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37" t="s">
        <v>8</v>
      </c>
      <c r="C7" s="338"/>
      <c r="D7" s="337" t="s">
        <v>9</v>
      </c>
      <c r="E7" s="339"/>
      <c r="F7" s="339"/>
      <c r="G7" s="339"/>
      <c r="H7" s="339"/>
      <c r="I7" s="338"/>
      <c r="J7" s="254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4" t="s">
        <v>14</v>
      </c>
      <c r="R7" s="337" t="s">
        <v>15</v>
      </c>
      <c r="S7" s="339"/>
      <c r="T7" s="339"/>
      <c r="U7" s="339"/>
      <c r="V7" s="338"/>
      <c r="W7" s="337" t="s">
        <v>16</v>
      </c>
      <c r="X7" s="338"/>
      <c r="Y7" s="99" t="s">
        <v>17</v>
      </c>
      <c r="Z7" s="337" t="s">
        <v>18</v>
      </c>
      <c r="AA7" s="338"/>
      <c r="AB7" s="337" t="s">
        <v>19</v>
      </c>
      <c r="AC7" s="338"/>
      <c r="AD7" s="337" t="s">
        <v>20</v>
      </c>
      <c r="AE7" s="338"/>
      <c r="AF7" s="337" t="s">
        <v>21</v>
      </c>
      <c r="AG7" s="338"/>
      <c r="AH7" s="99" t="s">
        <v>22</v>
      </c>
      <c r="AI7" s="99" t="s">
        <v>23</v>
      </c>
      <c r="AJ7" s="99" t="s">
        <v>24</v>
      </c>
      <c r="AK7" s="99" t="s">
        <v>25</v>
      </c>
      <c r="AL7" s="337" t="s">
        <v>26</v>
      </c>
      <c r="AM7" s="339"/>
      <c r="AN7" s="339"/>
      <c r="AO7" s="339"/>
      <c r="AP7" s="339"/>
      <c r="AQ7" s="338"/>
      <c r="AR7" s="337" t="s">
        <v>27</v>
      </c>
      <c r="AS7" s="339"/>
      <c r="AT7" s="33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40">
        <v>43238</v>
      </c>
      <c r="C8" s="341"/>
      <c r="D8" s="342" t="s">
        <v>29</v>
      </c>
      <c r="E8" s="343"/>
      <c r="F8" s="343"/>
      <c r="G8" s="343"/>
      <c r="H8" s="343"/>
      <c r="I8" s="344"/>
      <c r="J8" s="28"/>
      <c r="K8" s="342" t="s">
        <v>29</v>
      </c>
      <c r="L8" s="343"/>
      <c r="M8" s="34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42" t="s">
        <v>33</v>
      </c>
      <c r="X8" s="344"/>
      <c r="Y8" s="30" t="s">
        <v>34</v>
      </c>
      <c r="Z8" s="326">
        <v>0</v>
      </c>
      <c r="AA8" s="327"/>
      <c r="AB8" s="345" t="s">
        <v>35</v>
      </c>
      <c r="AC8" s="346"/>
      <c r="AD8" s="326">
        <v>1185</v>
      </c>
      <c r="AE8" s="327"/>
      <c r="AF8" s="328">
        <v>800</v>
      </c>
      <c r="AG8" s="329"/>
      <c r="AH8" s="28"/>
      <c r="AI8" s="30">
        <f>AI36-AI11</f>
        <v>27652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55"/>
      <c r="C9" s="256"/>
      <c r="D9" s="257"/>
      <c r="E9" s="258"/>
      <c r="F9" s="258"/>
      <c r="G9" s="258"/>
      <c r="H9" s="258"/>
      <c r="I9" s="259"/>
      <c r="J9" s="121"/>
      <c r="K9" s="257"/>
      <c r="L9" s="258"/>
      <c r="M9" s="259"/>
      <c r="N9" s="29"/>
      <c r="O9" s="29"/>
      <c r="P9" s="29"/>
      <c r="Q9" s="121"/>
      <c r="R9" s="121"/>
      <c r="S9" s="121"/>
      <c r="T9" s="122"/>
      <c r="U9" s="123"/>
      <c r="V9" s="124"/>
      <c r="W9" s="257"/>
      <c r="X9" s="259"/>
      <c r="Y9" s="30"/>
      <c r="Z9" s="252"/>
      <c r="AA9" s="125"/>
      <c r="AB9" s="126"/>
      <c r="AC9" s="126"/>
      <c r="AD9" s="125"/>
      <c r="AE9" s="125"/>
      <c r="AF9" s="127"/>
      <c r="AG9" s="253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30" t="s">
        <v>39</v>
      </c>
      <c r="C10" s="331"/>
      <c r="D10" s="330" t="s">
        <v>40</v>
      </c>
      <c r="E10" s="332"/>
      <c r="F10" s="331"/>
      <c r="G10" s="330" t="s">
        <v>41</v>
      </c>
      <c r="H10" s="332"/>
      <c r="I10" s="331"/>
      <c r="J10" s="333" t="s">
        <v>42</v>
      </c>
      <c r="K10" s="330" t="s">
        <v>43</v>
      </c>
      <c r="L10" s="332"/>
      <c r="M10" s="331"/>
      <c r="N10" s="99" t="s">
        <v>44</v>
      </c>
      <c r="O10" s="335" t="s">
        <v>45</v>
      </c>
      <c r="P10" s="33" t="s">
        <v>46</v>
      </c>
      <c r="Q10" s="324" t="s">
        <v>47</v>
      </c>
      <c r="R10" s="324" t="s">
        <v>48</v>
      </c>
      <c r="S10" s="34" t="s">
        <v>49</v>
      </c>
      <c r="T10" s="312" t="s">
        <v>50</v>
      </c>
      <c r="U10" s="313"/>
      <c r="V10" s="314"/>
      <c r="W10" s="250" t="s">
        <v>51</v>
      </c>
      <c r="X10" s="250" t="s">
        <v>52</v>
      </c>
      <c r="Y10" s="318" t="s">
        <v>53</v>
      </c>
      <c r="Z10" s="319" t="s">
        <v>54</v>
      </c>
      <c r="AA10" s="320"/>
      <c r="AB10" s="320"/>
      <c r="AC10" s="320"/>
      <c r="AD10" s="320"/>
      <c r="AE10" s="320"/>
      <c r="AF10" s="320"/>
      <c r="AG10" s="321"/>
      <c r="AH10" s="248" t="s">
        <v>55</v>
      </c>
      <c r="AI10" s="248" t="s">
        <v>56</v>
      </c>
      <c r="AJ10" s="307" t="s">
        <v>57</v>
      </c>
      <c r="AK10" s="322" t="s">
        <v>58</v>
      </c>
      <c r="AL10" s="250" t="s">
        <v>59</v>
      </c>
      <c r="AM10" s="250" t="s">
        <v>60</v>
      </c>
      <c r="AN10" s="250" t="s">
        <v>61</v>
      </c>
      <c r="AO10" s="250" t="s">
        <v>62</v>
      </c>
      <c r="AP10" s="250" t="s">
        <v>63</v>
      </c>
      <c r="AQ10" s="250" t="s">
        <v>123</v>
      </c>
      <c r="AR10" s="250" t="s">
        <v>64</v>
      </c>
      <c r="AS10" s="250" t="s">
        <v>65</v>
      </c>
      <c r="AT10" s="324" t="s">
        <v>66</v>
      </c>
      <c r="AU10" s="250" t="s">
        <v>67</v>
      </c>
      <c r="AV10" s="30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0" t="s">
        <v>72</v>
      </c>
      <c r="C11" s="250" t="s">
        <v>73</v>
      </c>
      <c r="D11" s="250" t="s">
        <v>74</v>
      </c>
      <c r="E11" s="250" t="s">
        <v>75</v>
      </c>
      <c r="F11" s="250" t="s">
        <v>126</v>
      </c>
      <c r="G11" s="250" t="s">
        <v>74</v>
      </c>
      <c r="H11" s="250" t="s">
        <v>75</v>
      </c>
      <c r="I11" s="250" t="s">
        <v>126</v>
      </c>
      <c r="J11" s="334"/>
      <c r="K11" s="250" t="s">
        <v>75</v>
      </c>
      <c r="L11" s="250" t="s">
        <v>75</v>
      </c>
      <c r="M11" s="250" t="s">
        <v>75</v>
      </c>
      <c r="N11" s="28" t="s">
        <v>29</v>
      </c>
      <c r="O11" s="336"/>
      <c r="P11" s="28" t="s">
        <v>29</v>
      </c>
      <c r="Q11" s="325"/>
      <c r="R11" s="325"/>
      <c r="S11" s="1">
        <f>'MAY 17'!S36</f>
        <v>94804705</v>
      </c>
      <c r="T11" s="315"/>
      <c r="U11" s="316"/>
      <c r="V11" s="317"/>
      <c r="W11" s="250" t="s">
        <v>75</v>
      </c>
      <c r="X11" s="250" t="s">
        <v>75</v>
      </c>
      <c r="Y11" s="31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'MAY 17'!AI36</f>
        <v>15822195</v>
      </c>
      <c r="AJ11" s="307"/>
      <c r="AK11" s="323"/>
      <c r="AL11" s="250" t="s">
        <v>84</v>
      </c>
      <c r="AM11" s="250" t="s">
        <v>84</v>
      </c>
      <c r="AN11" s="250" t="s">
        <v>84</v>
      </c>
      <c r="AO11" s="250" t="s">
        <v>84</v>
      </c>
      <c r="AP11" s="250" t="s">
        <v>84</v>
      </c>
      <c r="AQ11" s="250" t="s">
        <v>84</v>
      </c>
      <c r="AR11" s="250" t="s">
        <v>84</v>
      </c>
      <c r="AS11" s="1"/>
      <c r="AT11" s="325"/>
      <c r="AU11" s="251" t="s">
        <v>85</v>
      </c>
      <c r="AV11" s="307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283</v>
      </c>
      <c r="B12" s="305" t="s">
        <v>284</v>
      </c>
      <c r="C12" s="305" t="s">
        <v>285</v>
      </c>
      <c r="D12" s="305" t="s">
        <v>286</v>
      </c>
      <c r="E12" s="305" t="s">
        <v>287</v>
      </c>
      <c r="F12" s="305" t="s">
        <v>288</v>
      </c>
      <c r="G12" s="305" t="s">
        <v>289</v>
      </c>
      <c r="H12" s="305" t="s">
        <v>290</v>
      </c>
      <c r="I12" s="305" t="s">
        <v>291</v>
      </c>
      <c r="J12" s="297" t="s">
        <v>292</v>
      </c>
      <c r="K12" s="305" t="s">
        <v>293</v>
      </c>
      <c r="L12" s="305" t="s">
        <v>294</v>
      </c>
      <c r="M12" s="305" t="s">
        <v>295</v>
      </c>
      <c r="N12" s="28" t="s">
        <v>296</v>
      </c>
      <c r="O12" s="298" t="s">
        <v>297</v>
      </c>
      <c r="P12" s="28" t="s">
        <v>298</v>
      </c>
      <c r="Q12" s="300" t="s">
        <v>299</v>
      </c>
      <c r="R12" s="300" t="s">
        <v>300</v>
      </c>
      <c r="S12" s="1" t="s">
        <v>301</v>
      </c>
      <c r="T12" s="302" t="s">
        <v>302</v>
      </c>
      <c r="U12" s="303" t="s">
        <v>303</v>
      </c>
      <c r="V12" s="304" t="s">
        <v>304</v>
      </c>
      <c r="W12" s="305" t="s">
        <v>305</v>
      </c>
      <c r="X12" s="305" t="s">
        <v>306</v>
      </c>
      <c r="Y12" s="305" t="s">
        <v>307</v>
      </c>
      <c r="Z12" s="37" t="s">
        <v>308</v>
      </c>
      <c r="AA12" s="37" t="s">
        <v>309</v>
      </c>
      <c r="AB12" s="37" t="s">
        <v>310</v>
      </c>
      <c r="AC12" s="37" t="s">
        <v>311</v>
      </c>
      <c r="AD12" s="37" t="s">
        <v>312</v>
      </c>
      <c r="AE12" s="37" t="s">
        <v>313</v>
      </c>
      <c r="AF12" s="37" t="s">
        <v>314</v>
      </c>
      <c r="AG12" s="37" t="s">
        <v>315</v>
      </c>
      <c r="AH12" s="38" t="s">
        <v>316</v>
      </c>
      <c r="AI12" s="1" t="s">
        <v>317</v>
      </c>
      <c r="AJ12" s="301" t="s">
        <v>318</v>
      </c>
      <c r="AK12" s="306" t="s">
        <v>319</v>
      </c>
      <c r="AL12" s="305" t="s">
        <v>320</v>
      </c>
      <c r="AM12" s="305" t="s">
        <v>321</v>
      </c>
      <c r="AN12" s="305" t="s">
        <v>322</v>
      </c>
      <c r="AO12" s="305" t="s">
        <v>323</v>
      </c>
      <c r="AP12" s="305" t="s">
        <v>324</v>
      </c>
      <c r="AQ12" s="305" t="s">
        <v>325</v>
      </c>
      <c r="AR12" s="305" t="s">
        <v>326</v>
      </c>
      <c r="AS12" s="1" t="s">
        <v>327</v>
      </c>
      <c r="AT12" s="300" t="s">
        <v>328</v>
      </c>
      <c r="AU12" s="299" t="s">
        <v>329</v>
      </c>
      <c r="AV12" s="301"/>
      <c r="AY12" s="39"/>
      <c r="AZ12" s="39"/>
      <c r="BB12" s="136"/>
    </row>
    <row r="13" spans="1:54" x14ac:dyDescent="0.35">
      <c r="A13" s="357">
        <v>43238</v>
      </c>
      <c r="B13" s="40">
        <v>2</v>
      </c>
      <c r="C13" s="40">
        <v>4.1666666666666664E-2</v>
      </c>
      <c r="D13" s="156">
        <v>3</v>
      </c>
      <c r="E13" s="154">
        <f>D13/1.42</f>
        <v>2.1126760563380285</v>
      </c>
      <c r="F13" s="154">
        <v>1</v>
      </c>
      <c r="G13" s="118">
        <v>70</v>
      </c>
      <c r="H13" s="154">
        <f t="shared" ref="H13:H36" si="0">G13/1.42</f>
        <v>49.295774647887328</v>
      </c>
      <c r="I13" s="154">
        <v>69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7">
        <v>142</v>
      </c>
      <c r="R13" s="157"/>
      <c r="S13" s="157">
        <v>94808809</v>
      </c>
      <c r="T13" s="45">
        <f>IF(ISBLANK(S13),"-",S13-S11)</f>
        <v>4104</v>
      </c>
      <c r="U13" s="46">
        <f>T13*24/1000</f>
        <v>98.495999999999995</v>
      </c>
      <c r="V13" s="46">
        <f>T13/1000</f>
        <v>4.1040000000000001</v>
      </c>
      <c r="W13" s="96">
        <v>3.8</v>
      </c>
      <c r="X13" s="96">
        <f t="shared" ref="X13:X36" si="1">W13</f>
        <v>3.8</v>
      </c>
      <c r="Y13" s="97" t="s">
        <v>138</v>
      </c>
      <c r="Z13" s="158">
        <v>0</v>
      </c>
      <c r="AA13" s="158">
        <v>0</v>
      </c>
      <c r="AB13" s="158">
        <v>0</v>
      </c>
      <c r="AC13" s="158">
        <v>1185</v>
      </c>
      <c r="AD13" s="158">
        <v>1187</v>
      </c>
      <c r="AE13" s="158">
        <v>1185</v>
      </c>
      <c r="AF13" s="47" t="s">
        <v>90</v>
      </c>
      <c r="AG13" s="47" t="s">
        <v>90</v>
      </c>
      <c r="AH13" s="98" t="s">
        <v>90</v>
      </c>
      <c r="AI13" s="103">
        <v>15823349</v>
      </c>
      <c r="AJ13" s="45">
        <f>IF(ISBLANK(AI13),"-",AI13-AI11)</f>
        <v>1154</v>
      </c>
      <c r="AK13" s="48">
        <f>AJ13/V13</f>
        <v>281.18908382066274</v>
      </c>
      <c r="AL13" s="155">
        <v>0</v>
      </c>
      <c r="AM13" s="155">
        <v>0</v>
      </c>
      <c r="AN13" s="155">
        <v>0</v>
      </c>
      <c r="AO13" s="155">
        <v>1</v>
      </c>
      <c r="AP13" s="155">
        <v>1</v>
      </c>
      <c r="AQ13" s="155">
        <v>1</v>
      </c>
      <c r="AR13" s="155">
        <v>0.8</v>
      </c>
      <c r="AS13" s="158"/>
      <c r="AT13" s="158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357">
        <v>43238</v>
      </c>
      <c r="B14" s="40">
        <v>2.0416666666666701</v>
      </c>
      <c r="C14" s="40">
        <v>8.3333333333333329E-2</v>
      </c>
      <c r="D14" s="156">
        <v>3</v>
      </c>
      <c r="E14" s="154">
        <f t="shared" ref="E14:E36" si="2">D14/1.42</f>
        <v>2.1126760563380285</v>
      </c>
      <c r="F14" s="154">
        <v>3</v>
      </c>
      <c r="G14" s="118">
        <v>73</v>
      </c>
      <c r="H14" s="154">
        <f t="shared" si="0"/>
        <v>51.408450704225352</v>
      </c>
      <c r="I14" s="154">
        <v>72</v>
      </c>
      <c r="J14" s="41" t="s">
        <v>88</v>
      </c>
      <c r="K14" s="41">
        <f t="shared" ref="K14:K36" si="3">L14-(2/1.42)</f>
        <v>46.478873239436624</v>
      </c>
      <c r="L14" s="42">
        <f>(G14-5)/1.42</f>
        <v>47.887323943661976</v>
      </c>
      <c r="M14" s="41">
        <f>L14+(6/1.42)</f>
        <v>52.112676056338032</v>
      </c>
      <c r="N14" s="43">
        <v>14</v>
      </c>
      <c r="O14" s="44" t="s">
        <v>89</v>
      </c>
      <c r="P14" s="44">
        <v>11.2</v>
      </c>
      <c r="Q14" s="157">
        <v>140</v>
      </c>
      <c r="R14" s="157"/>
      <c r="S14" s="157">
        <v>94812849</v>
      </c>
      <c r="T14" s="45">
        <f t="shared" ref="T14:T36" si="4">IF(ISBLANK(S14),"-",S14-S13)</f>
        <v>4040</v>
      </c>
      <c r="U14" s="46">
        <f t="shared" ref="U14:U37" si="5">T14*24/1000</f>
        <v>96.96</v>
      </c>
      <c r="V14" s="46">
        <f t="shared" ref="V14:V37" si="6">T14/1000</f>
        <v>4.04</v>
      </c>
      <c r="W14" s="96">
        <v>5.5</v>
      </c>
      <c r="X14" s="96">
        <f t="shared" si="1"/>
        <v>5.5</v>
      </c>
      <c r="Y14" s="97" t="s">
        <v>138</v>
      </c>
      <c r="Z14" s="158">
        <v>0</v>
      </c>
      <c r="AA14" s="158">
        <v>0</v>
      </c>
      <c r="AB14" s="158">
        <v>0</v>
      </c>
      <c r="AC14" s="158">
        <v>1185</v>
      </c>
      <c r="AD14" s="158">
        <v>1187</v>
      </c>
      <c r="AE14" s="158">
        <v>1185</v>
      </c>
      <c r="AF14" s="47" t="s">
        <v>90</v>
      </c>
      <c r="AG14" s="47" t="s">
        <v>90</v>
      </c>
      <c r="AH14" s="98" t="s">
        <v>90</v>
      </c>
      <c r="AI14" s="103">
        <v>15824466</v>
      </c>
      <c r="AJ14" s="45">
        <f t="shared" ref="AJ14:AJ36" si="7">IF(ISBLANK(AI14),"-",AI14-AI13)</f>
        <v>1117</v>
      </c>
      <c r="AK14" s="48">
        <f t="shared" ref="AK14:AK36" si="8">AJ14/V14</f>
        <v>276.48514851485146</v>
      </c>
      <c r="AL14" s="155">
        <v>0</v>
      </c>
      <c r="AM14" s="155">
        <v>0</v>
      </c>
      <c r="AN14" s="155">
        <v>0</v>
      </c>
      <c r="AO14" s="155">
        <v>1</v>
      </c>
      <c r="AP14" s="155">
        <v>1</v>
      </c>
      <c r="AQ14" s="155">
        <v>1</v>
      </c>
      <c r="AR14" s="155">
        <v>0.8</v>
      </c>
      <c r="AS14" s="158"/>
      <c r="AT14" s="158">
        <f t="shared" ref="AT14:AT35" si="9">AS14-AS13</f>
        <v>0</v>
      </c>
      <c r="AU14" s="119">
        <v>1.04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57">
        <v>43238</v>
      </c>
      <c r="B15" s="40">
        <v>2.0833333333333299</v>
      </c>
      <c r="C15" s="40">
        <v>0.125</v>
      </c>
      <c r="D15" s="156">
        <v>3</v>
      </c>
      <c r="E15" s="154">
        <f t="shared" si="2"/>
        <v>2.1126760563380285</v>
      </c>
      <c r="F15" s="154">
        <v>5</v>
      </c>
      <c r="G15" s="118">
        <v>71</v>
      </c>
      <c r="H15" s="154">
        <f t="shared" si="0"/>
        <v>50</v>
      </c>
      <c r="I15" s="154">
        <v>70</v>
      </c>
      <c r="J15" s="41" t="s">
        <v>88</v>
      </c>
      <c r="K15" s="41">
        <f t="shared" si="3"/>
        <v>45.070422535211272</v>
      </c>
      <c r="L15" s="42">
        <f>(G15-5)/1.42</f>
        <v>46.478873239436624</v>
      </c>
      <c r="M15" s="41">
        <f>L15+(6/1.42)</f>
        <v>50.70422535211268</v>
      </c>
      <c r="N15" s="43">
        <v>14</v>
      </c>
      <c r="O15" s="44" t="s">
        <v>89</v>
      </c>
      <c r="P15" s="44">
        <v>11.2</v>
      </c>
      <c r="Q15" s="157">
        <v>138</v>
      </c>
      <c r="R15" s="157"/>
      <c r="S15" s="157">
        <v>94816859</v>
      </c>
      <c r="T15" s="45">
        <f>IF(ISBLANK(S15),"-",S15-S14)</f>
        <v>4010</v>
      </c>
      <c r="U15" s="46">
        <f t="shared" si="5"/>
        <v>96.24</v>
      </c>
      <c r="V15" s="46">
        <f t="shared" si="6"/>
        <v>4.01</v>
      </c>
      <c r="W15" s="96">
        <v>6.4</v>
      </c>
      <c r="X15" s="96">
        <f t="shared" si="1"/>
        <v>6.4</v>
      </c>
      <c r="Y15" s="97" t="s">
        <v>138</v>
      </c>
      <c r="Z15" s="158">
        <v>0</v>
      </c>
      <c r="AA15" s="158">
        <v>0</v>
      </c>
      <c r="AB15" s="158">
        <v>0</v>
      </c>
      <c r="AC15" s="158">
        <v>1185</v>
      </c>
      <c r="AD15" s="158">
        <v>1187</v>
      </c>
      <c r="AE15" s="158">
        <v>1185</v>
      </c>
      <c r="AF15" s="47" t="s">
        <v>90</v>
      </c>
      <c r="AG15" s="47" t="s">
        <v>90</v>
      </c>
      <c r="AH15" s="98" t="s">
        <v>90</v>
      </c>
      <c r="AI15" s="103">
        <v>15825571</v>
      </c>
      <c r="AJ15" s="45">
        <f t="shared" si="7"/>
        <v>1105</v>
      </c>
      <c r="AK15" s="48">
        <f t="shared" si="8"/>
        <v>275.56109725685786</v>
      </c>
      <c r="AL15" s="155">
        <v>0</v>
      </c>
      <c r="AM15" s="155">
        <v>0</v>
      </c>
      <c r="AN15" s="155">
        <v>0</v>
      </c>
      <c r="AO15" s="155">
        <v>1</v>
      </c>
      <c r="AP15" s="155">
        <v>1</v>
      </c>
      <c r="AQ15" s="155">
        <v>1</v>
      </c>
      <c r="AR15" s="155">
        <v>0.8</v>
      </c>
      <c r="AS15" s="158"/>
      <c r="AT15" s="158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357">
        <v>43238</v>
      </c>
      <c r="B16" s="40">
        <v>2.125</v>
      </c>
      <c r="C16" s="40">
        <v>0.16666666666666699</v>
      </c>
      <c r="D16" s="156">
        <v>3</v>
      </c>
      <c r="E16" s="154">
        <f t="shared" si="2"/>
        <v>2.1126760563380285</v>
      </c>
      <c r="F16" s="154">
        <v>7</v>
      </c>
      <c r="G16" s="118">
        <v>70</v>
      </c>
      <c r="H16" s="154">
        <f t="shared" si="0"/>
        <v>49.295774647887328</v>
      </c>
      <c r="I16" s="154">
        <v>70</v>
      </c>
      <c r="J16" s="41" t="s">
        <v>88</v>
      </c>
      <c r="K16" s="41">
        <f t="shared" si="3"/>
        <v>44.366197183098592</v>
      </c>
      <c r="L16" s="42">
        <f>(G16-5)/1.42</f>
        <v>45.774647887323944</v>
      </c>
      <c r="M16" s="41">
        <f>L16+(6/1.42)</f>
        <v>50</v>
      </c>
      <c r="N16" s="43">
        <v>14</v>
      </c>
      <c r="O16" s="44" t="s">
        <v>89</v>
      </c>
      <c r="P16" s="44">
        <v>12.8</v>
      </c>
      <c r="Q16" s="157">
        <v>144</v>
      </c>
      <c r="R16" s="157"/>
      <c r="S16" s="157">
        <v>94820896</v>
      </c>
      <c r="T16" s="45">
        <f t="shared" si="4"/>
        <v>4037</v>
      </c>
      <c r="U16" s="46">
        <f t="shared" si="5"/>
        <v>96.888000000000005</v>
      </c>
      <c r="V16" s="46">
        <f t="shared" si="6"/>
        <v>4.0369999999999999</v>
      </c>
      <c r="W16" s="96">
        <v>8.1</v>
      </c>
      <c r="X16" s="96">
        <f t="shared" si="1"/>
        <v>8.1</v>
      </c>
      <c r="Y16" s="97" t="s">
        <v>138</v>
      </c>
      <c r="Z16" s="158">
        <v>0</v>
      </c>
      <c r="AA16" s="158">
        <v>0</v>
      </c>
      <c r="AB16" s="158">
        <v>0</v>
      </c>
      <c r="AC16" s="158">
        <v>1185</v>
      </c>
      <c r="AD16" s="158">
        <v>1187</v>
      </c>
      <c r="AE16" s="158">
        <v>1185</v>
      </c>
      <c r="AF16" s="47" t="s">
        <v>90</v>
      </c>
      <c r="AG16" s="47" t="s">
        <v>90</v>
      </c>
      <c r="AH16" s="98" t="s">
        <v>90</v>
      </c>
      <c r="AI16" s="103">
        <v>15826674</v>
      </c>
      <c r="AJ16" s="45">
        <f t="shared" si="7"/>
        <v>1103</v>
      </c>
      <c r="AK16" s="48">
        <f t="shared" si="8"/>
        <v>273.22269011642311</v>
      </c>
      <c r="AL16" s="155">
        <v>0</v>
      </c>
      <c r="AM16" s="155">
        <v>0</v>
      </c>
      <c r="AN16" s="155">
        <v>0</v>
      </c>
      <c r="AO16" s="155">
        <v>1</v>
      </c>
      <c r="AP16" s="155">
        <v>1</v>
      </c>
      <c r="AQ16" s="155">
        <v>1</v>
      </c>
      <c r="AR16" s="155">
        <v>0.8</v>
      </c>
      <c r="AS16" s="158"/>
      <c r="AT16" s="158">
        <f t="shared" si="9"/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357">
        <v>43238</v>
      </c>
      <c r="B17" s="40">
        <v>2.1666666666666701</v>
      </c>
      <c r="C17" s="40">
        <v>0.20833333333333301</v>
      </c>
      <c r="D17" s="156">
        <v>3</v>
      </c>
      <c r="E17" s="154">
        <f t="shared" si="2"/>
        <v>2.1126760563380285</v>
      </c>
      <c r="F17" s="154">
        <v>8</v>
      </c>
      <c r="G17" s="118">
        <v>81</v>
      </c>
      <c r="H17" s="154">
        <f t="shared" si="0"/>
        <v>57.04225352112676</v>
      </c>
      <c r="I17" s="154">
        <v>80</v>
      </c>
      <c r="J17" s="41" t="s">
        <v>88</v>
      </c>
      <c r="K17" s="41">
        <f t="shared" si="3"/>
        <v>52.112676056338032</v>
      </c>
      <c r="L17" s="42">
        <f>(G17-5)/1.42</f>
        <v>53.521126760563384</v>
      </c>
      <c r="M17" s="41">
        <f>L17+(6/1.42)</f>
        <v>57.74647887323944</v>
      </c>
      <c r="N17" s="43">
        <v>18</v>
      </c>
      <c r="O17" s="44" t="s">
        <v>89</v>
      </c>
      <c r="P17" s="44">
        <v>13.1</v>
      </c>
      <c r="Q17" s="157">
        <v>128</v>
      </c>
      <c r="R17" s="157"/>
      <c r="S17" s="157">
        <v>94825197</v>
      </c>
      <c r="T17" s="45">
        <f t="shared" si="4"/>
        <v>4301</v>
      </c>
      <c r="U17" s="46">
        <f t="shared" si="5"/>
        <v>103.224</v>
      </c>
      <c r="V17" s="46">
        <f t="shared" si="6"/>
        <v>4.3010000000000002</v>
      </c>
      <c r="W17" s="96">
        <v>9.5</v>
      </c>
      <c r="X17" s="96">
        <f t="shared" si="1"/>
        <v>9.5</v>
      </c>
      <c r="Y17" s="97" t="s">
        <v>138</v>
      </c>
      <c r="Z17" s="158">
        <v>0</v>
      </c>
      <c r="AA17" s="158">
        <v>0</v>
      </c>
      <c r="AB17" s="158">
        <v>0</v>
      </c>
      <c r="AC17" s="158">
        <v>1185</v>
      </c>
      <c r="AD17" s="158">
        <v>1187</v>
      </c>
      <c r="AE17" s="158">
        <v>1185</v>
      </c>
      <c r="AF17" s="47" t="s">
        <v>90</v>
      </c>
      <c r="AG17" s="47" t="s">
        <v>90</v>
      </c>
      <c r="AH17" s="98" t="s">
        <v>90</v>
      </c>
      <c r="AI17" s="103">
        <v>15827780</v>
      </c>
      <c r="AJ17" s="45">
        <f t="shared" si="7"/>
        <v>1106</v>
      </c>
      <c r="AK17" s="48">
        <f t="shared" si="8"/>
        <v>257.149500116252</v>
      </c>
      <c r="AL17" s="155">
        <v>0</v>
      </c>
      <c r="AM17" s="155">
        <v>0</v>
      </c>
      <c r="AN17" s="155">
        <v>0</v>
      </c>
      <c r="AO17" s="155">
        <v>1</v>
      </c>
      <c r="AP17" s="155">
        <v>1</v>
      </c>
      <c r="AQ17" s="155">
        <v>1</v>
      </c>
      <c r="AR17" s="155">
        <v>0</v>
      </c>
      <c r="AS17" s="158"/>
      <c r="AT17" s="158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57">
        <v>43238</v>
      </c>
      <c r="B18" s="40">
        <v>2.2083333333333299</v>
      </c>
      <c r="C18" s="40">
        <v>0.25</v>
      </c>
      <c r="D18" s="156">
        <v>4</v>
      </c>
      <c r="E18" s="154">
        <f t="shared" si="2"/>
        <v>2.8169014084507045</v>
      </c>
      <c r="F18" s="154">
        <v>8</v>
      </c>
      <c r="G18" s="118">
        <v>76</v>
      </c>
      <c r="H18" s="154">
        <f t="shared" si="0"/>
        <v>53.521126760563384</v>
      </c>
      <c r="I18" s="154">
        <v>80</v>
      </c>
      <c r="J18" s="41" t="s">
        <v>88</v>
      </c>
      <c r="K18" s="41">
        <f t="shared" si="3"/>
        <v>52.112676056338032</v>
      </c>
      <c r="L18" s="42">
        <f t="shared" ref="L18:L27" si="10">G18/1.42</f>
        <v>53.521126760563384</v>
      </c>
      <c r="M18" s="41">
        <f>L18+1.42</f>
        <v>54.941126760563385</v>
      </c>
      <c r="N18" s="43">
        <v>19</v>
      </c>
      <c r="O18" s="44" t="s">
        <v>100</v>
      </c>
      <c r="P18" s="44">
        <v>13.1</v>
      </c>
      <c r="Q18" s="157">
        <v>140</v>
      </c>
      <c r="R18" s="157"/>
      <c r="S18" s="157">
        <v>94830038</v>
      </c>
      <c r="T18" s="45">
        <f t="shared" si="4"/>
        <v>4841</v>
      </c>
      <c r="U18" s="46">
        <f t="shared" si="5"/>
        <v>116.184</v>
      </c>
      <c r="V18" s="46">
        <f t="shared" si="6"/>
        <v>4.8410000000000002</v>
      </c>
      <c r="W18" s="96">
        <v>9.5</v>
      </c>
      <c r="X18" s="96">
        <f t="shared" si="1"/>
        <v>9.5</v>
      </c>
      <c r="Y18" s="97" t="s">
        <v>138</v>
      </c>
      <c r="Z18" s="158">
        <v>0</v>
      </c>
      <c r="AA18" s="158">
        <v>0</v>
      </c>
      <c r="AB18" s="158">
        <v>0</v>
      </c>
      <c r="AC18" s="158">
        <v>1185</v>
      </c>
      <c r="AD18" s="158">
        <v>1188</v>
      </c>
      <c r="AE18" s="158">
        <v>1185</v>
      </c>
      <c r="AF18" s="47" t="s">
        <v>90</v>
      </c>
      <c r="AG18" s="47" t="s">
        <v>90</v>
      </c>
      <c r="AH18" s="98" t="s">
        <v>90</v>
      </c>
      <c r="AI18" s="103">
        <v>15828878</v>
      </c>
      <c r="AJ18" s="45">
        <f t="shared" si="7"/>
        <v>1098</v>
      </c>
      <c r="AK18" s="48">
        <f t="shared" si="8"/>
        <v>226.81264201611236</v>
      </c>
      <c r="AL18" s="155">
        <v>0</v>
      </c>
      <c r="AM18" s="155">
        <v>0</v>
      </c>
      <c r="AN18" s="155">
        <v>0</v>
      </c>
      <c r="AO18" s="155">
        <v>1</v>
      </c>
      <c r="AP18" s="155">
        <v>1</v>
      </c>
      <c r="AQ18" s="155">
        <v>1</v>
      </c>
      <c r="AR18" s="155">
        <v>0</v>
      </c>
      <c r="AS18" s="158"/>
      <c r="AT18" s="158">
        <f t="shared" si="9"/>
        <v>0</v>
      </c>
      <c r="AU18" s="119">
        <v>1.08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57">
        <v>43238</v>
      </c>
      <c r="B19" s="40">
        <v>2.25</v>
      </c>
      <c r="C19" s="40">
        <v>0.29166666666666669</v>
      </c>
      <c r="D19" s="156">
        <v>4</v>
      </c>
      <c r="E19" s="154">
        <f t="shared" si="2"/>
        <v>2.8169014084507045</v>
      </c>
      <c r="F19" s="154">
        <v>8</v>
      </c>
      <c r="G19" s="118">
        <v>79</v>
      </c>
      <c r="H19" s="154">
        <f t="shared" si="0"/>
        <v>55.633802816901408</v>
      </c>
      <c r="I19" s="154">
        <v>80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7">
        <v>132</v>
      </c>
      <c r="R19" s="157"/>
      <c r="S19" s="157">
        <v>94835140</v>
      </c>
      <c r="T19" s="45">
        <f t="shared" si="4"/>
        <v>5102</v>
      </c>
      <c r="U19" s="46">
        <f t="shared" si="5"/>
        <v>122.44799999999999</v>
      </c>
      <c r="V19" s="46">
        <f t="shared" si="6"/>
        <v>5.1020000000000003</v>
      </c>
      <c r="W19" s="96">
        <v>9.1999999999999993</v>
      </c>
      <c r="X19" s="96">
        <f t="shared" si="1"/>
        <v>9.1999999999999993</v>
      </c>
      <c r="Y19" s="97" t="s">
        <v>169</v>
      </c>
      <c r="Z19" s="158">
        <v>0</v>
      </c>
      <c r="AA19" s="158">
        <v>1027</v>
      </c>
      <c r="AB19" s="158">
        <v>0</v>
      </c>
      <c r="AC19" s="158">
        <v>1185</v>
      </c>
      <c r="AD19" s="158">
        <v>1187</v>
      </c>
      <c r="AE19" s="158">
        <v>1185</v>
      </c>
      <c r="AF19" s="47" t="s">
        <v>90</v>
      </c>
      <c r="AG19" s="47" t="s">
        <v>90</v>
      </c>
      <c r="AH19" s="98" t="s">
        <v>90</v>
      </c>
      <c r="AI19" s="103">
        <v>15830110</v>
      </c>
      <c r="AJ19" s="45">
        <f t="shared" si="7"/>
        <v>1232</v>
      </c>
      <c r="AK19" s="48">
        <f t="shared" si="8"/>
        <v>241.47393179145431</v>
      </c>
      <c r="AL19" s="155">
        <v>0</v>
      </c>
      <c r="AM19" s="155">
        <v>1</v>
      </c>
      <c r="AN19" s="155">
        <v>0</v>
      </c>
      <c r="AO19" s="155">
        <v>1</v>
      </c>
      <c r="AP19" s="155">
        <v>1</v>
      </c>
      <c r="AQ19" s="155">
        <v>1</v>
      </c>
      <c r="AR19" s="155">
        <v>0</v>
      </c>
      <c r="AS19" s="158"/>
      <c r="AT19" s="158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57">
        <v>43238</v>
      </c>
      <c r="B20" s="40">
        <v>2.2916666666666701</v>
      </c>
      <c r="C20" s="40">
        <v>0.33333333333333298</v>
      </c>
      <c r="D20" s="156">
        <v>4</v>
      </c>
      <c r="E20" s="154">
        <f t="shared" si="2"/>
        <v>2.8169014084507045</v>
      </c>
      <c r="F20" s="154">
        <v>7</v>
      </c>
      <c r="G20" s="118">
        <v>77</v>
      </c>
      <c r="H20" s="154">
        <f t="shared" si="0"/>
        <v>54.225352112676056</v>
      </c>
      <c r="I20" s="154">
        <v>78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7">
        <v>130</v>
      </c>
      <c r="R20" s="157"/>
      <c r="S20" s="157">
        <v>94839970</v>
      </c>
      <c r="T20" s="45">
        <f t="shared" si="4"/>
        <v>4830</v>
      </c>
      <c r="U20" s="46">
        <f>T20*24/1000</f>
        <v>115.92</v>
      </c>
      <c r="V20" s="46">
        <f t="shared" si="6"/>
        <v>4.83</v>
      </c>
      <c r="W20" s="96">
        <v>8.5</v>
      </c>
      <c r="X20" s="96">
        <f t="shared" si="1"/>
        <v>8.5</v>
      </c>
      <c r="Y20" s="97" t="s">
        <v>169</v>
      </c>
      <c r="Z20" s="158">
        <v>0</v>
      </c>
      <c r="AA20" s="158">
        <v>1027</v>
      </c>
      <c r="AB20" s="158">
        <v>0</v>
      </c>
      <c r="AC20" s="158">
        <v>1185</v>
      </c>
      <c r="AD20" s="158">
        <v>1187</v>
      </c>
      <c r="AE20" s="158">
        <v>1185</v>
      </c>
      <c r="AF20" s="47" t="s">
        <v>90</v>
      </c>
      <c r="AG20" s="47" t="s">
        <v>90</v>
      </c>
      <c r="AH20" s="98" t="s">
        <v>90</v>
      </c>
      <c r="AI20" s="103">
        <v>15831312</v>
      </c>
      <c r="AJ20" s="45">
        <f t="shared" si="7"/>
        <v>1202</v>
      </c>
      <c r="AK20" s="48">
        <f t="shared" si="8"/>
        <v>248.86128364389234</v>
      </c>
      <c r="AL20" s="155">
        <v>0</v>
      </c>
      <c r="AM20" s="155">
        <v>1</v>
      </c>
      <c r="AN20" s="155">
        <v>0</v>
      </c>
      <c r="AO20" s="155">
        <v>1</v>
      </c>
      <c r="AP20" s="155">
        <v>1</v>
      </c>
      <c r="AQ20" s="155">
        <v>1</v>
      </c>
      <c r="AR20" s="155">
        <v>0</v>
      </c>
      <c r="AS20" s="158"/>
      <c r="AT20" s="158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357">
        <v>43238</v>
      </c>
      <c r="B21" s="40">
        <v>2.3333333333333299</v>
      </c>
      <c r="C21" s="40">
        <v>0.375</v>
      </c>
      <c r="D21" s="156">
        <v>4</v>
      </c>
      <c r="E21" s="154">
        <f t="shared" si="2"/>
        <v>2.8169014084507045</v>
      </c>
      <c r="F21" s="154">
        <v>7</v>
      </c>
      <c r="G21" s="118">
        <v>77</v>
      </c>
      <c r="H21" s="154">
        <f t="shared" si="0"/>
        <v>54.225352112676056</v>
      </c>
      <c r="I21" s="154">
        <v>78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7">
        <v>128</v>
      </c>
      <c r="R21" s="157"/>
      <c r="S21" s="157">
        <v>94844414</v>
      </c>
      <c r="T21" s="45">
        <f t="shared" si="4"/>
        <v>4444</v>
      </c>
      <c r="U21" s="46">
        <f t="shared" si="5"/>
        <v>106.65600000000001</v>
      </c>
      <c r="V21" s="46">
        <f t="shared" si="6"/>
        <v>4.444</v>
      </c>
      <c r="W21" s="96">
        <v>7.9</v>
      </c>
      <c r="X21" s="96">
        <f t="shared" si="1"/>
        <v>7.9</v>
      </c>
      <c r="Y21" s="97" t="s">
        <v>169</v>
      </c>
      <c r="Z21" s="158">
        <v>0</v>
      </c>
      <c r="AA21" s="158">
        <v>1047</v>
      </c>
      <c r="AB21" s="158">
        <v>0</v>
      </c>
      <c r="AC21" s="158">
        <v>1185</v>
      </c>
      <c r="AD21" s="158">
        <v>1187</v>
      </c>
      <c r="AE21" s="158">
        <v>1185</v>
      </c>
      <c r="AF21" s="47" t="s">
        <v>90</v>
      </c>
      <c r="AG21" s="47" t="s">
        <v>90</v>
      </c>
      <c r="AH21" s="98" t="s">
        <v>90</v>
      </c>
      <c r="AI21" s="103">
        <v>15832392</v>
      </c>
      <c r="AJ21" s="45">
        <f t="shared" si="7"/>
        <v>1080</v>
      </c>
      <c r="AK21" s="48">
        <f t="shared" si="8"/>
        <v>243.02430243024304</v>
      </c>
      <c r="AL21" s="155">
        <v>0</v>
      </c>
      <c r="AM21" s="155">
        <v>1</v>
      </c>
      <c r="AN21" s="155">
        <v>0</v>
      </c>
      <c r="AO21" s="155">
        <v>1</v>
      </c>
      <c r="AP21" s="155">
        <v>1</v>
      </c>
      <c r="AQ21" s="155">
        <v>1</v>
      </c>
      <c r="AR21" s="155">
        <v>0</v>
      </c>
      <c r="AS21" s="158"/>
      <c r="AT21" s="158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205</v>
      </c>
    </row>
    <row r="22" spans="1:54" x14ac:dyDescent="0.35">
      <c r="A22" s="357">
        <v>43238</v>
      </c>
      <c r="B22" s="40">
        <v>2.375</v>
      </c>
      <c r="C22" s="40">
        <v>0.41666666666666669</v>
      </c>
      <c r="D22" s="156">
        <v>4</v>
      </c>
      <c r="E22" s="154">
        <f t="shared" si="2"/>
        <v>2.8169014084507045</v>
      </c>
      <c r="F22" s="154">
        <v>6</v>
      </c>
      <c r="G22" s="118">
        <v>76</v>
      </c>
      <c r="H22" s="154">
        <f t="shared" si="0"/>
        <v>53.521126760563384</v>
      </c>
      <c r="I22" s="154">
        <v>74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7">
        <v>129</v>
      </c>
      <c r="R22" s="157"/>
      <c r="S22" s="157">
        <v>94848766</v>
      </c>
      <c r="T22" s="45">
        <f t="shared" si="4"/>
        <v>4352</v>
      </c>
      <c r="U22" s="46">
        <f t="shared" si="5"/>
        <v>104.44799999999999</v>
      </c>
      <c r="V22" s="46">
        <f t="shared" si="6"/>
        <v>4.3520000000000003</v>
      </c>
      <c r="W22" s="96">
        <v>7.2</v>
      </c>
      <c r="X22" s="96">
        <f t="shared" si="1"/>
        <v>7.2</v>
      </c>
      <c r="Y22" s="97" t="s">
        <v>169</v>
      </c>
      <c r="Z22" s="158">
        <v>0</v>
      </c>
      <c r="AA22" s="158">
        <v>1046</v>
      </c>
      <c r="AB22" s="158">
        <v>0</v>
      </c>
      <c r="AC22" s="158">
        <v>1185</v>
      </c>
      <c r="AD22" s="158">
        <v>1187</v>
      </c>
      <c r="AE22" s="158">
        <v>1185</v>
      </c>
      <c r="AF22" s="47" t="s">
        <v>90</v>
      </c>
      <c r="AG22" s="47" t="s">
        <v>90</v>
      </c>
      <c r="AH22" s="98" t="s">
        <v>90</v>
      </c>
      <c r="AI22" s="103">
        <v>15833644</v>
      </c>
      <c r="AJ22" s="45">
        <f t="shared" si="7"/>
        <v>1252</v>
      </c>
      <c r="AK22" s="48">
        <f t="shared" si="8"/>
        <v>287.68382352941177</v>
      </c>
      <c r="AL22" s="155">
        <v>0</v>
      </c>
      <c r="AM22" s="155">
        <v>1</v>
      </c>
      <c r="AN22" s="155">
        <v>0</v>
      </c>
      <c r="AO22" s="155">
        <v>1</v>
      </c>
      <c r="AP22" s="155">
        <v>1</v>
      </c>
      <c r="AQ22" s="155">
        <v>1</v>
      </c>
      <c r="AR22" s="155">
        <v>0</v>
      </c>
      <c r="AS22" s="158"/>
      <c r="AT22" s="158">
        <f t="shared" si="9"/>
        <v>0</v>
      </c>
      <c r="AU22" s="119">
        <v>1.17</v>
      </c>
      <c r="AV22" s="50" t="s">
        <v>125</v>
      </c>
      <c r="BB22" s="136" t="s">
        <v>157</v>
      </c>
    </row>
    <row r="23" spans="1:54" x14ac:dyDescent="0.35">
      <c r="A23" s="357">
        <v>43238</v>
      </c>
      <c r="B23" s="40">
        <v>2.4166666666666701</v>
      </c>
      <c r="C23" s="40">
        <v>0.45833333333333298</v>
      </c>
      <c r="D23" s="156">
        <v>4</v>
      </c>
      <c r="E23" s="154">
        <f t="shared" si="2"/>
        <v>2.8169014084507045</v>
      </c>
      <c r="F23" s="154">
        <v>5</v>
      </c>
      <c r="G23" s="118">
        <v>76</v>
      </c>
      <c r="H23" s="154">
        <f t="shared" si="0"/>
        <v>53.521126760563384</v>
      </c>
      <c r="I23" s="154">
        <v>74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7">
        <v>129</v>
      </c>
      <c r="R23" s="157"/>
      <c r="S23" s="157">
        <v>94852508</v>
      </c>
      <c r="T23" s="45">
        <f t="shared" si="4"/>
        <v>3742</v>
      </c>
      <c r="U23" s="46">
        <f t="shared" si="5"/>
        <v>89.808000000000007</v>
      </c>
      <c r="V23" s="46">
        <f t="shared" si="6"/>
        <v>3.742</v>
      </c>
      <c r="W23" s="96">
        <v>6.5</v>
      </c>
      <c r="X23" s="96">
        <f>W23</f>
        <v>6.5</v>
      </c>
      <c r="Y23" s="97" t="s">
        <v>169</v>
      </c>
      <c r="Z23" s="158">
        <v>0</v>
      </c>
      <c r="AA23" s="158">
        <v>1047</v>
      </c>
      <c r="AB23" s="158">
        <v>0</v>
      </c>
      <c r="AC23" s="158">
        <v>1185</v>
      </c>
      <c r="AD23" s="158">
        <v>1187</v>
      </c>
      <c r="AE23" s="158">
        <v>1185</v>
      </c>
      <c r="AF23" s="47" t="s">
        <v>90</v>
      </c>
      <c r="AG23" s="47" t="s">
        <v>90</v>
      </c>
      <c r="AH23" s="98" t="s">
        <v>90</v>
      </c>
      <c r="AI23" s="103">
        <v>15834840</v>
      </c>
      <c r="AJ23" s="45">
        <f t="shared" si="7"/>
        <v>1196</v>
      </c>
      <c r="AK23" s="48">
        <f t="shared" si="8"/>
        <v>319.61517904863712</v>
      </c>
      <c r="AL23" s="155">
        <v>0</v>
      </c>
      <c r="AM23" s="155">
        <v>1</v>
      </c>
      <c r="AN23" s="155">
        <v>0</v>
      </c>
      <c r="AO23" s="155">
        <v>1</v>
      </c>
      <c r="AP23" s="155">
        <v>1</v>
      </c>
      <c r="AQ23" s="155">
        <v>1</v>
      </c>
      <c r="AR23" s="155">
        <v>0</v>
      </c>
      <c r="AS23" s="158"/>
      <c r="AT23" s="158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357">
        <v>43238</v>
      </c>
      <c r="B24" s="40">
        <v>2.4583333333333299</v>
      </c>
      <c r="C24" s="40">
        <v>0.5</v>
      </c>
      <c r="D24" s="156">
        <v>4</v>
      </c>
      <c r="E24" s="154">
        <f t="shared" si="2"/>
        <v>2.8169014084507045</v>
      </c>
      <c r="F24" s="154">
        <v>4</v>
      </c>
      <c r="G24" s="118">
        <v>75</v>
      </c>
      <c r="H24" s="154">
        <f t="shared" si="0"/>
        <v>52.816901408450704</v>
      </c>
      <c r="I24" s="154">
        <v>72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7">
        <v>132</v>
      </c>
      <c r="R24" s="157"/>
      <c r="S24" s="157">
        <v>94856520</v>
      </c>
      <c r="T24" s="45">
        <f t="shared" si="4"/>
        <v>4012</v>
      </c>
      <c r="U24" s="46">
        <f>T24*24/1000</f>
        <v>96.287999999999997</v>
      </c>
      <c r="V24" s="46">
        <f t="shared" si="6"/>
        <v>4.0119999999999996</v>
      </c>
      <c r="W24" s="96">
        <v>5.7</v>
      </c>
      <c r="X24" s="96">
        <f t="shared" si="1"/>
        <v>5.7</v>
      </c>
      <c r="Y24" s="97" t="s">
        <v>169</v>
      </c>
      <c r="Z24" s="158">
        <v>0</v>
      </c>
      <c r="AA24" s="158">
        <v>1037</v>
      </c>
      <c r="AB24" s="158">
        <v>0</v>
      </c>
      <c r="AC24" s="158">
        <v>1185</v>
      </c>
      <c r="AD24" s="158">
        <v>1187</v>
      </c>
      <c r="AE24" s="158">
        <v>1185</v>
      </c>
      <c r="AF24" s="47" t="s">
        <v>90</v>
      </c>
      <c r="AG24" s="47" t="s">
        <v>90</v>
      </c>
      <c r="AH24" s="98" t="s">
        <v>90</v>
      </c>
      <c r="AI24" s="103">
        <v>15836070</v>
      </c>
      <c r="AJ24" s="45">
        <f t="shared" si="7"/>
        <v>1230</v>
      </c>
      <c r="AK24" s="48">
        <f t="shared" si="8"/>
        <v>306.58025922233304</v>
      </c>
      <c r="AL24" s="155">
        <v>0</v>
      </c>
      <c r="AM24" s="155">
        <v>1</v>
      </c>
      <c r="AN24" s="155">
        <v>0</v>
      </c>
      <c r="AO24" s="155">
        <v>1</v>
      </c>
      <c r="AP24" s="155">
        <v>1</v>
      </c>
      <c r="AQ24" s="155">
        <v>1</v>
      </c>
      <c r="AR24" s="155">
        <v>0</v>
      </c>
      <c r="AS24" s="158"/>
      <c r="AT24" s="158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357">
        <v>43238</v>
      </c>
      <c r="B25" s="40">
        <v>2.5</v>
      </c>
      <c r="C25" s="40">
        <v>0.54166666666666696</v>
      </c>
      <c r="D25" s="156">
        <v>4</v>
      </c>
      <c r="E25" s="154">
        <f t="shared" si="2"/>
        <v>2.8169014084507045</v>
      </c>
      <c r="F25" s="154">
        <v>3</v>
      </c>
      <c r="G25" s="118">
        <v>75</v>
      </c>
      <c r="H25" s="154">
        <f t="shared" si="0"/>
        <v>52.816901408450704</v>
      </c>
      <c r="I25" s="154">
        <v>72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7">
        <v>126</v>
      </c>
      <c r="R25" s="157"/>
      <c r="S25" s="157">
        <v>94860356</v>
      </c>
      <c r="T25" s="45">
        <f t="shared" si="4"/>
        <v>3836</v>
      </c>
      <c r="U25" s="46">
        <f>T25*24/1000</f>
        <v>92.063999999999993</v>
      </c>
      <c r="V25" s="46">
        <f t="shared" si="6"/>
        <v>3.8359999999999999</v>
      </c>
      <c r="W25" s="96">
        <v>5.2</v>
      </c>
      <c r="X25" s="96">
        <f t="shared" si="1"/>
        <v>5.2</v>
      </c>
      <c r="Y25" s="97" t="s">
        <v>169</v>
      </c>
      <c r="Z25" s="158">
        <v>0</v>
      </c>
      <c r="AA25" s="158">
        <v>1036</v>
      </c>
      <c r="AB25" s="158">
        <v>0</v>
      </c>
      <c r="AC25" s="158">
        <v>1185</v>
      </c>
      <c r="AD25" s="158">
        <v>1186</v>
      </c>
      <c r="AE25" s="158">
        <v>1185</v>
      </c>
      <c r="AF25" s="47" t="s">
        <v>90</v>
      </c>
      <c r="AG25" s="47" t="s">
        <v>90</v>
      </c>
      <c r="AH25" s="98" t="s">
        <v>90</v>
      </c>
      <c r="AI25" s="103">
        <v>15837234</v>
      </c>
      <c r="AJ25" s="45">
        <f t="shared" si="7"/>
        <v>1164</v>
      </c>
      <c r="AK25" s="48">
        <f t="shared" si="8"/>
        <v>303.4410844629823</v>
      </c>
      <c r="AL25" s="155">
        <v>0</v>
      </c>
      <c r="AM25" s="155">
        <v>1</v>
      </c>
      <c r="AN25" s="155">
        <v>0</v>
      </c>
      <c r="AO25" s="155">
        <v>1</v>
      </c>
      <c r="AP25" s="155">
        <v>1</v>
      </c>
      <c r="AQ25" s="155">
        <v>1</v>
      </c>
      <c r="AR25" s="155">
        <v>0</v>
      </c>
      <c r="AS25" s="158"/>
      <c r="AT25" s="158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57">
        <v>43238</v>
      </c>
      <c r="B26" s="40">
        <v>2.5416666666666701</v>
      </c>
      <c r="C26" s="40">
        <v>0.58333333333333404</v>
      </c>
      <c r="D26" s="156">
        <v>3</v>
      </c>
      <c r="E26" s="154">
        <f t="shared" si="2"/>
        <v>2.1126760563380285</v>
      </c>
      <c r="F26" s="154">
        <v>3</v>
      </c>
      <c r="G26" s="118">
        <v>75</v>
      </c>
      <c r="H26" s="154">
        <f>G26/1.42</f>
        <v>52.816901408450704</v>
      </c>
      <c r="I26" s="154">
        <v>73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7">
        <v>129</v>
      </c>
      <c r="R26" s="157"/>
      <c r="S26" s="157">
        <v>94864687</v>
      </c>
      <c r="T26" s="45">
        <f t="shared" si="4"/>
        <v>4331</v>
      </c>
      <c r="U26" s="46">
        <f t="shared" si="5"/>
        <v>103.944</v>
      </c>
      <c r="V26" s="46">
        <f t="shared" si="6"/>
        <v>4.3310000000000004</v>
      </c>
      <c r="W26" s="96">
        <v>4.7</v>
      </c>
      <c r="X26" s="96">
        <f t="shared" si="1"/>
        <v>4.7</v>
      </c>
      <c r="Y26" s="97" t="s">
        <v>169</v>
      </c>
      <c r="Z26" s="158">
        <v>0</v>
      </c>
      <c r="AA26" s="158">
        <v>1016</v>
      </c>
      <c r="AB26" s="158">
        <v>0</v>
      </c>
      <c r="AC26" s="158">
        <v>1185</v>
      </c>
      <c r="AD26" s="158">
        <v>1187</v>
      </c>
      <c r="AE26" s="158">
        <v>1185</v>
      </c>
      <c r="AF26" s="47" t="s">
        <v>90</v>
      </c>
      <c r="AG26" s="47" t="s">
        <v>90</v>
      </c>
      <c r="AH26" s="98" t="s">
        <v>90</v>
      </c>
      <c r="AI26" s="103">
        <v>15838397</v>
      </c>
      <c r="AJ26" s="45">
        <f t="shared" si="7"/>
        <v>1163</v>
      </c>
      <c r="AK26" s="48">
        <f t="shared" si="8"/>
        <v>268.52920803509579</v>
      </c>
      <c r="AL26" s="155">
        <v>0</v>
      </c>
      <c r="AM26" s="155">
        <v>1</v>
      </c>
      <c r="AN26" s="155">
        <v>0</v>
      </c>
      <c r="AO26" s="155">
        <v>1</v>
      </c>
      <c r="AP26" s="155">
        <v>1</v>
      </c>
      <c r="AQ26" s="155">
        <v>1</v>
      </c>
      <c r="AR26" s="155">
        <v>0</v>
      </c>
      <c r="AS26" s="158"/>
      <c r="AT26" s="158">
        <f t="shared" si="9"/>
        <v>0</v>
      </c>
      <c r="AU26" s="119">
        <v>1.23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57">
        <v>43238</v>
      </c>
      <c r="B27" s="40">
        <v>2.5833333333333299</v>
      </c>
      <c r="C27" s="40">
        <v>0.625</v>
      </c>
      <c r="D27" s="156">
        <v>3</v>
      </c>
      <c r="E27" s="154">
        <f t="shared" si="2"/>
        <v>2.1126760563380285</v>
      </c>
      <c r="F27" s="154">
        <v>1</v>
      </c>
      <c r="G27" s="118">
        <v>76</v>
      </c>
      <c r="H27" s="154">
        <f>G27/1.42</f>
        <v>53.521126760563384</v>
      </c>
      <c r="I27" s="154">
        <v>74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7">
        <v>128</v>
      </c>
      <c r="R27" s="157"/>
      <c r="S27" s="157">
        <v>94869135</v>
      </c>
      <c r="T27" s="45">
        <f t="shared" si="4"/>
        <v>4448</v>
      </c>
      <c r="U27" s="46">
        <f t="shared" si="5"/>
        <v>106.752</v>
      </c>
      <c r="V27" s="46">
        <f t="shared" si="6"/>
        <v>4.4480000000000004</v>
      </c>
      <c r="W27" s="96">
        <v>4.3</v>
      </c>
      <c r="X27" s="96">
        <f t="shared" si="1"/>
        <v>4.3</v>
      </c>
      <c r="Y27" s="97" t="s">
        <v>169</v>
      </c>
      <c r="Z27" s="158">
        <v>0</v>
      </c>
      <c r="AA27" s="158">
        <v>1015</v>
      </c>
      <c r="AB27" s="158">
        <v>0</v>
      </c>
      <c r="AC27" s="158">
        <v>1185</v>
      </c>
      <c r="AD27" s="158">
        <v>1187</v>
      </c>
      <c r="AE27" s="158">
        <v>1185</v>
      </c>
      <c r="AF27" s="47" t="s">
        <v>90</v>
      </c>
      <c r="AG27" s="47" t="s">
        <v>90</v>
      </c>
      <c r="AH27" s="98" t="s">
        <v>90</v>
      </c>
      <c r="AI27" s="103">
        <v>15839548</v>
      </c>
      <c r="AJ27" s="45">
        <f t="shared" si="7"/>
        <v>1151</v>
      </c>
      <c r="AK27" s="48">
        <f t="shared" si="8"/>
        <v>258.76798561151077</v>
      </c>
      <c r="AL27" s="155">
        <v>0</v>
      </c>
      <c r="AM27" s="155">
        <v>1</v>
      </c>
      <c r="AN27" s="155">
        <v>0</v>
      </c>
      <c r="AO27" s="155">
        <v>1</v>
      </c>
      <c r="AP27" s="155">
        <v>1</v>
      </c>
      <c r="AQ27" s="155">
        <v>1</v>
      </c>
      <c r="AR27" s="155">
        <v>0</v>
      </c>
      <c r="AS27" s="158"/>
      <c r="AT27" s="158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57">
        <v>43238</v>
      </c>
      <c r="B28" s="40">
        <v>2.625</v>
      </c>
      <c r="C28" s="40">
        <v>0.66666666666666696</v>
      </c>
      <c r="D28" s="156">
        <v>3</v>
      </c>
      <c r="E28" s="154">
        <f t="shared" si="2"/>
        <v>2.1126760563380285</v>
      </c>
      <c r="F28" s="154">
        <v>1</v>
      </c>
      <c r="G28" s="118">
        <v>76</v>
      </c>
      <c r="H28" s="154">
        <f t="shared" si="0"/>
        <v>53.521126760563384</v>
      </c>
      <c r="I28" s="154">
        <v>74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7">
        <v>132</v>
      </c>
      <c r="R28" s="157"/>
      <c r="S28" s="157">
        <v>94873604</v>
      </c>
      <c r="T28" s="45">
        <f t="shared" si="4"/>
        <v>4469</v>
      </c>
      <c r="U28" s="46">
        <f t="shared" si="5"/>
        <v>107.256</v>
      </c>
      <c r="V28" s="46">
        <f t="shared" si="6"/>
        <v>4.4690000000000003</v>
      </c>
      <c r="W28" s="96">
        <v>3.8</v>
      </c>
      <c r="X28" s="96">
        <f t="shared" si="1"/>
        <v>3.8</v>
      </c>
      <c r="Y28" s="97" t="s">
        <v>169</v>
      </c>
      <c r="Z28" s="158">
        <v>0</v>
      </c>
      <c r="AA28" s="158">
        <v>1015</v>
      </c>
      <c r="AB28" s="158">
        <v>0</v>
      </c>
      <c r="AC28" s="158">
        <v>1185</v>
      </c>
      <c r="AD28" s="158">
        <v>1186</v>
      </c>
      <c r="AE28" s="158">
        <v>1185</v>
      </c>
      <c r="AF28" s="47" t="s">
        <v>90</v>
      </c>
      <c r="AG28" s="47" t="s">
        <v>90</v>
      </c>
      <c r="AH28" s="98" t="s">
        <v>90</v>
      </c>
      <c r="AI28" s="103">
        <v>15840711</v>
      </c>
      <c r="AJ28" s="45">
        <f>IF(ISBLANK(AI28),"-",AI28-AI27)</f>
        <v>1163</v>
      </c>
      <c r="AK28" s="48">
        <f t="shared" si="8"/>
        <v>260.23718952785856</v>
      </c>
      <c r="AL28" s="155">
        <v>0</v>
      </c>
      <c r="AM28" s="155">
        <v>1</v>
      </c>
      <c r="AN28" s="155">
        <v>0</v>
      </c>
      <c r="AO28" s="155">
        <v>1</v>
      </c>
      <c r="AP28" s="155">
        <v>1</v>
      </c>
      <c r="AQ28" s="155">
        <v>1</v>
      </c>
      <c r="AR28" s="155">
        <v>0</v>
      </c>
      <c r="AS28" s="158"/>
      <c r="AT28" s="158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357">
        <v>43238</v>
      </c>
      <c r="B29" s="40">
        <v>2.6666666666666701</v>
      </c>
      <c r="C29" s="40">
        <v>0.70833333333333404</v>
      </c>
      <c r="D29" s="156">
        <v>3</v>
      </c>
      <c r="E29" s="154">
        <f t="shared" si="2"/>
        <v>2.1126760563380285</v>
      </c>
      <c r="F29" s="154">
        <v>0</v>
      </c>
      <c r="G29" s="118">
        <v>74</v>
      </c>
      <c r="H29" s="154">
        <f t="shared" si="0"/>
        <v>52.112676056338032</v>
      </c>
      <c r="I29" s="154">
        <v>73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7">
        <v>130</v>
      </c>
      <c r="R29" s="157"/>
      <c r="S29" s="157">
        <v>94878089</v>
      </c>
      <c r="T29" s="45">
        <f t="shared" si="4"/>
        <v>4485</v>
      </c>
      <c r="U29" s="46">
        <f t="shared" si="5"/>
        <v>107.64</v>
      </c>
      <c r="V29" s="46">
        <f t="shared" si="6"/>
        <v>4.4850000000000003</v>
      </c>
      <c r="W29" s="96">
        <v>3.4</v>
      </c>
      <c r="X29" s="96">
        <f t="shared" si="1"/>
        <v>3.4</v>
      </c>
      <c r="Y29" s="97" t="s">
        <v>169</v>
      </c>
      <c r="Z29" s="158">
        <v>0</v>
      </c>
      <c r="AA29" s="158">
        <v>1006</v>
      </c>
      <c r="AB29" s="158">
        <v>0</v>
      </c>
      <c r="AC29" s="158">
        <v>1185</v>
      </c>
      <c r="AD29" s="158">
        <v>1186</v>
      </c>
      <c r="AE29" s="158">
        <v>1185</v>
      </c>
      <c r="AF29" s="47" t="s">
        <v>90</v>
      </c>
      <c r="AG29" s="47" t="s">
        <v>90</v>
      </c>
      <c r="AH29" s="98" t="s">
        <v>90</v>
      </c>
      <c r="AI29" s="103">
        <v>15841868</v>
      </c>
      <c r="AJ29" s="45">
        <f t="shared" si="7"/>
        <v>1157</v>
      </c>
      <c r="AK29" s="48">
        <f>AJ28/V29</f>
        <v>259.3088071348941</v>
      </c>
      <c r="AL29" s="155">
        <v>0</v>
      </c>
      <c r="AM29" s="155">
        <v>1</v>
      </c>
      <c r="AN29" s="155">
        <v>0</v>
      </c>
      <c r="AO29" s="155">
        <v>1</v>
      </c>
      <c r="AP29" s="155">
        <v>1</v>
      </c>
      <c r="AQ29" s="155">
        <v>1</v>
      </c>
      <c r="AR29" s="155">
        <v>0</v>
      </c>
      <c r="AS29" s="158"/>
      <c r="AT29" s="158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357">
        <v>43238</v>
      </c>
      <c r="B30" s="40">
        <v>2.7083333333333299</v>
      </c>
      <c r="C30" s="40">
        <v>0.750000000000002</v>
      </c>
      <c r="D30" s="156">
        <v>3</v>
      </c>
      <c r="E30" s="154">
        <f t="shared" si="2"/>
        <v>2.1126760563380285</v>
      </c>
      <c r="F30" s="154">
        <v>-1</v>
      </c>
      <c r="G30" s="118">
        <v>74</v>
      </c>
      <c r="H30" s="154">
        <f t="shared" si="0"/>
        <v>52.112676056338032</v>
      </c>
      <c r="I30" s="154">
        <v>73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7">
        <v>129</v>
      </c>
      <c r="R30" s="157"/>
      <c r="S30" s="157">
        <v>94882737</v>
      </c>
      <c r="T30" s="45">
        <f t="shared" si="4"/>
        <v>4648</v>
      </c>
      <c r="U30" s="46">
        <f t="shared" si="5"/>
        <v>111.55200000000001</v>
      </c>
      <c r="V30" s="46">
        <f t="shared" si="6"/>
        <v>4.6479999999999997</v>
      </c>
      <c r="W30" s="96">
        <v>3.1</v>
      </c>
      <c r="X30" s="96">
        <f t="shared" si="1"/>
        <v>3.1</v>
      </c>
      <c r="Y30" s="97" t="s">
        <v>169</v>
      </c>
      <c r="Z30" s="158">
        <v>0</v>
      </c>
      <c r="AA30" s="158">
        <v>1005</v>
      </c>
      <c r="AB30" s="158">
        <v>0</v>
      </c>
      <c r="AC30" s="158">
        <v>1185</v>
      </c>
      <c r="AD30" s="158">
        <v>1187</v>
      </c>
      <c r="AE30" s="158">
        <v>1185</v>
      </c>
      <c r="AF30" s="47" t="s">
        <v>90</v>
      </c>
      <c r="AG30" s="47" t="s">
        <v>90</v>
      </c>
      <c r="AH30" s="98" t="s">
        <v>90</v>
      </c>
      <c r="AI30" s="103">
        <v>15843018</v>
      </c>
      <c r="AJ30" s="45">
        <f t="shared" si="7"/>
        <v>1150</v>
      </c>
      <c r="AK30" s="48">
        <f>AJ29/V30</f>
        <v>248.92426850258178</v>
      </c>
      <c r="AL30" s="155">
        <v>0</v>
      </c>
      <c r="AM30" s="155">
        <v>1</v>
      </c>
      <c r="AN30" s="155">
        <v>0</v>
      </c>
      <c r="AO30" s="155">
        <v>1</v>
      </c>
      <c r="AP30" s="155">
        <v>1</v>
      </c>
      <c r="AQ30" s="155">
        <v>1</v>
      </c>
      <c r="AR30" s="155">
        <v>0</v>
      </c>
      <c r="AS30" s="158"/>
      <c r="AT30" s="158">
        <f t="shared" si="9"/>
        <v>0</v>
      </c>
      <c r="AU30" s="159">
        <v>1.01</v>
      </c>
      <c r="AV30" s="50" t="s">
        <v>124</v>
      </c>
      <c r="AY30" s="55" t="s">
        <v>114</v>
      </c>
      <c r="AZ30" s="55">
        <v>101.325</v>
      </c>
      <c r="BB30" s="74" t="s">
        <v>143</v>
      </c>
    </row>
    <row r="31" spans="1:54" x14ac:dyDescent="0.35">
      <c r="A31" s="357">
        <v>43238</v>
      </c>
      <c r="B31" s="40">
        <v>2.75</v>
      </c>
      <c r="C31" s="40">
        <v>0.79166666666666896</v>
      </c>
      <c r="D31" s="156">
        <v>3</v>
      </c>
      <c r="E31" s="154">
        <f t="shared" si="2"/>
        <v>2.1126760563380285</v>
      </c>
      <c r="F31" s="154">
        <v>-2</v>
      </c>
      <c r="G31" s="118">
        <v>74</v>
      </c>
      <c r="H31" s="154">
        <f t="shared" si="0"/>
        <v>52.112676056338032</v>
      </c>
      <c r="I31" s="154">
        <v>72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7">
        <v>130</v>
      </c>
      <c r="R31" s="157"/>
      <c r="S31" s="157">
        <v>94887122</v>
      </c>
      <c r="T31" s="45">
        <f t="shared" si="4"/>
        <v>4385</v>
      </c>
      <c r="U31" s="46">
        <f t="shared" si="5"/>
        <v>105.24</v>
      </c>
      <c r="V31" s="46">
        <f t="shared" si="6"/>
        <v>4.3849999999999998</v>
      </c>
      <c r="W31" s="96">
        <v>2.8</v>
      </c>
      <c r="X31" s="96">
        <f t="shared" si="1"/>
        <v>2.8</v>
      </c>
      <c r="Y31" s="97" t="s">
        <v>169</v>
      </c>
      <c r="Z31" s="158">
        <v>0</v>
      </c>
      <c r="AA31" s="158">
        <v>1005</v>
      </c>
      <c r="AB31" s="158">
        <v>0</v>
      </c>
      <c r="AC31" s="158">
        <v>1185</v>
      </c>
      <c r="AD31" s="158">
        <v>1186</v>
      </c>
      <c r="AE31" s="158">
        <v>1185</v>
      </c>
      <c r="AF31" s="47" t="s">
        <v>90</v>
      </c>
      <c r="AG31" s="47" t="s">
        <v>90</v>
      </c>
      <c r="AH31" s="98" t="s">
        <v>90</v>
      </c>
      <c r="AI31" s="103">
        <v>15844174</v>
      </c>
      <c r="AJ31" s="45">
        <f t="shared" si="7"/>
        <v>1156</v>
      </c>
      <c r="AK31" s="48">
        <f t="shared" si="8"/>
        <v>263.62599771949829</v>
      </c>
      <c r="AL31" s="155">
        <v>0</v>
      </c>
      <c r="AM31" s="155">
        <v>1</v>
      </c>
      <c r="AN31" s="155">
        <v>0</v>
      </c>
      <c r="AO31" s="155">
        <v>1</v>
      </c>
      <c r="AP31" s="155">
        <v>1</v>
      </c>
      <c r="AQ31" s="155">
        <v>1</v>
      </c>
      <c r="AR31" s="155">
        <v>0</v>
      </c>
      <c r="AS31" s="158"/>
      <c r="AT31" s="158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357">
        <v>43238</v>
      </c>
      <c r="B32" s="40">
        <v>2.7916666666666701</v>
      </c>
      <c r="C32" s="40">
        <v>0.83333333333333703</v>
      </c>
      <c r="D32" s="156">
        <v>3</v>
      </c>
      <c r="E32" s="154">
        <f t="shared" si="2"/>
        <v>2.1126760563380285</v>
      </c>
      <c r="F32" s="154">
        <v>-3</v>
      </c>
      <c r="G32" s="118">
        <v>74</v>
      </c>
      <c r="H32" s="154">
        <f t="shared" si="0"/>
        <v>52.112676056338032</v>
      </c>
      <c r="I32" s="154">
        <v>71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7">
        <v>128</v>
      </c>
      <c r="R32" s="157"/>
      <c r="S32" s="157">
        <v>94892282</v>
      </c>
      <c r="T32" s="45">
        <f t="shared" si="4"/>
        <v>5160</v>
      </c>
      <c r="U32" s="46">
        <f t="shared" si="5"/>
        <v>123.84</v>
      </c>
      <c r="V32" s="46">
        <f t="shared" si="6"/>
        <v>5.16</v>
      </c>
      <c r="W32" s="96">
        <v>2.4</v>
      </c>
      <c r="X32" s="96">
        <f t="shared" si="1"/>
        <v>2.4</v>
      </c>
      <c r="Y32" s="97" t="s">
        <v>169</v>
      </c>
      <c r="Z32" s="158">
        <v>0</v>
      </c>
      <c r="AA32" s="158">
        <v>1026</v>
      </c>
      <c r="AB32" s="158">
        <v>0</v>
      </c>
      <c r="AC32" s="158">
        <v>1185</v>
      </c>
      <c r="AD32" s="158">
        <v>1187</v>
      </c>
      <c r="AE32" s="158">
        <v>1185</v>
      </c>
      <c r="AF32" s="47" t="s">
        <v>90</v>
      </c>
      <c r="AG32" s="47" t="s">
        <v>90</v>
      </c>
      <c r="AH32" s="98" t="s">
        <v>90</v>
      </c>
      <c r="AI32" s="103">
        <v>15845354</v>
      </c>
      <c r="AJ32" s="45">
        <f t="shared" si="7"/>
        <v>1180</v>
      </c>
      <c r="AK32" s="48">
        <f t="shared" si="8"/>
        <v>228.68217054263565</v>
      </c>
      <c r="AL32" s="155">
        <v>0</v>
      </c>
      <c r="AM32" s="155">
        <v>1</v>
      </c>
      <c r="AN32" s="155">
        <v>0</v>
      </c>
      <c r="AO32" s="155">
        <v>1</v>
      </c>
      <c r="AP32" s="155">
        <v>1</v>
      </c>
      <c r="AQ32" s="155">
        <v>1</v>
      </c>
      <c r="AR32" s="155">
        <v>0</v>
      </c>
      <c r="AS32" s="158"/>
      <c r="AT32" s="158">
        <v>0</v>
      </c>
      <c r="AU32" s="49"/>
      <c r="AV32" s="50" t="s">
        <v>124</v>
      </c>
      <c r="AY32" s="308" t="s">
        <v>115</v>
      </c>
      <c r="AZ32" s="308"/>
      <c r="BB32" s="74" t="s">
        <v>156</v>
      </c>
    </row>
    <row r="33" spans="1:54" x14ac:dyDescent="0.35">
      <c r="A33" s="357">
        <v>43238</v>
      </c>
      <c r="B33" s="40">
        <v>2.8333333333333299</v>
      </c>
      <c r="C33" s="40">
        <v>0.875</v>
      </c>
      <c r="D33" s="156">
        <v>3</v>
      </c>
      <c r="E33" s="154">
        <f t="shared" si="2"/>
        <v>2.1126760563380285</v>
      </c>
      <c r="F33" s="154">
        <v>-3</v>
      </c>
      <c r="G33" s="118">
        <v>74</v>
      </c>
      <c r="H33" s="154">
        <f t="shared" si="0"/>
        <v>52.112676056338032</v>
      </c>
      <c r="I33" s="154">
        <v>70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7">
        <v>127</v>
      </c>
      <c r="R33" s="157"/>
      <c r="S33" s="157">
        <v>94897069</v>
      </c>
      <c r="T33" s="45">
        <f t="shared" si="4"/>
        <v>4787</v>
      </c>
      <c r="U33" s="46">
        <f t="shared" si="5"/>
        <v>114.88800000000001</v>
      </c>
      <c r="V33" s="46">
        <f t="shared" si="6"/>
        <v>4.7869999999999999</v>
      </c>
      <c r="W33" s="96">
        <v>2</v>
      </c>
      <c r="X33" s="96">
        <f t="shared" si="1"/>
        <v>2</v>
      </c>
      <c r="Y33" s="97" t="s">
        <v>169</v>
      </c>
      <c r="Z33" s="158">
        <v>0</v>
      </c>
      <c r="AA33" s="158">
        <v>1026</v>
      </c>
      <c r="AB33" s="158">
        <v>0</v>
      </c>
      <c r="AC33" s="158">
        <v>1185</v>
      </c>
      <c r="AD33" s="158">
        <v>1187</v>
      </c>
      <c r="AE33" s="158">
        <v>1185</v>
      </c>
      <c r="AF33" s="47" t="s">
        <v>90</v>
      </c>
      <c r="AG33" s="47" t="s">
        <v>90</v>
      </c>
      <c r="AH33" s="98" t="s">
        <v>90</v>
      </c>
      <c r="AI33" s="103">
        <v>15846496</v>
      </c>
      <c r="AJ33" s="45">
        <f t="shared" si="7"/>
        <v>1142</v>
      </c>
      <c r="AK33" s="48">
        <f t="shared" si="8"/>
        <v>238.56277418007102</v>
      </c>
      <c r="AL33" s="155">
        <v>0</v>
      </c>
      <c r="AM33" s="155">
        <v>1</v>
      </c>
      <c r="AN33" s="155">
        <v>0</v>
      </c>
      <c r="AO33" s="155">
        <v>1</v>
      </c>
      <c r="AP33" s="155">
        <v>1</v>
      </c>
      <c r="AQ33" s="155">
        <v>1</v>
      </c>
      <c r="AR33" s="155">
        <v>0</v>
      </c>
      <c r="AS33" s="158"/>
      <c r="AT33" s="158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57">
        <v>43238</v>
      </c>
      <c r="B34" s="40">
        <v>2.875</v>
      </c>
      <c r="C34" s="40">
        <v>0.91666666666667096</v>
      </c>
      <c r="D34" s="156" t="s">
        <v>179</v>
      </c>
      <c r="E34" s="154" t="e">
        <f t="shared" si="2"/>
        <v>#VALUE!</v>
      </c>
      <c r="F34" s="154">
        <v>0</v>
      </c>
      <c r="G34" s="118">
        <v>75</v>
      </c>
      <c r="H34" s="154">
        <f t="shared" si="0"/>
        <v>52.816901408450704</v>
      </c>
      <c r="I34" s="154">
        <v>71</v>
      </c>
      <c r="J34" s="41" t="s">
        <v>88</v>
      </c>
      <c r="K34" s="41">
        <f t="shared" si="3"/>
        <v>49.295774647887328</v>
      </c>
      <c r="L34" s="42">
        <f t="shared" si="13"/>
        <v>50.70422535211268</v>
      </c>
      <c r="M34" s="41">
        <f t="shared" si="12"/>
        <v>54.929577464788736</v>
      </c>
      <c r="N34" s="43">
        <v>14</v>
      </c>
      <c r="O34" s="44" t="s">
        <v>116</v>
      </c>
      <c r="P34" s="44">
        <v>12.6</v>
      </c>
      <c r="Q34" s="157" t="s">
        <v>179</v>
      </c>
      <c r="R34" s="157"/>
      <c r="S34" s="157">
        <v>94901924</v>
      </c>
      <c r="T34" s="45">
        <f t="shared" si="4"/>
        <v>4855</v>
      </c>
      <c r="U34" s="46">
        <f t="shared" si="5"/>
        <v>116.52</v>
      </c>
      <c r="V34" s="46">
        <f t="shared" si="6"/>
        <v>4.8550000000000004</v>
      </c>
      <c r="W34" s="96">
        <v>1.7</v>
      </c>
      <c r="X34" s="96">
        <f t="shared" si="1"/>
        <v>1.7</v>
      </c>
      <c r="Y34" s="97" t="s">
        <v>169</v>
      </c>
      <c r="Z34" s="158">
        <v>0</v>
      </c>
      <c r="AA34" s="158">
        <v>1026</v>
      </c>
      <c r="AB34" s="158">
        <v>0</v>
      </c>
      <c r="AC34" s="158">
        <v>1185</v>
      </c>
      <c r="AD34" s="158">
        <v>1187</v>
      </c>
      <c r="AE34" s="158">
        <v>1185</v>
      </c>
      <c r="AF34" s="47" t="s">
        <v>90</v>
      </c>
      <c r="AG34" s="47" t="s">
        <v>90</v>
      </c>
      <c r="AH34" s="98" t="s">
        <v>90</v>
      </c>
      <c r="AI34" s="103">
        <v>15847697</v>
      </c>
      <c r="AJ34" s="45">
        <f t="shared" si="7"/>
        <v>1201</v>
      </c>
      <c r="AK34" s="48">
        <f t="shared" si="8"/>
        <v>247.37384140061789</v>
      </c>
      <c r="AL34" s="155">
        <v>0</v>
      </c>
      <c r="AM34" s="155">
        <v>1</v>
      </c>
      <c r="AN34" s="155">
        <v>0</v>
      </c>
      <c r="AO34" s="155">
        <v>1</v>
      </c>
      <c r="AP34" s="155">
        <v>1</v>
      </c>
      <c r="AQ34" s="155">
        <v>1</v>
      </c>
      <c r="AR34" s="155">
        <v>0</v>
      </c>
      <c r="AS34" s="158"/>
      <c r="AT34" s="158">
        <f>AS34-AS33</f>
        <v>0</v>
      </c>
      <c r="AU34" s="119">
        <v>1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357">
        <v>43238</v>
      </c>
      <c r="B35" s="40">
        <v>2.9166666666666701</v>
      </c>
      <c r="C35" s="40">
        <v>0.95833333333333803</v>
      </c>
      <c r="D35" s="156" t="s">
        <v>179</v>
      </c>
      <c r="E35" s="154" t="e">
        <f t="shared" si="2"/>
        <v>#VALUE!</v>
      </c>
      <c r="F35" s="154">
        <v>0</v>
      </c>
      <c r="G35" s="118">
        <v>74</v>
      </c>
      <c r="H35" s="154">
        <f t="shared" si="0"/>
        <v>52.112676056338032</v>
      </c>
      <c r="I35" s="154">
        <v>72</v>
      </c>
      <c r="J35" s="41" t="s">
        <v>88</v>
      </c>
      <c r="K35" s="41">
        <f>L35-(2/1.42)</f>
        <v>47.183098591549296</v>
      </c>
      <c r="L35" s="42">
        <f>(G35-5)/1.42</f>
        <v>48.591549295774648</v>
      </c>
      <c r="M35" s="41">
        <f t="shared" si="12"/>
        <v>52.816901408450704</v>
      </c>
      <c r="N35" s="43">
        <v>14</v>
      </c>
      <c r="O35" s="44" t="s">
        <v>116</v>
      </c>
      <c r="P35" s="44">
        <v>11.9</v>
      </c>
      <c r="Q35" s="157" t="s">
        <v>179</v>
      </c>
      <c r="R35" s="157"/>
      <c r="S35" s="157">
        <v>94906211</v>
      </c>
      <c r="T35" s="45">
        <f t="shared" si="4"/>
        <v>4287</v>
      </c>
      <c r="U35" s="46">
        <f t="shared" si="5"/>
        <v>102.88800000000001</v>
      </c>
      <c r="V35" s="46">
        <f t="shared" si="6"/>
        <v>4.2869999999999999</v>
      </c>
      <c r="W35" s="96">
        <v>1.9</v>
      </c>
      <c r="X35" s="96">
        <f t="shared" si="1"/>
        <v>1.9</v>
      </c>
      <c r="Y35" s="97" t="s">
        <v>138</v>
      </c>
      <c r="Z35" s="158">
        <v>0</v>
      </c>
      <c r="AA35" s="158">
        <v>0</v>
      </c>
      <c r="AB35" s="158">
        <v>0</v>
      </c>
      <c r="AC35" s="158">
        <v>1185</v>
      </c>
      <c r="AD35" s="158">
        <v>1187</v>
      </c>
      <c r="AE35" s="158">
        <v>1185</v>
      </c>
      <c r="AF35" s="47" t="s">
        <v>90</v>
      </c>
      <c r="AG35" s="47" t="s">
        <v>90</v>
      </c>
      <c r="AH35" s="98" t="s">
        <v>90</v>
      </c>
      <c r="AI35" s="103">
        <v>15848774</v>
      </c>
      <c r="AJ35" s="45">
        <f t="shared" si="7"/>
        <v>1077</v>
      </c>
      <c r="AK35" s="48">
        <f t="shared" si="8"/>
        <v>251.22463261021693</v>
      </c>
      <c r="AL35" s="155">
        <v>0</v>
      </c>
      <c r="AM35" s="155">
        <v>0</v>
      </c>
      <c r="AN35" s="155">
        <v>0</v>
      </c>
      <c r="AO35" s="155">
        <v>1</v>
      </c>
      <c r="AP35" s="155">
        <v>1</v>
      </c>
      <c r="AQ35" s="155">
        <v>1</v>
      </c>
      <c r="AR35" s="155">
        <v>0.3</v>
      </c>
      <c r="AS35" s="158"/>
      <c r="AT35" s="158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357">
        <v>43238</v>
      </c>
      <c r="B36" s="40">
        <v>2.9583333333333299</v>
      </c>
      <c r="C36" s="40">
        <v>1</v>
      </c>
      <c r="D36" s="156" t="s">
        <v>179</v>
      </c>
      <c r="E36" s="154" t="e">
        <f t="shared" si="2"/>
        <v>#VALUE!</v>
      </c>
      <c r="F36" s="154">
        <v>1</v>
      </c>
      <c r="G36" s="118">
        <v>75</v>
      </c>
      <c r="H36" s="154">
        <f t="shared" si="0"/>
        <v>52.816901408450704</v>
      </c>
      <c r="I36" s="154">
        <v>73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7" t="s">
        <v>179</v>
      </c>
      <c r="R36" s="157"/>
      <c r="S36" s="157">
        <v>94910342</v>
      </c>
      <c r="T36" s="45">
        <f t="shared" si="4"/>
        <v>4131</v>
      </c>
      <c r="U36" s="46">
        <f t="shared" si="5"/>
        <v>99.144000000000005</v>
      </c>
      <c r="V36" s="46">
        <f t="shared" si="6"/>
        <v>4.1310000000000002</v>
      </c>
      <c r="W36" s="96">
        <v>2</v>
      </c>
      <c r="X36" s="96">
        <f t="shared" si="1"/>
        <v>2</v>
      </c>
      <c r="Y36" s="97" t="s">
        <v>138</v>
      </c>
      <c r="Z36" s="158">
        <v>0</v>
      </c>
      <c r="AA36" s="158">
        <v>0</v>
      </c>
      <c r="AB36" s="158">
        <v>0</v>
      </c>
      <c r="AC36" s="158">
        <v>1185</v>
      </c>
      <c r="AD36" s="158">
        <v>1187</v>
      </c>
      <c r="AE36" s="158">
        <v>1185</v>
      </c>
      <c r="AF36" s="47" t="s">
        <v>90</v>
      </c>
      <c r="AG36" s="47" t="s">
        <v>90</v>
      </c>
      <c r="AH36" s="98" t="s">
        <v>90</v>
      </c>
      <c r="AI36" s="103">
        <v>15849847</v>
      </c>
      <c r="AJ36" s="45">
        <f t="shared" si="7"/>
        <v>1073</v>
      </c>
      <c r="AK36" s="48">
        <f t="shared" si="8"/>
        <v>259.74340353425322</v>
      </c>
      <c r="AL36" s="155">
        <v>0</v>
      </c>
      <c r="AM36" s="155">
        <v>0</v>
      </c>
      <c r="AN36" s="155">
        <v>0</v>
      </c>
      <c r="AO36" s="155">
        <v>1</v>
      </c>
      <c r="AP36" s="155">
        <v>1</v>
      </c>
      <c r="AQ36" s="155">
        <v>1</v>
      </c>
      <c r="AR36" s="155">
        <v>0.3</v>
      </c>
      <c r="AS36" s="158"/>
      <c r="AT36" s="158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73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09" t="s">
        <v>118</v>
      </c>
      <c r="O37" s="310"/>
      <c r="P37" s="311"/>
      <c r="Q37" s="101"/>
      <c r="R37" s="101"/>
      <c r="S37" s="101"/>
      <c r="T37" s="60">
        <f>SUM(T13:T36)</f>
        <v>105637</v>
      </c>
      <c r="U37" s="46">
        <f t="shared" si="5"/>
        <v>2535.288</v>
      </c>
      <c r="V37" s="46">
        <f t="shared" si="6"/>
        <v>105.637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27652</v>
      </c>
      <c r="AK37" s="61">
        <f>$AJ$37/$V37</f>
        <v>261.76434393252362</v>
      </c>
      <c r="AL37" s="155"/>
      <c r="AM37" s="155"/>
      <c r="AN37" s="155"/>
      <c r="AO37" s="155"/>
      <c r="AP37" s="155"/>
      <c r="AQ37" s="155"/>
      <c r="AR37" s="62"/>
      <c r="AS37" s="63">
        <f>AS36-AS11</f>
        <v>0</v>
      </c>
      <c r="AT37" s="64">
        <f>SUM(AT13:AT36)</f>
        <v>0</v>
      </c>
      <c r="AU37" s="65">
        <f>AVERAGE(AU13:AU36)</f>
        <v>1.0883333333333332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7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8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8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4"/>
      <c r="D47" s="164"/>
      <c r="E47" s="164"/>
      <c r="F47" s="164"/>
      <c r="G47" s="164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71" t="s">
        <v>239</v>
      </c>
      <c r="C48" s="172"/>
      <c r="D48" s="172"/>
      <c r="E48" s="172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70"/>
      <c r="D49" s="170"/>
      <c r="E49" s="170"/>
      <c r="F49" s="161"/>
      <c r="G49" s="161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15" t="s">
        <v>164</v>
      </c>
      <c r="C50" s="143"/>
      <c r="D50" s="143"/>
      <c r="E50" s="143"/>
      <c r="F50" s="130"/>
      <c r="G50" s="130"/>
      <c r="H50" s="160"/>
      <c r="I50" s="160"/>
      <c r="J50" s="160"/>
      <c r="K50" s="160"/>
      <c r="L50" s="160"/>
      <c r="M50" s="160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210</v>
      </c>
      <c r="B51" s="132" t="s">
        <v>163</v>
      </c>
      <c r="C51" s="143"/>
      <c r="D51" s="143"/>
      <c r="E51" s="143"/>
      <c r="F51" s="130"/>
      <c r="G51" s="130"/>
      <c r="H51" s="160"/>
      <c r="I51" s="160"/>
      <c r="J51" s="160"/>
      <c r="K51" s="160"/>
      <c r="L51" s="160"/>
      <c r="M51" s="160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240</v>
      </c>
      <c r="C52" s="120"/>
      <c r="D52" s="115"/>
      <c r="E52" s="115"/>
      <c r="F52" s="115"/>
      <c r="G52" s="115"/>
      <c r="H52" s="160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70"/>
      <c r="D53" s="170"/>
      <c r="E53" s="170"/>
      <c r="F53" s="170"/>
      <c r="G53" s="115"/>
      <c r="H53" s="115"/>
      <c r="I53" s="115"/>
      <c r="J53" s="115"/>
      <c r="K53" s="115"/>
      <c r="L53" s="115"/>
      <c r="M53" s="115"/>
      <c r="N53" s="163"/>
      <c r="O53" s="163"/>
      <c r="P53" s="163"/>
      <c r="Q53" s="163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32" t="s">
        <v>170</v>
      </c>
      <c r="C54" s="153"/>
      <c r="D54" s="170"/>
      <c r="E54" s="170"/>
      <c r="F54" s="170"/>
      <c r="G54" s="170"/>
      <c r="H54" s="170"/>
      <c r="I54" s="170"/>
      <c r="J54" s="169"/>
      <c r="K54" s="166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70"/>
      <c r="E55" s="153"/>
      <c r="F55" s="153"/>
      <c r="G55" s="153"/>
      <c r="H55" s="153"/>
      <c r="I55" s="153"/>
      <c r="J55" s="169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172</v>
      </c>
      <c r="C56" s="115"/>
      <c r="D56" s="170"/>
      <c r="E56" s="153"/>
      <c r="F56" s="153"/>
      <c r="G56" s="153"/>
      <c r="H56" s="153"/>
      <c r="I56" s="153"/>
      <c r="J56" s="153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53" t="s">
        <v>236</v>
      </c>
      <c r="C57" s="170"/>
      <c r="D57" s="170"/>
      <c r="E57" s="153"/>
      <c r="F57" s="153"/>
      <c r="G57" s="153"/>
      <c r="H57" s="153"/>
      <c r="I57" s="153"/>
      <c r="J57" s="153"/>
      <c r="K57" s="166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174</v>
      </c>
      <c r="C58" s="170"/>
      <c r="D58" s="170"/>
      <c r="E58" s="115"/>
      <c r="F58" s="115"/>
      <c r="G58" s="115"/>
      <c r="H58" s="115"/>
      <c r="I58" s="153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62" t="s">
        <v>195</v>
      </c>
      <c r="C59" s="170"/>
      <c r="D59" s="170"/>
      <c r="E59" s="153"/>
      <c r="F59" s="153"/>
      <c r="G59" s="153"/>
      <c r="H59" s="153"/>
      <c r="I59" s="153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15"/>
      <c r="C60" s="170"/>
      <c r="D60" s="223"/>
      <c r="E60" s="223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15"/>
      <c r="C61" s="153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32"/>
      <c r="C62" s="115"/>
      <c r="D62" s="100"/>
      <c r="E62" s="100"/>
      <c r="F62" s="115"/>
      <c r="G62" s="115"/>
      <c r="H62" s="92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6"/>
      <c r="E63" s="166"/>
      <c r="F63" s="166"/>
      <c r="G63" s="166"/>
      <c r="H63" s="166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53"/>
      <c r="C64" s="115"/>
      <c r="D64" s="100"/>
      <c r="E64" s="100"/>
      <c r="F64" s="115"/>
      <c r="G64" s="115"/>
      <c r="H64" s="92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6"/>
      <c r="E65" s="166"/>
      <c r="F65" s="166"/>
      <c r="G65" s="166"/>
      <c r="H65" s="166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AV65" s="86"/>
      <c r="AW65" s="86"/>
      <c r="AX65" s="86"/>
      <c r="AY65" s="86"/>
      <c r="AZ65" s="86"/>
      <c r="BA65" s="86"/>
      <c r="BB65" s="86"/>
    </row>
    <row r="66" spans="2:54" x14ac:dyDescent="0.35">
      <c r="B66" s="162"/>
      <c r="C66" s="115"/>
      <c r="D66" s="166"/>
      <c r="E66" s="166"/>
      <c r="F66" s="166"/>
      <c r="G66" s="166"/>
      <c r="H66" s="166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6"/>
      <c r="E67" s="166"/>
      <c r="F67" s="166"/>
      <c r="G67" s="166"/>
      <c r="H67" s="166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Q13:Q36 S13:S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3" name="Range1_16_1_1_1_1_1_1_2_2_2_2_2_2_2_2_2_2_2_2_2_2_2_2_2_2_2_2_2_2_2_1_2_2_2_2_2_2_2_2_2_2_3_2_2_2_2_2_2_2_2_2_2_1_1_1_1_2_2_1_1_1_1_1_1_1_1_1_1_1_1_1_1_3"/>
    <protectedRange sqref="B60:B61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5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6"/>
    <protectedRange sqref="R4:W4" name="Range1_16_1_1_1_1_1_1_2_2_2_2_2_2_2_2_2_2_2_2_2_2_2_2_2_2_2_2_2_2_2_1_2_2_2_2_2_2_2_2_2_2_3_2_2_2_2_2_2_2_2_2_2_1_1_1_1_2_2_1_1_1_1_1_1_1_1_1_1_1_1_1_1_2_1_2_1_1"/>
    <protectedRange sqref="R5:W5" name="Range1_16_1_1_1_1_1_1_2_2_2_2_2_2_2_2_2_2_2_2_2_2_2_2_2_2_2_2_2_2_2_1_2_2_2_2_2_2_2_2_2_2_3_2_2_2_2_2_2_2_2_2_2_1_1_1_1_2_2_1_1_1_1_1_1_1_1_1_1_3_1_3_2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237" priority="5" operator="containsText" text="N/A">
      <formula>NOT(ISERROR(SEARCH("N/A",Z13)))</formula>
    </cfRule>
    <cfRule type="cellIs" dxfId="236" priority="17" operator="equal">
      <formula>0</formula>
    </cfRule>
  </conditionalFormatting>
  <conditionalFormatting sqref="Z13:AG36">
    <cfRule type="cellIs" dxfId="235" priority="16" operator="greaterThanOrEqual">
      <formula>1185</formula>
    </cfRule>
  </conditionalFormatting>
  <conditionalFormatting sqref="Z13:AG36">
    <cfRule type="cellIs" dxfId="234" priority="15" operator="between">
      <formula>0.1</formula>
      <formula>1184</formula>
    </cfRule>
  </conditionalFormatting>
  <conditionalFormatting sqref="Z8:Z9 AT13:AT36 AL37:AQ37 AL13:AR36">
    <cfRule type="cellIs" dxfId="233" priority="14" operator="equal">
      <formula>0</formula>
    </cfRule>
  </conditionalFormatting>
  <conditionalFormatting sqref="Z8:Z9 AT13:AT36 AL37:AQ37 AL13:AR36">
    <cfRule type="cellIs" dxfId="232" priority="13" operator="greaterThan">
      <formula>1179</formula>
    </cfRule>
  </conditionalFormatting>
  <conditionalFormatting sqref="Z8:Z9 AT13:AT36 AL37:AQ37 AL13:AR36">
    <cfRule type="cellIs" dxfId="231" priority="12" operator="greaterThan">
      <formula>99</formula>
    </cfRule>
  </conditionalFormatting>
  <conditionalFormatting sqref="Z8:Z9 AT13:AT36 AL37:AQ37 AL13:AR36">
    <cfRule type="cellIs" dxfId="230" priority="11" operator="greaterThan">
      <formula>0.99</formula>
    </cfRule>
  </conditionalFormatting>
  <conditionalFormatting sqref="AD8:AD9">
    <cfRule type="cellIs" dxfId="229" priority="10" operator="equal">
      <formula>0</formula>
    </cfRule>
  </conditionalFormatting>
  <conditionalFormatting sqref="AD8:AD9">
    <cfRule type="cellIs" dxfId="228" priority="9" operator="greaterThan">
      <formula>1179</formula>
    </cfRule>
  </conditionalFormatting>
  <conditionalFormatting sqref="AD8:AD9">
    <cfRule type="cellIs" dxfId="227" priority="8" operator="greaterThan">
      <formula>99</formula>
    </cfRule>
  </conditionalFormatting>
  <conditionalFormatting sqref="AD8:AD9">
    <cfRule type="cellIs" dxfId="226" priority="7" operator="greaterThan">
      <formula>0.99</formula>
    </cfRule>
  </conditionalFormatting>
  <conditionalFormatting sqref="AK13:AK36">
    <cfRule type="cellIs" dxfId="225" priority="6" operator="greaterThan">
      <formula>$AK$8</formula>
    </cfRule>
  </conditionalFormatting>
  <conditionalFormatting sqref="AS13:AS36">
    <cfRule type="containsText" dxfId="224" priority="1" operator="containsText" text="N/A">
      <formula>NOT(ISERROR(SEARCH("N/A",AS13)))</formula>
    </cfRule>
    <cfRule type="cellIs" dxfId="223" priority="4" operator="equal">
      <formula>0</formula>
    </cfRule>
  </conditionalFormatting>
  <conditionalFormatting sqref="AS13:AS36">
    <cfRule type="cellIs" dxfId="222" priority="3" operator="greaterThanOrEqual">
      <formula>1185</formula>
    </cfRule>
  </conditionalFormatting>
  <conditionalFormatting sqref="AS13:AS36">
    <cfRule type="cellIs" dxfId="221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1100-000000000000}">
      <formula1>$AY$11:$AY$21</formula1>
    </dataValidation>
    <dataValidation type="list" allowBlank="1" showInputMessage="1" showErrorMessage="1" sqref="AS8:AT9 P11:P12 N11:N12 D8:E9 Q8:V9" xr:uid="{00000000-0002-0000-1100-000001000000}">
      <formula1>#REF!</formula1>
    </dataValidation>
    <dataValidation type="list" allowBlank="1" showInputMessage="1" showErrorMessage="1" sqref="AY33:AZ33" xr:uid="{00000000-0002-0000-1100-000002000000}">
      <formula1>$AY$26:$AY$30</formula1>
    </dataValidation>
    <dataValidation type="list" allowBlank="1" showInputMessage="1" showErrorMessage="1" sqref="R3:R5" xr:uid="{00000000-0002-0000-1100-000003000000}">
      <formula1>$BB$11:$BB$42</formula1>
    </dataValidation>
  </dataValidations>
  <hyperlinks>
    <hyperlink ref="J10:J11" location="'1'!AH8" display="Plant Status" xr:uid="{00000000-0004-0000-1100-000000000000}"/>
  </hyperlinks>
  <pageMargins left="0.7" right="0.7" top="0.75" bottom="0.75" header="0.3" footer="0.3"/>
  <pageSetup paperSize="9" orientation="portrait" horizontalDpi="4294967293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>
    <tabColor rgb="FF7030A0"/>
  </sheetPr>
  <dimension ref="A2:BB88"/>
  <sheetViews>
    <sheetView zoomScaleNormal="100" workbookViewId="0">
      <selection activeCell="R5" sqref="R5:W5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47" t="s">
        <v>157</v>
      </c>
      <c r="S3" s="348"/>
      <c r="T3" s="348"/>
      <c r="U3" s="348"/>
      <c r="V3" s="348"/>
      <c r="W3" s="34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47" t="s">
        <v>143</v>
      </c>
      <c r="S4" s="348"/>
      <c r="T4" s="348"/>
      <c r="U4" s="348"/>
      <c r="V4" s="348"/>
      <c r="W4" s="34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47" t="s">
        <v>141</v>
      </c>
      <c r="S5" s="348"/>
      <c r="T5" s="348"/>
      <c r="U5" s="348"/>
      <c r="V5" s="348"/>
      <c r="W5" s="34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50" t="s">
        <v>6</v>
      </c>
      <c r="C6" s="351"/>
      <c r="D6" s="352" t="s">
        <v>7</v>
      </c>
      <c r="E6" s="353"/>
      <c r="F6" s="353"/>
      <c r="G6" s="353"/>
      <c r="H6" s="353"/>
      <c r="I6" s="353"/>
      <c r="J6" s="354"/>
      <c r="K6" s="87"/>
      <c r="L6" s="87"/>
      <c r="M6" s="249"/>
      <c r="N6" s="355">
        <v>41686</v>
      </c>
      <c r="O6" s="356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37" t="s">
        <v>8</v>
      </c>
      <c r="C7" s="338"/>
      <c r="D7" s="337" t="s">
        <v>9</v>
      </c>
      <c r="E7" s="339"/>
      <c r="F7" s="339"/>
      <c r="G7" s="339"/>
      <c r="H7" s="339"/>
      <c r="I7" s="338"/>
      <c r="J7" s="254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4" t="s">
        <v>14</v>
      </c>
      <c r="R7" s="337" t="s">
        <v>15</v>
      </c>
      <c r="S7" s="339"/>
      <c r="T7" s="339"/>
      <c r="U7" s="339"/>
      <c r="V7" s="338"/>
      <c r="W7" s="337" t="s">
        <v>16</v>
      </c>
      <c r="X7" s="338"/>
      <c r="Y7" s="99" t="s">
        <v>17</v>
      </c>
      <c r="Z7" s="337" t="s">
        <v>18</v>
      </c>
      <c r="AA7" s="338"/>
      <c r="AB7" s="337" t="s">
        <v>19</v>
      </c>
      <c r="AC7" s="338"/>
      <c r="AD7" s="337" t="s">
        <v>20</v>
      </c>
      <c r="AE7" s="338"/>
      <c r="AF7" s="337" t="s">
        <v>21</v>
      </c>
      <c r="AG7" s="338"/>
      <c r="AH7" s="99" t="s">
        <v>22</v>
      </c>
      <c r="AI7" s="99" t="s">
        <v>23</v>
      </c>
      <c r="AJ7" s="99" t="s">
        <v>24</v>
      </c>
      <c r="AK7" s="99" t="s">
        <v>25</v>
      </c>
      <c r="AL7" s="337" t="s">
        <v>26</v>
      </c>
      <c r="AM7" s="339"/>
      <c r="AN7" s="339"/>
      <c r="AO7" s="339"/>
      <c r="AP7" s="339"/>
      <c r="AQ7" s="338"/>
      <c r="AR7" s="337" t="s">
        <v>27</v>
      </c>
      <c r="AS7" s="339"/>
      <c r="AT7" s="33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40">
        <v>43239</v>
      </c>
      <c r="C8" s="341"/>
      <c r="D8" s="342" t="s">
        <v>29</v>
      </c>
      <c r="E8" s="343"/>
      <c r="F8" s="343"/>
      <c r="G8" s="343"/>
      <c r="H8" s="343"/>
      <c r="I8" s="344"/>
      <c r="J8" s="28"/>
      <c r="K8" s="342" t="s">
        <v>29</v>
      </c>
      <c r="L8" s="343"/>
      <c r="M8" s="34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42" t="s">
        <v>33</v>
      </c>
      <c r="X8" s="344"/>
      <c r="Y8" s="30" t="s">
        <v>34</v>
      </c>
      <c r="Z8" s="326">
        <v>0</v>
      </c>
      <c r="AA8" s="327"/>
      <c r="AB8" s="345" t="s">
        <v>35</v>
      </c>
      <c r="AC8" s="346"/>
      <c r="AD8" s="326">
        <v>1185</v>
      </c>
      <c r="AE8" s="327"/>
      <c r="AF8" s="328">
        <v>800</v>
      </c>
      <c r="AG8" s="329"/>
      <c r="AH8" s="28"/>
      <c r="AI8" s="30">
        <f>AI36-AI11</f>
        <v>27569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55"/>
      <c r="C9" s="256"/>
      <c r="D9" s="257"/>
      <c r="E9" s="258"/>
      <c r="F9" s="258"/>
      <c r="G9" s="258"/>
      <c r="H9" s="258"/>
      <c r="I9" s="259"/>
      <c r="J9" s="121"/>
      <c r="K9" s="257"/>
      <c r="L9" s="258"/>
      <c r="M9" s="259"/>
      <c r="N9" s="29"/>
      <c r="O9" s="29"/>
      <c r="P9" s="29"/>
      <c r="Q9" s="121"/>
      <c r="R9" s="121"/>
      <c r="S9" s="121"/>
      <c r="T9" s="122"/>
      <c r="U9" s="123"/>
      <c r="V9" s="124"/>
      <c r="W9" s="257"/>
      <c r="X9" s="259"/>
      <c r="Y9" s="30"/>
      <c r="Z9" s="252"/>
      <c r="AA9" s="125"/>
      <c r="AB9" s="126"/>
      <c r="AC9" s="126"/>
      <c r="AD9" s="125"/>
      <c r="AE9" s="125"/>
      <c r="AF9" s="127"/>
      <c r="AG9" s="253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30" t="s">
        <v>39</v>
      </c>
      <c r="C10" s="331"/>
      <c r="D10" s="330" t="s">
        <v>40</v>
      </c>
      <c r="E10" s="332"/>
      <c r="F10" s="331"/>
      <c r="G10" s="330" t="s">
        <v>41</v>
      </c>
      <c r="H10" s="332"/>
      <c r="I10" s="331"/>
      <c r="J10" s="333" t="s">
        <v>42</v>
      </c>
      <c r="K10" s="330" t="s">
        <v>43</v>
      </c>
      <c r="L10" s="332"/>
      <c r="M10" s="331"/>
      <c r="N10" s="99" t="s">
        <v>44</v>
      </c>
      <c r="O10" s="335" t="s">
        <v>45</v>
      </c>
      <c r="P10" s="33" t="s">
        <v>46</v>
      </c>
      <c r="Q10" s="324" t="s">
        <v>47</v>
      </c>
      <c r="R10" s="324" t="s">
        <v>48</v>
      </c>
      <c r="S10" s="34" t="s">
        <v>49</v>
      </c>
      <c r="T10" s="312" t="s">
        <v>50</v>
      </c>
      <c r="U10" s="313"/>
      <c r="V10" s="314"/>
      <c r="W10" s="250" t="s">
        <v>51</v>
      </c>
      <c r="X10" s="250" t="s">
        <v>52</v>
      </c>
      <c r="Y10" s="318" t="s">
        <v>53</v>
      </c>
      <c r="Z10" s="319" t="s">
        <v>54</v>
      </c>
      <c r="AA10" s="320"/>
      <c r="AB10" s="320"/>
      <c r="AC10" s="320"/>
      <c r="AD10" s="320"/>
      <c r="AE10" s="320"/>
      <c r="AF10" s="320"/>
      <c r="AG10" s="321"/>
      <c r="AH10" s="248" t="s">
        <v>55</v>
      </c>
      <c r="AI10" s="248" t="s">
        <v>56</v>
      </c>
      <c r="AJ10" s="307" t="s">
        <v>57</v>
      </c>
      <c r="AK10" s="322" t="s">
        <v>58</v>
      </c>
      <c r="AL10" s="250" t="s">
        <v>59</v>
      </c>
      <c r="AM10" s="250" t="s">
        <v>60</v>
      </c>
      <c r="AN10" s="250" t="s">
        <v>61</v>
      </c>
      <c r="AO10" s="250" t="s">
        <v>62</v>
      </c>
      <c r="AP10" s="250" t="s">
        <v>63</v>
      </c>
      <c r="AQ10" s="250" t="s">
        <v>123</v>
      </c>
      <c r="AR10" s="250" t="s">
        <v>64</v>
      </c>
      <c r="AS10" s="250" t="s">
        <v>65</v>
      </c>
      <c r="AT10" s="324" t="s">
        <v>66</v>
      </c>
      <c r="AU10" s="250" t="s">
        <v>67</v>
      </c>
      <c r="AV10" s="30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0" t="s">
        <v>72</v>
      </c>
      <c r="C11" s="250" t="s">
        <v>73</v>
      </c>
      <c r="D11" s="250" t="s">
        <v>74</v>
      </c>
      <c r="E11" s="250" t="s">
        <v>75</v>
      </c>
      <c r="F11" s="250" t="s">
        <v>126</v>
      </c>
      <c r="G11" s="250" t="s">
        <v>74</v>
      </c>
      <c r="H11" s="250" t="s">
        <v>75</v>
      </c>
      <c r="I11" s="250" t="s">
        <v>126</v>
      </c>
      <c r="J11" s="334"/>
      <c r="K11" s="250" t="s">
        <v>75</v>
      </c>
      <c r="L11" s="250" t="s">
        <v>75</v>
      </c>
      <c r="M11" s="250" t="s">
        <v>75</v>
      </c>
      <c r="N11" s="28" t="s">
        <v>29</v>
      </c>
      <c r="O11" s="336"/>
      <c r="P11" s="28" t="s">
        <v>29</v>
      </c>
      <c r="Q11" s="325"/>
      <c r="R11" s="325"/>
      <c r="S11" s="1">
        <f>'MAY 18'!S36</f>
        <v>94910342</v>
      </c>
      <c r="T11" s="315"/>
      <c r="U11" s="316"/>
      <c r="V11" s="317"/>
      <c r="W11" s="250" t="s">
        <v>75</v>
      </c>
      <c r="X11" s="250" t="s">
        <v>75</v>
      </c>
      <c r="Y11" s="31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'MAY 18'!AI36</f>
        <v>15849847</v>
      </c>
      <c r="AJ11" s="307"/>
      <c r="AK11" s="323"/>
      <c r="AL11" s="250" t="s">
        <v>84</v>
      </c>
      <c r="AM11" s="250" t="s">
        <v>84</v>
      </c>
      <c r="AN11" s="250" t="s">
        <v>84</v>
      </c>
      <c r="AO11" s="250" t="s">
        <v>84</v>
      </c>
      <c r="AP11" s="250" t="s">
        <v>84</v>
      </c>
      <c r="AQ11" s="250" t="s">
        <v>84</v>
      </c>
      <c r="AR11" s="250" t="s">
        <v>84</v>
      </c>
      <c r="AS11" s="1"/>
      <c r="AT11" s="325"/>
      <c r="AU11" s="251" t="s">
        <v>85</v>
      </c>
      <c r="AV11" s="307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283</v>
      </c>
      <c r="B12" s="305" t="s">
        <v>284</v>
      </c>
      <c r="C12" s="305" t="s">
        <v>285</v>
      </c>
      <c r="D12" s="305" t="s">
        <v>286</v>
      </c>
      <c r="E12" s="305" t="s">
        <v>287</v>
      </c>
      <c r="F12" s="305" t="s">
        <v>288</v>
      </c>
      <c r="G12" s="305" t="s">
        <v>289</v>
      </c>
      <c r="H12" s="305" t="s">
        <v>290</v>
      </c>
      <c r="I12" s="305" t="s">
        <v>291</v>
      </c>
      <c r="J12" s="297" t="s">
        <v>292</v>
      </c>
      <c r="K12" s="305" t="s">
        <v>293</v>
      </c>
      <c r="L12" s="305" t="s">
        <v>294</v>
      </c>
      <c r="M12" s="305" t="s">
        <v>295</v>
      </c>
      <c r="N12" s="28" t="s">
        <v>296</v>
      </c>
      <c r="O12" s="298" t="s">
        <v>297</v>
      </c>
      <c r="P12" s="28" t="s">
        <v>298</v>
      </c>
      <c r="Q12" s="300" t="s">
        <v>299</v>
      </c>
      <c r="R12" s="300" t="s">
        <v>300</v>
      </c>
      <c r="S12" s="1" t="s">
        <v>301</v>
      </c>
      <c r="T12" s="302" t="s">
        <v>302</v>
      </c>
      <c r="U12" s="303" t="s">
        <v>303</v>
      </c>
      <c r="V12" s="304" t="s">
        <v>304</v>
      </c>
      <c r="W12" s="305" t="s">
        <v>305</v>
      </c>
      <c r="X12" s="305" t="s">
        <v>306</v>
      </c>
      <c r="Y12" s="305" t="s">
        <v>307</v>
      </c>
      <c r="Z12" s="37" t="s">
        <v>308</v>
      </c>
      <c r="AA12" s="37" t="s">
        <v>309</v>
      </c>
      <c r="AB12" s="37" t="s">
        <v>310</v>
      </c>
      <c r="AC12" s="37" t="s">
        <v>311</v>
      </c>
      <c r="AD12" s="37" t="s">
        <v>312</v>
      </c>
      <c r="AE12" s="37" t="s">
        <v>313</v>
      </c>
      <c r="AF12" s="37" t="s">
        <v>314</v>
      </c>
      <c r="AG12" s="37" t="s">
        <v>315</v>
      </c>
      <c r="AH12" s="38" t="s">
        <v>316</v>
      </c>
      <c r="AI12" s="1" t="s">
        <v>317</v>
      </c>
      <c r="AJ12" s="301" t="s">
        <v>318</v>
      </c>
      <c r="AK12" s="306" t="s">
        <v>319</v>
      </c>
      <c r="AL12" s="305" t="s">
        <v>320</v>
      </c>
      <c r="AM12" s="305" t="s">
        <v>321</v>
      </c>
      <c r="AN12" s="305" t="s">
        <v>322</v>
      </c>
      <c r="AO12" s="305" t="s">
        <v>323</v>
      </c>
      <c r="AP12" s="305" t="s">
        <v>324</v>
      </c>
      <c r="AQ12" s="305" t="s">
        <v>325</v>
      </c>
      <c r="AR12" s="305" t="s">
        <v>326</v>
      </c>
      <c r="AS12" s="1" t="s">
        <v>327</v>
      </c>
      <c r="AT12" s="300" t="s">
        <v>328</v>
      </c>
      <c r="AU12" s="299" t="s">
        <v>329</v>
      </c>
      <c r="AV12" s="301"/>
      <c r="AY12" s="39"/>
      <c r="AZ12" s="39"/>
      <c r="BB12" s="136"/>
    </row>
    <row r="13" spans="1:54" x14ac:dyDescent="0.35">
      <c r="A13" s="357">
        <v>43239</v>
      </c>
      <c r="B13" s="40">
        <v>2</v>
      </c>
      <c r="C13" s="40">
        <v>4.1666666666666664E-2</v>
      </c>
      <c r="D13" s="156" t="s">
        <v>179</v>
      </c>
      <c r="E13" s="154" t="e">
        <f>D13/1.42</f>
        <v>#VALUE!</v>
      </c>
      <c r="F13" s="154">
        <v>2</v>
      </c>
      <c r="G13" s="118">
        <v>68</v>
      </c>
      <c r="H13" s="154">
        <f t="shared" ref="H13:H36" si="0">G13/1.42</f>
        <v>47.887323943661976</v>
      </c>
      <c r="I13" s="154">
        <v>74</v>
      </c>
      <c r="J13" s="41" t="s">
        <v>88</v>
      </c>
      <c r="K13" s="41">
        <f>L13-(2/1.42)</f>
        <v>42.95774647887324</v>
      </c>
      <c r="L13" s="42">
        <f>(G13-5)/1.42</f>
        <v>44.366197183098592</v>
      </c>
      <c r="M13" s="41">
        <f>L13+(6/1.42)</f>
        <v>48.591549295774648</v>
      </c>
      <c r="N13" s="43">
        <v>14</v>
      </c>
      <c r="O13" s="44" t="s">
        <v>89</v>
      </c>
      <c r="P13" s="44">
        <v>11.4</v>
      </c>
      <c r="Q13" s="157" t="s">
        <v>179</v>
      </c>
      <c r="R13" s="157"/>
      <c r="S13" s="157">
        <v>94914765</v>
      </c>
      <c r="T13" s="45">
        <f>IF(ISBLANK(S13),"-",S13-S11)</f>
        <v>4423</v>
      </c>
      <c r="U13" s="46">
        <f>T13*24/1000</f>
        <v>106.152</v>
      </c>
      <c r="V13" s="46">
        <f>T13/1000</f>
        <v>4.423</v>
      </c>
      <c r="W13" s="96">
        <v>3.6</v>
      </c>
      <c r="X13" s="96">
        <f t="shared" ref="X13:X36" si="1">W13</f>
        <v>3.6</v>
      </c>
      <c r="Y13" s="97" t="s">
        <v>138</v>
      </c>
      <c r="Z13" s="158">
        <v>0</v>
      </c>
      <c r="AA13" s="158">
        <v>0</v>
      </c>
      <c r="AB13" s="158">
        <v>0</v>
      </c>
      <c r="AC13" s="158">
        <v>1185</v>
      </c>
      <c r="AD13" s="158">
        <v>1187</v>
      </c>
      <c r="AE13" s="158">
        <v>1185</v>
      </c>
      <c r="AF13" s="47" t="s">
        <v>90</v>
      </c>
      <c r="AG13" s="47" t="s">
        <v>90</v>
      </c>
      <c r="AH13" s="98" t="s">
        <v>90</v>
      </c>
      <c r="AI13" s="103">
        <v>15850991</v>
      </c>
      <c r="AJ13" s="45">
        <f>IF(ISBLANK(AI13),"-",AI13-AI11)</f>
        <v>1144</v>
      </c>
      <c r="AK13" s="48">
        <f>AJ13/V13</f>
        <v>258.64797648654758</v>
      </c>
      <c r="AL13" s="155">
        <v>0</v>
      </c>
      <c r="AM13" s="155">
        <v>0</v>
      </c>
      <c r="AN13" s="155">
        <v>0</v>
      </c>
      <c r="AO13" s="155">
        <v>1</v>
      </c>
      <c r="AP13" s="155">
        <v>1</v>
      </c>
      <c r="AQ13" s="155">
        <v>1</v>
      </c>
      <c r="AR13" s="155">
        <v>0.8</v>
      </c>
      <c r="AS13" s="158"/>
      <c r="AT13" s="158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357">
        <v>43239</v>
      </c>
      <c r="B14" s="40">
        <v>2.0416666666666701</v>
      </c>
      <c r="C14" s="40">
        <v>8.3333333333333329E-2</v>
      </c>
      <c r="D14" s="156" t="s">
        <v>179</v>
      </c>
      <c r="E14" s="154" t="e">
        <f t="shared" ref="E14:E36" si="2">D14/1.42</f>
        <v>#VALUE!</v>
      </c>
      <c r="F14" s="154">
        <v>3</v>
      </c>
      <c r="G14" s="118">
        <v>71</v>
      </c>
      <c r="H14" s="154">
        <f t="shared" si="0"/>
        <v>50</v>
      </c>
      <c r="I14" s="154">
        <v>76</v>
      </c>
      <c r="J14" s="41" t="s">
        <v>88</v>
      </c>
      <c r="K14" s="41">
        <f t="shared" ref="K14:K36" si="3">L14-(2/1.42)</f>
        <v>45.070422535211272</v>
      </c>
      <c r="L14" s="42">
        <f>(G14-5)/1.42</f>
        <v>46.478873239436624</v>
      </c>
      <c r="M14" s="41">
        <f>L14+(6/1.42)</f>
        <v>50.70422535211268</v>
      </c>
      <c r="N14" s="43">
        <v>14</v>
      </c>
      <c r="O14" s="44" t="s">
        <v>89</v>
      </c>
      <c r="P14" s="44">
        <v>11.2</v>
      </c>
      <c r="Q14" s="157" t="s">
        <v>179</v>
      </c>
      <c r="R14" s="157"/>
      <c r="S14" s="157">
        <v>94918665</v>
      </c>
      <c r="T14" s="45">
        <f t="shared" ref="T14:T36" si="4">IF(ISBLANK(S14),"-",S14-S13)</f>
        <v>3900</v>
      </c>
      <c r="U14" s="46">
        <f t="shared" ref="U14:U37" si="5">T14*24/1000</f>
        <v>93.6</v>
      </c>
      <c r="V14" s="46">
        <f t="shared" ref="V14:V37" si="6">T14/1000</f>
        <v>3.9</v>
      </c>
      <c r="W14" s="96">
        <v>5.4</v>
      </c>
      <c r="X14" s="96">
        <f t="shared" si="1"/>
        <v>5.4</v>
      </c>
      <c r="Y14" s="97" t="s">
        <v>138</v>
      </c>
      <c r="Z14" s="158">
        <v>0</v>
      </c>
      <c r="AA14" s="158">
        <v>0</v>
      </c>
      <c r="AB14" s="158">
        <v>0</v>
      </c>
      <c r="AC14" s="158">
        <v>1185</v>
      </c>
      <c r="AD14" s="158">
        <v>1187</v>
      </c>
      <c r="AE14" s="158">
        <v>1185</v>
      </c>
      <c r="AF14" s="47" t="s">
        <v>90</v>
      </c>
      <c r="AG14" s="47" t="s">
        <v>90</v>
      </c>
      <c r="AH14" s="98" t="s">
        <v>90</v>
      </c>
      <c r="AI14" s="103">
        <v>15852091</v>
      </c>
      <c r="AJ14" s="45">
        <f t="shared" ref="AJ14:AJ36" si="7">IF(ISBLANK(AI14),"-",AI14-AI13)</f>
        <v>1100</v>
      </c>
      <c r="AK14" s="48">
        <f t="shared" ref="AK14:AK36" si="8">AJ14/V14</f>
        <v>282.05128205128204</v>
      </c>
      <c r="AL14" s="155">
        <v>0</v>
      </c>
      <c r="AM14" s="155">
        <v>0</v>
      </c>
      <c r="AN14" s="155">
        <v>0</v>
      </c>
      <c r="AO14" s="155">
        <v>1</v>
      </c>
      <c r="AP14" s="155">
        <v>1</v>
      </c>
      <c r="AQ14" s="155">
        <v>1</v>
      </c>
      <c r="AR14" s="155">
        <v>0.8</v>
      </c>
      <c r="AS14" s="158"/>
      <c r="AT14" s="158">
        <f t="shared" ref="AT14:AT35" si="9">AS14-AS13</f>
        <v>0</v>
      </c>
      <c r="AU14" s="119">
        <v>0.99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57">
        <v>43239</v>
      </c>
      <c r="B15" s="40">
        <v>2.0833333333333299</v>
      </c>
      <c r="C15" s="40">
        <v>0.125</v>
      </c>
      <c r="D15" s="156" t="s">
        <v>179</v>
      </c>
      <c r="E15" s="154" t="e">
        <f t="shared" si="2"/>
        <v>#VALUE!</v>
      </c>
      <c r="F15" s="154">
        <v>4</v>
      </c>
      <c r="G15" s="118">
        <v>71</v>
      </c>
      <c r="H15" s="154">
        <f t="shared" si="0"/>
        <v>50</v>
      </c>
      <c r="I15" s="154">
        <v>78</v>
      </c>
      <c r="J15" s="41" t="s">
        <v>88</v>
      </c>
      <c r="K15" s="41">
        <f t="shared" si="3"/>
        <v>45.070422535211272</v>
      </c>
      <c r="L15" s="42">
        <f>(G15-5)/1.42</f>
        <v>46.478873239436624</v>
      </c>
      <c r="M15" s="41">
        <f>L15+(6/1.42)</f>
        <v>50.70422535211268</v>
      </c>
      <c r="N15" s="43">
        <v>14</v>
      </c>
      <c r="O15" s="44" t="s">
        <v>89</v>
      </c>
      <c r="P15" s="44">
        <v>11.2</v>
      </c>
      <c r="Q15" s="157" t="s">
        <v>179</v>
      </c>
      <c r="R15" s="157"/>
      <c r="S15" s="157">
        <v>94922608</v>
      </c>
      <c r="T15" s="45">
        <f>IF(ISBLANK(S15),"-",S15-S14)</f>
        <v>3943</v>
      </c>
      <c r="U15" s="46">
        <f t="shared" si="5"/>
        <v>94.632000000000005</v>
      </c>
      <c r="V15" s="46">
        <f t="shared" si="6"/>
        <v>3.9430000000000001</v>
      </c>
      <c r="W15" s="96">
        <v>7</v>
      </c>
      <c r="X15" s="96">
        <f t="shared" si="1"/>
        <v>7</v>
      </c>
      <c r="Y15" s="97" t="s">
        <v>138</v>
      </c>
      <c r="Z15" s="158">
        <v>0</v>
      </c>
      <c r="AA15" s="158">
        <v>0</v>
      </c>
      <c r="AB15" s="158">
        <v>0</v>
      </c>
      <c r="AC15" s="158">
        <v>1185</v>
      </c>
      <c r="AD15" s="158">
        <v>1187</v>
      </c>
      <c r="AE15" s="158">
        <v>1185</v>
      </c>
      <c r="AF15" s="47" t="s">
        <v>90</v>
      </c>
      <c r="AG15" s="47" t="s">
        <v>90</v>
      </c>
      <c r="AH15" s="98" t="s">
        <v>90</v>
      </c>
      <c r="AI15" s="103">
        <v>15853209</v>
      </c>
      <c r="AJ15" s="45">
        <f t="shared" si="7"/>
        <v>1118</v>
      </c>
      <c r="AK15" s="48">
        <f t="shared" si="8"/>
        <v>283.5404514329191</v>
      </c>
      <c r="AL15" s="155">
        <v>0</v>
      </c>
      <c r="AM15" s="155">
        <v>0</v>
      </c>
      <c r="AN15" s="155">
        <v>0</v>
      </c>
      <c r="AO15" s="155">
        <v>1</v>
      </c>
      <c r="AP15" s="155">
        <v>1</v>
      </c>
      <c r="AQ15" s="155">
        <v>1</v>
      </c>
      <c r="AR15" s="155">
        <v>0.8</v>
      </c>
      <c r="AS15" s="158"/>
      <c r="AT15" s="158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357">
        <v>43239</v>
      </c>
      <c r="B16" s="40">
        <v>2.125</v>
      </c>
      <c r="C16" s="40">
        <v>0.16666666666666699</v>
      </c>
      <c r="D16" s="156">
        <v>3</v>
      </c>
      <c r="E16" s="154">
        <f t="shared" si="2"/>
        <v>2.1126760563380285</v>
      </c>
      <c r="F16" s="154">
        <v>6</v>
      </c>
      <c r="G16" s="118">
        <v>70</v>
      </c>
      <c r="H16" s="154">
        <f t="shared" si="0"/>
        <v>49.295774647887328</v>
      </c>
      <c r="I16" s="154">
        <v>78</v>
      </c>
      <c r="J16" s="41" t="s">
        <v>88</v>
      </c>
      <c r="K16" s="41">
        <f t="shared" si="3"/>
        <v>44.366197183098592</v>
      </c>
      <c r="L16" s="42">
        <f>(G16-5)/1.42</f>
        <v>45.774647887323944</v>
      </c>
      <c r="M16" s="41">
        <f>L16+(6/1.42)</f>
        <v>50</v>
      </c>
      <c r="N16" s="43">
        <v>14</v>
      </c>
      <c r="O16" s="44" t="s">
        <v>89</v>
      </c>
      <c r="P16" s="44">
        <v>12.8</v>
      </c>
      <c r="Q16" s="157">
        <v>147</v>
      </c>
      <c r="R16" s="157"/>
      <c r="S16" s="157">
        <v>94926571</v>
      </c>
      <c r="T16" s="45">
        <f t="shared" si="4"/>
        <v>3963</v>
      </c>
      <c r="U16" s="46">
        <f t="shared" si="5"/>
        <v>95.111999999999995</v>
      </c>
      <c r="V16" s="46">
        <f t="shared" si="6"/>
        <v>3.9630000000000001</v>
      </c>
      <c r="W16" s="96">
        <v>8.6</v>
      </c>
      <c r="X16" s="96">
        <f t="shared" si="1"/>
        <v>8.6</v>
      </c>
      <c r="Y16" s="97" t="s">
        <v>138</v>
      </c>
      <c r="Z16" s="158">
        <v>0</v>
      </c>
      <c r="AA16" s="158">
        <v>0</v>
      </c>
      <c r="AB16" s="158">
        <v>0</v>
      </c>
      <c r="AC16" s="158">
        <v>1185</v>
      </c>
      <c r="AD16" s="158">
        <v>1187</v>
      </c>
      <c r="AE16" s="158">
        <v>1185</v>
      </c>
      <c r="AF16" s="47" t="s">
        <v>90</v>
      </c>
      <c r="AG16" s="47" t="s">
        <v>90</v>
      </c>
      <c r="AH16" s="98" t="s">
        <v>90</v>
      </c>
      <c r="AI16" s="103">
        <v>15854335</v>
      </c>
      <c r="AJ16" s="45">
        <f t="shared" si="7"/>
        <v>1126</v>
      </c>
      <c r="AK16" s="48">
        <f t="shared" si="8"/>
        <v>284.12818571789046</v>
      </c>
      <c r="AL16" s="155">
        <v>0</v>
      </c>
      <c r="AM16" s="155">
        <v>0</v>
      </c>
      <c r="AN16" s="155">
        <v>0</v>
      </c>
      <c r="AO16" s="155">
        <v>1</v>
      </c>
      <c r="AP16" s="155">
        <v>1</v>
      </c>
      <c r="AQ16" s="155">
        <v>1</v>
      </c>
      <c r="AR16" s="155">
        <v>0.8</v>
      </c>
      <c r="AS16" s="158"/>
      <c r="AT16" s="158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357">
        <v>43239</v>
      </c>
      <c r="B17" s="40">
        <v>2.1666666666666701</v>
      </c>
      <c r="C17" s="40">
        <v>0.20833333333333301</v>
      </c>
      <c r="D17" s="156">
        <v>3</v>
      </c>
      <c r="E17" s="154">
        <f t="shared" si="2"/>
        <v>2.1126760563380285</v>
      </c>
      <c r="F17" s="154">
        <v>8</v>
      </c>
      <c r="G17" s="118">
        <v>81</v>
      </c>
      <c r="H17" s="154">
        <f t="shared" si="0"/>
        <v>57.04225352112676</v>
      </c>
      <c r="I17" s="154">
        <v>80</v>
      </c>
      <c r="J17" s="41" t="s">
        <v>88</v>
      </c>
      <c r="K17" s="41">
        <f t="shared" si="3"/>
        <v>52.112676056338032</v>
      </c>
      <c r="L17" s="42">
        <f>(G17-5)/1.42</f>
        <v>53.521126760563384</v>
      </c>
      <c r="M17" s="41">
        <f>L17+(6/1.42)</f>
        <v>57.74647887323944</v>
      </c>
      <c r="N17" s="43">
        <v>18</v>
      </c>
      <c r="O17" s="44" t="s">
        <v>89</v>
      </c>
      <c r="P17" s="44">
        <v>13.1</v>
      </c>
      <c r="Q17" s="157">
        <v>126</v>
      </c>
      <c r="R17" s="157"/>
      <c r="S17" s="157">
        <v>94930590</v>
      </c>
      <c r="T17" s="45">
        <f t="shared" si="4"/>
        <v>4019</v>
      </c>
      <c r="U17" s="46">
        <f t="shared" si="5"/>
        <v>96.456000000000003</v>
      </c>
      <c r="V17" s="46">
        <f t="shared" si="6"/>
        <v>4.0190000000000001</v>
      </c>
      <c r="W17" s="96">
        <v>9.5</v>
      </c>
      <c r="X17" s="96">
        <f t="shared" si="1"/>
        <v>9.5</v>
      </c>
      <c r="Y17" s="97" t="s">
        <v>138</v>
      </c>
      <c r="Z17" s="158">
        <v>0</v>
      </c>
      <c r="AA17" s="158">
        <v>0</v>
      </c>
      <c r="AB17" s="158">
        <v>0</v>
      </c>
      <c r="AC17" s="158">
        <v>1185</v>
      </c>
      <c r="AD17" s="158">
        <v>1187</v>
      </c>
      <c r="AE17" s="158">
        <v>1185</v>
      </c>
      <c r="AF17" s="47" t="s">
        <v>90</v>
      </c>
      <c r="AG17" s="47" t="s">
        <v>90</v>
      </c>
      <c r="AH17" s="98" t="s">
        <v>90</v>
      </c>
      <c r="AI17" s="103">
        <v>15855392</v>
      </c>
      <c r="AJ17" s="45">
        <f t="shared" si="7"/>
        <v>1057</v>
      </c>
      <c r="AK17" s="48">
        <f t="shared" si="8"/>
        <v>263.00074645434188</v>
      </c>
      <c r="AL17" s="155">
        <v>0</v>
      </c>
      <c r="AM17" s="155">
        <v>0</v>
      </c>
      <c r="AN17" s="155">
        <v>0</v>
      </c>
      <c r="AO17" s="155">
        <v>1</v>
      </c>
      <c r="AP17" s="155">
        <v>1</v>
      </c>
      <c r="AQ17" s="155">
        <v>1</v>
      </c>
      <c r="AR17" s="155">
        <v>0</v>
      </c>
      <c r="AS17" s="158"/>
      <c r="AT17" s="158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57">
        <v>43239</v>
      </c>
      <c r="B18" s="40">
        <v>2.2083333333333299</v>
      </c>
      <c r="C18" s="40">
        <v>0.25</v>
      </c>
      <c r="D18" s="156">
        <v>3</v>
      </c>
      <c r="E18" s="154">
        <f t="shared" si="2"/>
        <v>2.1126760563380285</v>
      </c>
      <c r="F18" s="154">
        <v>8</v>
      </c>
      <c r="G18" s="118">
        <v>82</v>
      </c>
      <c r="H18" s="154">
        <f t="shared" si="0"/>
        <v>57.74647887323944</v>
      </c>
      <c r="I18" s="154">
        <v>80</v>
      </c>
      <c r="J18" s="41" t="s">
        <v>88</v>
      </c>
      <c r="K18" s="41">
        <f t="shared" si="3"/>
        <v>56.338028169014088</v>
      </c>
      <c r="L18" s="42">
        <f t="shared" ref="L18:L27" si="10">G18/1.42</f>
        <v>57.74647887323944</v>
      </c>
      <c r="M18" s="41">
        <f>L18+1.42</f>
        <v>59.166478873239441</v>
      </c>
      <c r="N18" s="43">
        <v>19</v>
      </c>
      <c r="O18" s="44" t="s">
        <v>100</v>
      </c>
      <c r="P18" s="44">
        <v>13.1</v>
      </c>
      <c r="Q18" s="157">
        <v>130</v>
      </c>
      <c r="R18" s="157"/>
      <c r="S18" s="157">
        <v>94934715</v>
      </c>
      <c r="T18" s="45">
        <f t="shared" si="4"/>
        <v>4125</v>
      </c>
      <c r="U18" s="46">
        <f t="shared" si="5"/>
        <v>99</v>
      </c>
      <c r="V18" s="46">
        <f t="shared" si="6"/>
        <v>4.125</v>
      </c>
      <c r="W18" s="96">
        <v>9.5</v>
      </c>
      <c r="X18" s="96">
        <f t="shared" si="1"/>
        <v>9.5</v>
      </c>
      <c r="Y18" s="97" t="s">
        <v>138</v>
      </c>
      <c r="Z18" s="158">
        <v>0</v>
      </c>
      <c r="AA18" s="158">
        <v>0</v>
      </c>
      <c r="AB18" s="158">
        <v>0</v>
      </c>
      <c r="AC18" s="158">
        <v>1185</v>
      </c>
      <c r="AD18" s="158">
        <v>1187</v>
      </c>
      <c r="AE18" s="158">
        <v>1185</v>
      </c>
      <c r="AF18" s="47" t="s">
        <v>90</v>
      </c>
      <c r="AG18" s="47" t="s">
        <v>90</v>
      </c>
      <c r="AH18" s="98" t="s">
        <v>90</v>
      </c>
      <c r="AI18" s="103">
        <v>15856532</v>
      </c>
      <c r="AJ18" s="45">
        <f t="shared" si="7"/>
        <v>1140</v>
      </c>
      <c r="AK18" s="48">
        <f t="shared" si="8"/>
        <v>276.36363636363637</v>
      </c>
      <c r="AL18" s="155">
        <v>0</v>
      </c>
      <c r="AM18" s="155">
        <v>0</v>
      </c>
      <c r="AN18" s="155">
        <v>0</v>
      </c>
      <c r="AO18" s="155">
        <v>1</v>
      </c>
      <c r="AP18" s="155">
        <v>1</v>
      </c>
      <c r="AQ18" s="155">
        <v>1</v>
      </c>
      <c r="AR18" s="155">
        <v>0</v>
      </c>
      <c r="AS18" s="158"/>
      <c r="AT18" s="158">
        <f t="shared" si="9"/>
        <v>0</v>
      </c>
      <c r="AU18" s="119">
        <v>1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57">
        <v>43239</v>
      </c>
      <c r="B19" s="40">
        <v>2.25</v>
      </c>
      <c r="C19" s="40">
        <v>0.29166666666666669</v>
      </c>
      <c r="D19" s="156">
        <v>4</v>
      </c>
      <c r="E19" s="154">
        <f t="shared" si="2"/>
        <v>2.8169014084507045</v>
      </c>
      <c r="F19" s="154">
        <v>8</v>
      </c>
      <c r="G19" s="118">
        <v>80</v>
      </c>
      <c r="H19" s="154">
        <f t="shared" si="0"/>
        <v>56.338028169014088</v>
      </c>
      <c r="I19" s="154">
        <v>80</v>
      </c>
      <c r="J19" s="41" t="s">
        <v>88</v>
      </c>
      <c r="K19" s="41">
        <f t="shared" si="3"/>
        <v>54.929577464788736</v>
      </c>
      <c r="L19" s="42">
        <f t="shared" si="10"/>
        <v>56.338028169014088</v>
      </c>
      <c r="M19" s="41">
        <f>L19+1.42</f>
        <v>57.758028169014089</v>
      </c>
      <c r="N19" s="43">
        <v>19</v>
      </c>
      <c r="O19" s="44" t="s">
        <v>100</v>
      </c>
      <c r="P19" s="44">
        <v>16.7</v>
      </c>
      <c r="Q19" s="157">
        <v>134</v>
      </c>
      <c r="R19" s="157"/>
      <c r="S19" s="157">
        <v>94939802</v>
      </c>
      <c r="T19" s="45">
        <f t="shared" si="4"/>
        <v>5087</v>
      </c>
      <c r="U19" s="46">
        <f t="shared" si="5"/>
        <v>122.08799999999999</v>
      </c>
      <c r="V19" s="46">
        <f t="shared" si="6"/>
        <v>5.0869999999999997</v>
      </c>
      <c r="W19" s="96">
        <v>9.1</v>
      </c>
      <c r="X19" s="96">
        <f t="shared" si="1"/>
        <v>9.1</v>
      </c>
      <c r="Y19" s="97" t="s">
        <v>169</v>
      </c>
      <c r="Z19" s="158">
        <v>1026</v>
      </c>
      <c r="AA19" s="158">
        <v>0</v>
      </c>
      <c r="AB19" s="158">
        <v>0</v>
      </c>
      <c r="AC19" s="158">
        <v>1185</v>
      </c>
      <c r="AD19" s="158">
        <v>1187</v>
      </c>
      <c r="AE19" s="158">
        <v>1185</v>
      </c>
      <c r="AF19" s="47" t="s">
        <v>90</v>
      </c>
      <c r="AG19" s="47" t="s">
        <v>90</v>
      </c>
      <c r="AH19" s="98" t="s">
        <v>90</v>
      </c>
      <c r="AI19" s="103">
        <v>15857632</v>
      </c>
      <c r="AJ19" s="45">
        <f t="shared" si="7"/>
        <v>1100</v>
      </c>
      <c r="AK19" s="48">
        <f t="shared" si="8"/>
        <v>216.2374680558286</v>
      </c>
      <c r="AL19" s="155">
        <v>1</v>
      </c>
      <c r="AM19" s="155">
        <v>0</v>
      </c>
      <c r="AN19" s="155">
        <v>0</v>
      </c>
      <c r="AO19" s="155">
        <v>1</v>
      </c>
      <c r="AP19" s="155">
        <v>1</v>
      </c>
      <c r="AQ19" s="155">
        <v>1</v>
      </c>
      <c r="AR19" s="155">
        <v>0</v>
      </c>
      <c r="AS19" s="158"/>
      <c r="AT19" s="158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57">
        <v>43239</v>
      </c>
      <c r="B20" s="40">
        <v>2.2916666666666701</v>
      </c>
      <c r="C20" s="40">
        <v>0.33333333333333298</v>
      </c>
      <c r="D20" s="156">
        <v>4</v>
      </c>
      <c r="E20" s="154">
        <f t="shared" si="2"/>
        <v>2.8169014084507045</v>
      </c>
      <c r="F20" s="154">
        <v>6</v>
      </c>
      <c r="G20" s="118">
        <v>78</v>
      </c>
      <c r="H20" s="154">
        <f t="shared" si="0"/>
        <v>54.929577464788736</v>
      </c>
      <c r="I20" s="154">
        <v>78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7">
        <v>130</v>
      </c>
      <c r="R20" s="157"/>
      <c r="S20" s="157">
        <v>94945188</v>
      </c>
      <c r="T20" s="45">
        <f t="shared" si="4"/>
        <v>5386</v>
      </c>
      <c r="U20" s="46">
        <f>T20*24/1000</f>
        <v>129.26400000000001</v>
      </c>
      <c r="V20" s="46">
        <f t="shared" si="6"/>
        <v>5.3860000000000001</v>
      </c>
      <c r="W20" s="96">
        <v>8.4</v>
      </c>
      <c r="X20" s="96">
        <f t="shared" si="1"/>
        <v>8.4</v>
      </c>
      <c r="Y20" s="97" t="s">
        <v>169</v>
      </c>
      <c r="Z20" s="158">
        <v>1047</v>
      </c>
      <c r="AA20" s="158">
        <v>0</v>
      </c>
      <c r="AB20" s="158">
        <v>0</v>
      </c>
      <c r="AC20" s="158">
        <v>1185</v>
      </c>
      <c r="AD20" s="158">
        <v>1187</v>
      </c>
      <c r="AE20" s="158">
        <v>1185</v>
      </c>
      <c r="AF20" s="47" t="s">
        <v>90</v>
      </c>
      <c r="AG20" s="47" t="s">
        <v>90</v>
      </c>
      <c r="AH20" s="98" t="s">
        <v>90</v>
      </c>
      <c r="AI20" s="103">
        <v>15858898</v>
      </c>
      <c r="AJ20" s="45">
        <f t="shared" si="7"/>
        <v>1266</v>
      </c>
      <c r="AK20" s="48">
        <f t="shared" si="8"/>
        <v>235.05384329743779</v>
      </c>
      <c r="AL20" s="155">
        <v>1</v>
      </c>
      <c r="AM20" s="155">
        <v>0</v>
      </c>
      <c r="AN20" s="155">
        <v>0</v>
      </c>
      <c r="AO20" s="155">
        <v>1</v>
      </c>
      <c r="AP20" s="155">
        <v>1</v>
      </c>
      <c r="AQ20" s="155">
        <v>1</v>
      </c>
      <c r="AR20" s="155">
        <v>0</v>
      </c>
      <c r="AS20" s="158"/>
      <c r="AT20" s="158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357">
        <v>43239</v>
      </c>
      <c r="B21" s="40">
        <v>2.3333333333333299</v>
      </c>
      <c r="C21" s="40">
        <v>0.375</v>
      </c>
      <c r="D21" s="156">
        <v>4</v>
      </c>
      <c r="E21" s="154">
        <f t="shared" si="2"/>
        <v>2.8169014084507045</v>
      </c>
      <c r="F21" s="154">
        <v>6</v>
      </c>
      <c r="G21" s="118">
        <v>77</v>
      </c>
      <c r="H21" s="154">
        <f t="shared" si="0"/>
        <v>54.225352112676056</v>
      </c>
      <c r="I21" s="154">
        <v>76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7">
        <v>129</v>
      </c>
      <c r="R21" s="157"/>
      <c r="S21" s="157">
        <v>94949902</v>
      </c>
      <c r="T21" s="45">
        <f t="shared" si="4"/>
        <v>4714</v>
      </c>
      <c r="U21" s="46">
        <f t="shared" si="5"/>
        <v>113.136</v>
      </c>
      <c r="V21" s="46">
        <f t="shared" si="6"/>
        <v>4.7140000000000004</v>
      </c>
      <c r="W21" s="96">
        <v>7.7</v>
      </c>
      <c r="X21" s="96">
        <f t="shared" si="1"/>
        <v>7.7</v>
      </c>
      <c r="Y21" s="97" t="s">
        <v>169</v>
      </c>
      <c r="Z21" s="158">
        <v>1047</v>
      </c>
      <c r="AA21" s="158">
        <v>0</v>
      </c>
      <c r="AB21" s="158">
        <v>0</v>
      </c>
      <c r="AC21" s="158">
        <v>1185</v>
      </c>
      <c r="AD21" s="158">
        <v>1188</v>
      </c>
      <c r="AE21" s="158">
        <v>1185</v>
      </c>
      <c r="AF21" s="47" t="s">
        <v>90</v>
      </c>
      <c r="AG21" s="47" t="s">
        <v>90</v>
      </c>
      <c r="AH21" s="98" t="s">
        <v>90</v>
      </c>
      <c r="AI21" s="103">
        <v>15860132</v>
      </c>
      <c r="AJ21" s="45">
        <f t="shared" si="7"/>
        <v>1234</v>
      </c>
      <c r="AK21" s="48">
        <f t="shared" si="8"/>
        <v>261.77344081459478</v>
      </c>
      <c r="AL21" s="155">
        <v>1</v>
      </c>
      <c r="AM21" s="155">
        <v>0</v>
      </c>
      <c r="AN21" s="155">
        <v>0</v>
      </c>
      <c r="AO21" s="155">
        <v>1</v>
      </c>
      <c r="AP21" s="155">
        <v>1</v>
      </c>
      <c r="AQ21" s="155">
        <v>1</v>
      </c>
      <c r="AR21" s="155">
        <v>0</v>
      </c>
      <c r="AS21" s="158"/>
      <c r="AT21" s="158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205</v>
      </c>
    </row>
    <row r="22" spans="1:54" x14ac:dyDescent="0.35">
      <c r="A22" s="357">
        <v>43239</v>
      </c>
      <c r="B22" s="40">
        <v>2.375</v>
      </c>
      <c r="C22" s="40">
        <v>0.41666666666666669</v>
      </c>
      <c r="D22" s="156">
        <v>4</v>
      </c>
      <c r="E22" s="154">
        <f t="shared" si="2"/>
        <v>2.8169014084507045</v>
      </c>
      <c r="F22" s="154">
        <v>5</v>
      </c>
      <c r="G22" s="118">
        <v>76</v>
      </c>
      <c r="H22" s="154">
        <f t="shared" si="0"/>
        <v>53.521126760563384</v>
      </c>
      <c r="I22" s="154">
        <v>76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7">
        <v>130</v>
      </c>
      <c r="R22" s="157"/>
      <c r="S22" s="157">
        <v>94954094</v>
      </c>
      <c r="T22" s="45">
        <f t="shared" si="4"/>
        <v>4192</v>
      </c>
      <c r="U22" s="46">
        <f t="shared" si="5"/>
        <v>100.608</v>
      </c>
      <c r="V22" s="46">
        <f t="shared" si="6"/>
        <v>4.1920000000000002</v>
      </c>
      <c r="W22" s="96">
        <v>7</v>
      </c>
      <c r="X22" s="96">
        <f t="shared" si="1"/>
        <v>7</v>
      </c>
      <c r="Y22" s="97" t="s">
        <v>169</v>
      </c>
      <c r="Z22" s="158">
        <v>1047</v>
      </c>
      <c r="AA22" s="158">
        <v>0</v>
      </c>
      <c r="AB22" s="158">
        <v>0</v>
      </c>
      <c r="AC22" s="158">
        <v>1185</v>
      </c>
      <c r="AD22" s="158">
        <v>1187</v>
      </c>
      <c r="AE22" s="158">
        <v>1185</v>
      </c>
      <c r="AF22" s="47" t="s">
        <v>90</v>
      </c>
      <c r="AG22" s="47" t="s">
        <v>90</v>
      </c>
      <c r="AH22" s="98" t="s">
        <v>90</v>
      </c>
      <c r="AI22" s="103">
        <v>15861238</v>
      </c>
      <c r="AJ22" s="45">
        <f t="shared" si="7"/>
        <v>1106</v>
      </c>
      <c r="AK22" s="48">
        <f t="shared" si="8"/>
        <v>263.8358778625954</v>
      </c>
      <c r="AL22" s="155">
        <v>1</v>
      </c>
      <c r="AM22" s="155">
        <v>0</v>
      </c>
      <c r="AN22" s="155">
        <v>0</v>
      </c>
      <c r="AO22" s="155">
        <v>1</v>
      </c>
      <c r="AP22" s="155">
        <v>1</v>
      </c>
      <c r="AQ22" s="155">
        <v>1</v>
      </c>
      <c r="AR22" s="155">
        <v>0</v>
      </c>
      <c r="AS22" s="158"/>
      <c r="AT22" s="158">
        <f t="shared" si="9"/>
        <v>0</v>
      </c>
      <c r="AU22" s="119">
        <v>1.1599999999999999</v>
      </c>
      <c r="AV22" s="50" t="s">
        <v>125</v>
      </c>
      <c r="BB22" s="136" t="s">
        <v>157</v>
      </c>
    </row>
    <row r="23" spans="1:54" x14ac:dyDescent="0.35">
      <c r="A23" s="357">
        <v>43239</v>
      </c>
      <c r="B23" s="40">
        <v>2.4166666666666701</v>
      </c>
      <c r="C23" s="40">
        <v>0.45833333333333298</v>
      </c>
      <c r="D23" s="156">
        <v>4</v>
      </c>
      <c r="E23" s="154">
        <f t="shared" si="2"/>
        <v>2.8169014084507045</v>
      </c>
      <c r="F23" s="154">
        <v>5</v>
      </c>
      <c r="G23" s="118">
        <v>76</v>
      </c>
      <c r="H23" s="154">
        <f t="shared" si="0"/>
        <v>53.521126760563384</v>
      </c>
      <c r="I23" s="154">
        <v>74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7">
        <v>128</v>
      </c>
      <c r="R23" s="157"/>
      <c r="S23" s="157">
        <v>94958246</v>
      </c>
      <c r="T23" s="45">
        <f t="shared" si="4"/>
        <v>4152</v>
      </c>
      <c r="U23" s="46">
        <f t="shared" si="5"/>
        <v>99.647999999999996</v>
      </c>
      <c r="V23" s="46">
        <f t="shared" si="6"/>
        <v>4.1520000000000001</v>
      </c>
      <c r="W23" s="96">
        <v>6.3</v>
      </c>
      <c r="X23" s="96">
        <f>W23</f>
        <v>6.3</v>
      </c>
      <c r="Y23" s="97" t="s">
        <v>169</v>
      </c>
      <c r="Z23" s="158">
        <v>1047</v>
      </c>
      <c r="AA23" s="158">
        <v>0</v>
      </c>
      <c r="AB23" s="158">
        <v>0</v>
      </c>
      <c r="AC23" s="158">
        <v>1185</v>
      </c>
      <c r="AD23" s="158">
        <v>1187</v>
      </c>
      <c r="AE23" s="158">
        <v>1185</v>
      </c>
      <c r="AF23" s="47" t="s">
        <v>90</v>
      </c>
      <c r="AG23" s="47" t="s">
        <v>90</v>
      </c>
      <c r="AH23" s="98" t="s">
        <v>90</v>
      </c>
      <c r="AI23" s="103">
        <v>15862388</v>
      </c>
      <c r="AJ23" s="45">
        <f t="shared" si="7"/>
        <v>1150</v>
      </c>
      <c r="AK23" s="48">
        <f t="shared" si="8"/>
        <v>276.97495183044316</v>
      </c>
      <c r="AL23" s="155">
        <v>1</v>
      </c>
      <c r="AM23" s="155">
        <v>0</v>
      </c>
      <c r="AN23" s="155">
        <v>0</v>
      </c>
      <c r="AO23" s="155">
        <v>1</v>
      </c>
      <c r="AP23" s="155">
        <v>1</v>
      </c>
      <c r="AQ23" s="155">
        <v>1</v>
      </c>
      <c r="AR23" s="155">
        <v>0</v>
      </c>
      <c r="AS23" s="158"/>
      <c r="AT23" s="158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357">
        <v>43239</v>
      </c>
      <c r="B24" s="40">
        <v>2.4583333333333299</v>
      </c>
      <c r="C24" s="40">
        <v>0.5</v>
      </c>
      <c r="D24" s="156">
        <v>4</v>
      </c>
      <c r="E24" s="154">
        <f t="shared" si="2"/>
        <v>2.8169014084507045</v>
      </c>
      <c r="F24" s="154">
        <v>4</v>
      </c>
      <c r="G24" s="118">
        <v>75</v>
      </c>
      <c r="H24" s="154">
        <f t="shared" si="0"/>
        <v>52.816901408450704</v>
      </c>
      <c r="I24" s="154">
        <v>72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7">
        <v>127</v>
      </c>
      <c r="R24" s="157"/>
      <c r="S24" s="157">
        <v>94962144</v>
      </c>
      <c r="T24" s="45">
        <f t="shared" si="4"/>
        <v>3898</v>
      </c>
      <c r="U24" s="46">
        <f>T24*24/1000</f>
        <v>93.552000000000007</v>
      </c>
      <c r="V24" s="46">
        <f t="shared" si="6"/>
        <v>3.8980000000000001</v>
      </c>
      <c r="W24" s="96">
        <v>5.7</v>
      </c>
      <c r="X24" s="96">
        <f t="shared" si="1"/>
        <v>5.7</v>
      </c>
      <c r="Y24" s="97" t="s">
        <v>169</v>
      </c>
      <c r="Z24" s="158">
        <v>1037</v>
      </c>
      <c r="AA24" s="158">
        <v>0</v>
      </c>
      <c r="AB24" s="158">
        <v>0</v>
      </c>
      <c r="AC24" s="158">
        <v>1185</v>
      </c>
      <c r="AD24" s="158">
        <v>1187</v>
      </c>
      <c r="AE24" s="158">
        <v>1185</v>
      </c>
      <c r="AF24" s="47" t="s">
        <v>90</v>
      </c>
      <c r="AG24" s="47" t="s">
        <v>90</v>
      </c>
      <c r="AH24" s="98" t="s">
        <v>90</v>
      </c>
      <c r="AI24" s="103">
        <v>15863618</v>
      </c>
      <c r="AJ24" s="45">
        <f t="shared" si="7"/>
        <v>1230</v>
      </c>
      <c r="AK24" s="48">
        <f t="shared" si="8"/>
        <v>315.54643406875317</v>
      </c>
      <c r="AL24" s="155">
        <v>1</v>
      </c>
      <c r="AM24" s="155">
        <v>0</v>
      </c>
      <c r="AN24" s="155">
        <v>0</v>
      </c>
      <c r="AO24" s="155">
        <v>1</v>
      </c>
      <c r="AP24" s="155">
        <v>1</v>
      </c>
      <c r="AQ24" s="155">
        <v>1</v>
      </c>
      <c r="AR24" s="155">
        <v>0</v>
      </c>
      <c r="AS24" s="158"/>
      <c r="AT24" s="158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357">
        <v>43239</v>
      </c>
      <c r="B25" s="40">
        <v>2.5</v>
      </c>
      <c r="C25" s="40">
        <v>0.54166666666666696</v>
      </c>
      <c r="D25" s="156">
        <v>4</v>
      </c>
      <c r="E25" s="154">
        <f t="shared" si="2"/>
        <v>2.8169014084507045</v>
      </c>
      <c r="F25" s="154">
        <v>4</v>
      </c>
      <c r="G25" s="118">
        <v>75</v>
      </c>
      <c r="H25" s="154">
        <f t="shared" si="0"/>
        <v>52.816901408450704</v>
      </c>
      <c r="I25" s="154">
        <v>72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7">
        <v>128</v>
      </c>
      <c r="R25" s="157"/>
      <c r="S25" s="157">
        <v>94965798</v>
      </c>
      <c r="T25" s="45">
        <f t="shared" si="4"/>
        <v>3654</v>
      </c>
      <c r="U25" s="46">
        <f>T25*24/1000</f>
        <v>87.695999999999998</v>
      </c>
      <c r="V25" s="46">
        <f t="shared" si="6"/>
        <v>3.6539999999999999</v>
      </c>
      <c r="W25" s="96">
        <v>5.0999999999999996</v>
      </c>
      <c r="X25" s="96">
        <f t="shared" si="1"/>
        <v>5.0999999999999996</v>
      </c>
      <c r="Y25" s="97" t="s">
        <v>169</v>
      </c>
      <c r="Z25" s="158">
        <v>1036</v>
      </c>
      <c r="AA25" s="158">
        <v>0</v>
      </c>
      <c r="AB25" s="158">
        <v>0</v>
      </c>
      <c r="AC25" s="158">
        <v>1185</v>
      </c>
      <c r="AD25" s="158">
        <v>1187</v>
      </c>
      <c r="AE25" s="158">
        <v>1185</v>
      </c>
      <c r="AF25" s="47" t="s">
        <v>90</v>
      </c>
      <c r="AG25" s="47" t="s">
        <v>90</v>
      </c>
      <c r="AH25" s="98" t="s">
        <v>90</v>
      </c>
      <c r="AI25" s="103">
        <v>15864802</v>
      </c>
      <c r="AJ25" s="45">
        <f t="shared" si="7"/>
        <v>1184</v>
      </c>
      <c r="AK25" s="48">
        <f t="shared" si="8"/>
        <v>324.02846195949644</v>
      </c>
      <c r="AL25" s="155">
        <v>1</v>
      </c>
      <c r="AM25" s="155">
        <v>0</v>
      </c>
      <c r="AN25" s="155">
        <v>0</v>
      </c>
      <c r="AO25" s="155">
        <v>1</v>
      </c>
      <c r="AP25" s="155">
        <v>1</v>
      </c>
      <c r="AQ25" s="155">
        <v>1</v>
      </c>
      <c r="AR25" s="155">
        <v>0</v>
      </c>
      <c r="AS25" s="158"/>
      <c r="AT25" s="158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57">
        <v>43239</v>
      </c>
      <c r="B26" s="40">
        <v>2.5416666666666701</v>
      </c>
      <c r="C26" s="40">
        <v>0.58333333333333404</v>
      </c>
      <c r="D26" s="156">
        <v>3</v>
      </c>
      <c r="E26" s="154">
        <f t="shared" si="2"/>
        <v>2.1126760563380285</v>
      </c>
      <c r="F26" s="154">
        <v>3</v>
      </c>
      <c r="G26" s="118">
        <v>74</v>
      </c>
      <c r="H26" s="154">
        <f>G26/1.42</f>
        <v>52.112676056338032</v>
      </c>
      <c r="I26" s="154">
        <v>72</v>
      </c>
      <c r="J26" s="41" t="s">
        <v>88</v>
      </c>
      <c r="K26" s="41">
        <f t="shared" si="3"/>
        <v>50.70422535211268</v>
      </c>
      <c r="L26" s="42">
        <f t="shared" si="10"/>
        <v>52.112676056338032</v>
      </c>
      <c r="M26" s="41">
        <f t="shared" ref="M26:M36" si="12">L26+(6/1.42)</f>
        <v>56.338028169014088</v>
      </c>
      <c r="N26" s="43">
        <v>18</v>
      </c>
      <c r="O26" s="44" t="s">
        <v>100</v>
      </c>
      <c r="P26" s="44">
        <v>17.3</v>
      </c>
      <c r="Q26" s="157">
        <v>128</v>
      </c>
      <c r="R26" s="157"/>
      <c r="S26" s="157">
        <v>94970242</v>
      </c>
      <c r="T26" s="45">
        <f t="shared" si="4"/>
        <v>4444</v>
      </c>
      <c r="U26" s="46">
        <f t="shared" si="5"/>
        <v>106.65600000000001</v>
      </c>
      <c r="V26" s="46">
        <f t="shared" si="6"/>
        <v>4.444</v>
      </c>
      <c r="W26" s="96">
        <v>4.5999999999999996</v>
      </c>
      <c r="X26" s="96">
        <f t="shared" si="1"/>
        <v>4.5999999999999996</v>
      </c>
      <c r="Y26" s="97" t="s">
        <v>169</v>
      </c>
      <c r="Z26" s="158">
        <v>1016</v>
      </c>
      <c r="AA26" s="158">
        <v>0</v>
      </c>
      <c r="AB26" s="158">
        <v>0</v>
      </c>
      <c r="AC26" s="158">
        <v>1185</v>
      </c>
      <c r="AD26" s="158">
        <v>1187</v>
      </c>
      <c r="AE26" s="158">
        <v>1185</v>
      </c>
      <c r="AF26" s="47" t="s">
        <v>90</v>
      </c>
      <c r="AG26" s="47" t="s">
        <v>90</v>
      </c>
      <c r="AH26" s="98" t="s">
        <v>90</v>
      </c>
      <c r="AI26" s="103">
        <v>15865992</v>
      </c>
      <c r="AJ26" s="45">
        <f t="shared" si="7"/>
        <v>1190</v>
      </c>
      <c r="AK26" s="48">
        <f t="shared" si="8"/>
        <v>267.77677767776777</v>
      </c>
      <c r="AL26" s="155">
        <v>1</v>
      </c>
      <c r="AM26" s="155">
        <v>0</v>
      </c>
      <c r="AN26" s="155">
        <v>0</v>
      </c>
      <c r="AO26" s="155">
        <v>1</v>
      </c>
      <c r="AP26" s="155">
        <v>1</v>
      </c>
      <c r="AQ26" s="155">
        <v>1</v>
      </c>
      <c r="AR26" s="155">
        <v>0</v>
      </c>
      <c r="AS26" s="158"/>
      <c r="AT26" s="158">
        <f t="shared" si="9"/>
        <v>0</v>
      </c>
      <c r="AU26" s="119">
        <v>1.19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57">
        <v>43239</v>
      </c>
      <c r="B27" s="40">
        <v>2.5833333333333299</v>
      </c>
      <c r="C27" s="40">
        <v>0.625</v>
      </c>
      <c r="D27" s="156">
        <v>3</v>
      </c>
      <c r="E27" s="154">
        <f t="shared" si="2"/>
        <v>2.1126760563380285</v>
      </c>
      <c r="F27" s="154">
        <v>3</v>
      </c>
      <c r="G27" s="118">
        <v>75</v>
      </c>
      <c r="H27" s="154">
        <f>G27/1.42</f>
        <v>52.816901408450704</v>
      </c>
      <c r="I27" s="154">
        <v>71</v>
      </c>
      <c r="J27" s="41" t="s">
        <v>88</v>
      </c>
      <c r="K27" s="41">
        <f t="shared" si="3"/>
        <v>51.408450704225352</v>
      </c>
      <c r="L27" s="42">
        <f t="shared" si="10"/>
        <v>52.816901408450704</v>
      </c>
      <c r="M27" s="41">
        <f t="shared" si="12"/>
        <v>57.04225352112676</v>
      </c>
      <c r="N27" s="43">
        <v>18</v>
      </c>
      <c r="O27" s="44" t="s">
        <v>100</v>
      </c>
      <c r="P27" s="44">
        <v>16.899999999999999</v>
      </c>
      <c r="Q27" s="157">
        <v>129</v>
      </c>
      <c r="R27" s="157"/>
      <c r="S27" s="157">
        <v>94974633</v>
      </c>
      <c r="T27" s="45">
        <f t="shared" si="4"/>
        <v>4391</v>
      </c>
      <c r="U27" s="46">
        <f t="shared" si="5"/>
        <v>105.384</v>
      </c>
      <c r="V27" s="46">
        <f t="shared" si="6"/>
        <v>4.391</v>
      </c>
      <c r="W27" s="96">
        <v>4.2</v>
      </c>
      <c r="X27" s="96">
        <f t="shared" si="1"/>
        <v>4.2</v>
      </c>
      <c r="Y27" s="97" t="s">
        <v>169</v>
      </c>
      <c r="Z27" s="158">
        <v>1015</v>
      </c>
      <c r="AA27" s="158">
        <v>0</v>
      </c>
      <c r="AB27" s="158">
        <v>0</v>
      </c>
      <c r="AC27" s="158">
        <v>1185</v>
      </c>
      <c r="AD27" s="158">
        <v>1187</v>
      </c>
      <c r="AE27" s="158">
        <v>1185</v>
      </c>
      <c r="AF27" s="47" t="s">
        <v>90</v>
      </c>
      <c r="AG27" s="47" t="s">
        <v>90</v>
      </c>
      <c r="AH27" s="98" t="s">
        <v>90</v>
      </c>
      <c r="AI27" s="103">
        <v>15867155</v>
      </c>
      <c r="AJ27" s="45">
        <f t="shared" si="7"/>
        <v>1163</v>
      </c>
      <c r="AK27" s="48">
        <f t="shared" si="8"/>
        <v>264.8599407879754</v>
      </c>
      <c r="AL27" s="155">
        <v>1</v>
      </c>
      <c r="AM27" s="155">
        <v>0</v>
      </c>
      <c r="AN27" s="155">
        <v>0</v>
      </c>
      <c r="AO27" s="155">
        <v>1</v>
      </c>
      <c r="AP27" s="155">
        <v>1</v>
      </c>
      <c r="AQ27" s="155">
        <v>1</v>
      </c>
      <c r="AR27" s="155">
        <v>0</v>
      </c>
      <c r="AS27" s="158"/>
      <c r="AT27" s="158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57">
        <v>43239</v>
      </c>
      <c r="B28" s="40">
        <v>2.625</v>
      </c>
      <c r="C28" s="40">
        <v>0.66666666666666696</v>
      </c>
      <c r="D28" s="156">
        <v>3</v>
      </c>
      <c r="E28" s="154">
        <f t="shared" si="2"/>
        <v>2.1126760563380285</v>
      </c>
      <c r="F28" s="154">
        <v>2</v>
      </c>
      <c r="G28" s="118">
        <v>75</v>
      </c>
      <c r="H28" s="154">
        <f t="shared" si="0"/>
        <v>52.816901408450704</v>
      </c>
      <c r="I28" s="154">
        <v>72</v>
      </c>
      <c r="J28" s="41" t="s">
        <v>88</v>
      </c>
      <c r="K28" s="41">
        <f t="shared" si="3"/>
        <v>49.295774647887328</v>
      </c>
      <c r="L28" s="42">
        <f>(G28-3)/1.42</f>
        <v>50.70422535211268</v>
      </c>
      <c r="M28" s="41">
        <f t="shared" si="12"/>
        <v>54.929577464788736</v>
      </c>
      <c r="N28" s="43">
        <v>18</v>
      </c>
      <c r="O28" s="44" t="s">
        <v>100</v>
      </c>
      <c r="P28" s="44">
        <v>16.7</v>
      </c>
      <c r="Q28" s="157">
        <v>130</v>
      </c>
      <c r="R28" s="157"/>
      <c r="S28" s="157">
        <v>94978945</v>
      </c>
      <c r="T28" s="45">
        <f t="shared" si="4"/>
        <v>4312</v>
      </c>
      <c r="U28" s="46">
        <f t="shared" si="5"/>
        <v>103.488</v>
      </c>
      <c r="V28" s="46">
        <f t="shared" si="6"/>
        <v>4.3120000000000003</v>
      </c>
      <c r="W28" s="96">
        <v>3.7</v>
      </c>
      <c r="X28" s="96">
        <f t="shared" si="1"/>
        <v>3.7</v>
      </c>
      <c r="Y28" s="97" t="s">
        <v>169</v>
      </c>
      <c r="Z28" s="158">
        <v>1016</v>
      </c>
      <c r="AA28" s="158">
        <v>0</v>
      </c>
      <c r="AB28" s="158">
        <v>0</v>
      </c>
      <c r="AC28" s="158">
        <v>1185</v>
      </c>
      <c r="AD28" s="158">
        <v>1187</v>
      </c>
      <c r="AE28" s="158">
        <v>1185</v>
      </c>
      <c r="AF28" s="47" t="s">
        <v>90</v>
      </c>
      <c r="AG28" s="47" t="s">
        <v>90</v>
      </c>
      <c r="AH28" s="98" t="s">
        <v>90</v>
      </c>
      <c r="AI28" s="103">
        <v>15868299</v>
      </c>
      <c r="AJ28" s="45">
        <f>IF(ISBLANK(AI28),"-",AI28-AI27)</f>
        <v>1144</v>
      </c>
      <c r="AK28" s="48">
        <f t="shared" si="8"/>
        <v>265.30612244897958</v>
      </c>
      <c r="AL28" s="155">
        <v>1</v>
      </c>
      <c r="AM28" s="155">
        <v>0</v>
      </c>
      <c r="AN28" s="155">
        <v>0</v>
      </c>
      <c r="AO28" s="155">
        <v>1</v>
      </c>
      <c r="AP28" s="155">
        <v>1</v>
      </c>
      <c r="AQ28" s="155">
        <v>1</v>
      </c>
      <c r="AR28" s="155">
        <v>0</v>
      </c>
      <c r="AS28" s="158"/>
      <c r="AT28" s="158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357">
        <v>43239</v>
      </c>
      <c r="B29" s="40">
        <v>2.6666666666666701</v>
      </c>
      <c r="C29" s="40">
        <v>0.70833333333333404</v>
      </c>
      <c r="D29" s="156">
        <v>3</v>
      </c>
      <c r="E29" s="154">
        <f t="shared" si="2"/>
        <v>2.1126760563380285</v>
      </c>
      <c r="F29" s="154">
        <v>0</v>
      </c>
      <c r="G29" s="118">
        <v>74</v>
      </c>
      <c r="H29" s="154">
        <f t="shared" si="0"/>
        <v>52.112676056338032</v>
      </c>
      <c r="I29" s="154">
        <v>71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7">
        <v>129</v>
      </c>
      <c r="R29" s="157"/>
      <c r="S29" s="157">
        <v>94983694</v>
      </c>
      <c r="T29" s="45">
        <f t="shared" si="4"/>
        <v>4749</v>
      </c>
      <c r="U29" s="46">
        <f t="shared" si="5"/>
        <v>113.976</v>
      </c>
      <c r="V29" s="46">
        <f t="shared" si="6"/>
        <v>4.7489999999999997</v>
      </c>
      <c r="W29" s="96">
        <v>3.3</v>
      </c>
      <c r="X29" s="96">
        <f t="shared" si="1"/>
        <v>3.3</v>
      </c>
      <c r="Y29" s="97" t="s">
        <v>169</v>
      </c>
      <c r="Z29" s="158">
        <v>1015</v>
      </c>
      <c r="AA29" s="158">
        <v>0</v>
      </c>
      <c r="AB29" s="158">
        <v>0</v>
      </c>
      <c r="AC29" s="158">
        <v>1185</v>
      </c>
      <c r="AD29" s="158">
        <v>1187</v>
      </c>
      <c r="AE29" s="158">
        <v>1185</v>
      </c>
      <c r="AF29" s="47" t="s">
        <v>90</v>
      </c>
      <c r="AG29" s="47" t="s">
        <v>90</v>
      </c>
      <c r="AH29" s="98" t="s">
        <v>90</v>
      </c>
      <c r="AI29" s="103">
        <v>15869460</v>
      </c>
      <c r="AJ29" s="45">
        <f t="shared" si="7"/>
        <v>1161</v>
      </c>
      <c r="AK29" s="48">
        <f>AJ28/V29</f>
        <v>240.892819540956</v>
      </c>
      <c r="AL29" s="155">
        <v>1</v>
      </c>
      <c r="AM29" s="155">
        <v>0</v>
      </c>
      <c r="AN29" s="155">
        <v>0</v>
      </c>
      <c r="AO29" s="155">
        <v>1</v>
      </c>
      <c r="AP29" s="155">
        <v>1</v>
      </c>
      <c r="AQ29" s="155">
        <v>1</v>
      </c>
      <c r="AR29" s="155">
        <v>0</v>
      </c>
      <c r="AS29" s="158"/>
      <c r="AT29" s="158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357">
        <v>43239</v>
      </c>
      <c r="B30" s="40">
        <v>2.7083333333333299</v>
      </c>
      <c r="C30" s="40">
        <v>0.750000000000002</v>
      </c>
      <c r="D30" s="156">
        <v>3</v>
      </c>
      <c r="E30" s="154">
        <f t="shared" si="2"/>
        <v>2.1126760563380285</v>
      </c>
      <c r="F30" s="154">
        <v>-1</v>
      </c>
      <c r="G30" s="118">
        <v>74</v>
      </c>
      <c r="H30" s="154">
        <f t="shared" si="0"/>
        <v>52.112676056338032</v>
      </c>
      <c r="I30" s="154">
        <v>71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7">
        <v>129</v>
      </c>
      <c r="R30" s="157"/>
      <c r="S30" s="157">
        <v>94988294</v>
      </c>
      <c r="T30" s="45">
        <f t="shared" si="4"/>
        <v>4600</v>
      </c>
      <c r="U30" s="46">
        <f t="shared" si="5"/>
        <v>110.4</v>
      </c>
      <c r="V30" s="46">
        <f t="shared" si="6"/>
        <v>4.5999999999999996</v>
      </c>
      <c r="W30" s="96">
        <v>2.9</v>
      </c>
      <c r="X30" s="96">
        <f t="shared" si="1"/>
        <v>2.9</v>
      </c>
      <c r="Y30" s="97" t="s">
        <v>169</v>
      </c>
      <c r="Z30" s="158">
        <v>1016</v>
      </c>
      <c r="AA30" s="158">
        <v>0</v>
      </c>
      <c r="AB30" s="158">
        <v>0</v>
      </c>
      <c r="AC30" s="158">
        <v>1185</v>
      </c>
      <c r="AD30" s="158">
        <v>1187</v>
      </c>
      <c r="AE30" s="158">
        <v>1185</v>
      </c>
      <c r="AF30" s="47" t="s">
        <v>90</v>
      </c>
      <c r="AG30" s="47" t="s">
        <v>90</v>
      </c>
      <c r="AH30" s="98" t="s">
        <v>90</v>
      </c>
      <c r="AI30" s="103">
        <v>15870613</v>
      </c>
      <c r="AJ30" s="45">
        <f t="shared" si="7"/>
        <v>1153</v>
      </c>
      <c r="AK30" s="48">
        <f>AJ29/V30</f>
        <v>252.39130434782609</v>
      </c>
      <c r="AL30" s="155">
        <v>1</v>
      </c>
      <c r="AM30" s="155">
        <v>0</v>
      </c>
      <c r="AN30" s="155">
        <v>0</v>
      </c>
      <c r="AO30" s="155">
        <v>1</v>
      </c>
      <c r="AP30" s="155">
        <v>1</v>
      </c>
      <c r="AQ30" s="155">
        <v>1</v>
      </c>
      <c r="AR30" s="155">
        <v>0</v>
      </c>
      <c r="AS30" s="158"/>
      <c r="AT30" s="158">
        <f t="shared" si="9"/>
        <v>0</v>
      </c>
      <c r="AU30" s="159">
        <v>1.05</v>
      </c>
      <c r="AV30" s="50" t="s">
        <v>124</v>
      </c>
      <c r="AY30" s="55" t="s">
        <v>114</v>
      </c>
      <c r="AZ30" s="55">
        <v>101.325</v>
      </c>
      <c r="BB30" s="74" t="s">
        <v>143</v>
      </c>
    </row>
    <row r="31" spans="1:54" x14ac:dyDescent="0.35">
      <c r="A31" s="357">
        <v>43239</v>
      </c>
      <c r="B31" s="40">
        <v>2.75</v>
      </c>
      <c r="C31" s="40">
        <v>0.79166666666666896</v>
      </c>
      <c r="D31" s="156">
        <v>3</v>
      </c>
      <c r="E31" s="154">
        <f t="shared" si="2"/>
        <v>2.1126760563380285</v>
      </c>
      <c r="F31" s="154">
        <v>-2</v>
      </c>
      <c r="G31" s="118">
        <v>74</v>
      </c>
      <c r="H31" s="154">
        <f t="shared" si="0"/>
        <v>52.112676056338032</v>
      </c>
      <c r="I31" s="154">
        <v>71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7">
        <v>129</v>
      </c>
      <c r="R31" s="157"/>
      <c r="S31" s="157">
        <v>94993232</v>
      </c>
      <c r="T31" s="45">
        <f t="shared" si="4"/>
        <v>4938</v>
      </c>
      <c r="U31" s="46">
        <f t="shared" si="5"/>
        <v>118.512</v>
      </c>
      <c r="V31" s="46">
        <f t="shared" si="6"/>
        <v>4.9379999999999997</v>
      </c>
      <c r="W31" s="96">
        <v>2.6</v>
      </c>
      <c r="X31" s="96">
        <f t="shared" si="1"/>
        <v>2.6</v>
      </c>
      <c r="Y31" s="97" t="s">
        <v>169</v>
      </c>
      <c r="Z31" s="158">
        <v>1014</v>
      </c>
      <c r="AA31" s="158">
        <v>0</v>
      </c>
      <c r="AB31" s="158">
        <v>0</v>
      </c>
      <c r="AC31" s="158">
        <v>1185</v>
      </c>
      <c r="AD31" s="158">
        <v>1187</v>
      </c>
      <c r="AE31" s="158">
        <v>1185</v>
      </c>
      <c r="AF31" s="47" t="s">
        <v>90</v>
      </c>
      <c r="AG31" s="47" t="s">
        <v>90</v>
      </c>
      <c r="AH31" s="98" t="s">
        <v>90</v>
      </c>
      <c r="AI31" s="103">
        <v>15871804</v>
      </c>
      <c r="AJ31" s="45">
        <f t="shared" si="7"/>
        <v>1191</v>
      </c>
      <c r="AK31" s="48">
        <f t="shared" si="8"/>
        <v>241.19076549210209</v>
      </c>
      <c r="AL31" s="155">
        <v>1</v>
      </c>
      <c r="AM31" s="155">
        <v>0</v>
      </c>
      <c r="AN31" s="155">
        <v>0</v>
      </c>
      <c r="AO31" s="155">
        <v>1</v>
      </c>
      <c r="AP31" s="155">
        <v>1</v>
      </c>
      <c r="AQ31" s="155">
        <v>1</v>
      </c>
      <c r="AR31" s="155">
        <v>0</v>
      </c>
      <c r="AS31" s="158"/>
      <c r="AT31" s="158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357">
        <v>43239</v>
      </c>
      <c r="B32" s="40">
        <v>2.7916666666666701</v>
      </c>
      <c r="C32" s="40">
        <v>0.83333333333333703</v>
      </c>
      <c r="D32" s="156">
        <v>3</v>
      </c>
      <c r="E32" s="154">
        <f t="shared" si="2"/>
        <v>2.1126760563380285</v>
      </c>
      <c r="F32" s="154">
        <v>-3</v>
      </c>
      <c r="G32" s="118">
        <v>74</v>
      </c>
      <c r="H32" s="154">
        <f t="shared" si="0"/>
        <v>52.112676056338032</v>
      </c>
      <c r="I32" s="154">
        <v>70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7">
        <v>129</v>
      </c>
      <c r="R32" s="157"/>
      <c r="S32" s="157">
        <v>94997801</v>
      </c>
      <c r="T32" s="45">
        <f t="shared" si="4"/>
        <v>4569</v>
      </c>
      <c r="U32" s="46">
        <f t="shared" si="5"/>
        <v>109.65600000000001</v>
      </c>
      <c r="V32" s="46">
        <f t="shared" si="6"/>
        <v>4.569</v>
      </c>
      <c r="W32" s="96">
        <v>2.2999999999999998</v>
      </c>
      <c r="X32" s="96">
        <f t="shared" si="1"/>
        <v>2.2999999999999998</v>
      </c>
      <c r="Y32" s="97" t="s">
        <v>169</v>
      </c>
      <c r="Z32" s="158">
        <v>1016</v>
      </c>
      <c r="AA32" s="158">
        <v>0</v>
      </c>
      <c r="AB32" s="158">
        <v>0</v>
      </c>
      <c r="AC32" s="158">
        <v>1185</v>
      </c>
      <c r="AD32" s="158">
        <v>1187</v>
      </c>
      <c r="AE32" s="158">
        <v>1185</v>
      </c>
      <c r="AF32" s="47" t="s">
        <v>90</v>
      </c>
      <c r="AG32" s="47" t="s">
        <v>90</v>
      </c>
      <c r="AH32" s="98" t="s">
        <v>90</v>
      </c>
      <c r="AI32" s="103">
        <v>15872931</v>
      </c>
      <c r="AJ32" s="45">
        <f t="shared" si="7"/>
        <v>1127</v>
      </c>
      <c r="AK32" s="48">
        <f t="shared" si="8"/>
        <v>246.66228934121253</v>
      </c>
      <c r="AL32" s="155">
        <v>1</v>
      </c>
      <c r="AM32" s="155">
        <v>0</v>
      </c>
      <c r="AN32" s="155">
        <v>0</v>
      </c>
      <c r="AO32" s="155">
        <v>1</v>
      </c>
      <c r="AP32" s="155">
        <v>1</v>
      </c>
      <c r="AQ32" s="155">
        <v>1</v>
      </c>
      <c r="AR32" s="155">
        <v>0</v>
      </c>
      <c r="AS32" s="158"/>
      <c r="AT32" s="158">
        <v>0</v>
      </c>
      <c r="AU32" s="49"/>
      <c r="AV32" s="50" t="s">
        <v>124</v>
      </c>
      <c r="AY32" s="308" t="s">
        <v>115</v>
      </c>
      <c r="AZ32" s="308"/>
      <c r="BB32" s="74" t="s">
        <v>156</v>
      </c>
    </row>
    <row r="33" spans="1:54" x14ac:dyDescent="0.35">
      <c r="A33" s="357">
        <v>43239</v>
      </c>
      <c r="B33" s="40">
        <v>2.8333333333333299</v>
      </c>
      <c r="C33" s="40">
        <v>0.875</v>
      </c>
      <c r="D33" s="156">
        <v>3</v>
      </c>
      <c r="E33" s="154">
        <f t="shared" si="2"/>
        <v>2.1126760563380285</v>
      </c>
      <c r="F33" s="154">
        <v>-5</v>
      </c>
      <c r="G33" s="118">
        <v>75</v>
      </c>
      <c r="H33" s="154">
        <f t="shared" si="0"/>
        <v>52.816901408450704</v>
      </c>
      <c r="I33" s="154">
        <v>70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7">
        <v>127</v>
      </c>
      <c r="R33" s="157"/>
      <c r="S33" s="157">
        <v>95002567</v>
      </c>
      <c r="T33" s="45">
        <f t="shared" si="4"/>
        <v>4766</v>
      </c>
      <c r="U33" s="46">
        <f t="shared" si="5"/>
        <v>114.384</v>
      </c>
      <c r="V33" s="46">
        <f t="shared" si="6"/>
        <v>4.766</v>
      </c>
      <c r="W33" s="96">
        <v>1.9</v>
      </c>
      <c r="X33" s="96">
        <f t="shared" si="1"/>
        <v>1.9</v>
      </c>
      <c r="Y33" s="97" t="s">
        <v>169</v>
      </c>
      <c r="Z33" s="158">
        <v>1025</v>
      </c>
      <c r="AA33" s="158">
        <v>0</v>
      </c>
      <c r="AB33" s="158">
        <v>0</v>
      </c>
      <c r="AC33" s="158">
        <v>1185</v>
      </c>
      <c r="AD33" s="158">
        <v>1187</v>
      </c>
      <c r="AE33" s="158">
        <v>1185</v>
      </c>
      <c r="AF33" s="47" t="s">
        <v>90</v>
      </c>
      <c r="AG33" s="47" t="s">
        <v>90</v>
      </c>
      <c r="AH33" s="98" t="s">
        <v>90</v>
      </c>
      <c r="AI33" s="103">
        <v>15874069</v>
      </c>
      <c r="AJ33" s="45">
        <f t="shared" si="7"/>
        <v>1138</v>
      </c>
      <c r="AK33" s="48">
        <f t="shared" si="8"/>
        <v>238.77465379773395</v>
      </c>
      <c r="AL33" s="155">
        <v>1</v>
      </c>
      <c r="AM33" s="155">
        <v>0</v>
      </c>
      <c r="AN33" s="155">
        <v>0</v>
      </c>
      <c r="AO33" s="155">
        <v>1</v>
      </c>
      <c r="AP33" s="155">
        <v>1</v>
      </c>
      <c r="AQ33" s="155">
        <v>1</v>
      </c>
      <c r="AR33" s="155">
        <v>0</v>
      </c>
      <c r="AS33" s="158"/>
      <c r="AT33" s="158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57">
        <v>43239</v>
      </c>
      <c r="B34" s="40">
        <v>2.875</v>
      </c>
      <c r="C34" s="40">
        <v>0.91666666666667096</v>
      </c>
      <c r="D34" s="156">
        <v>3</v>
      </c>
      <c r="E34" s="154">
        <f t="shared" si="2"/>
        <v>2.1126760563380285</v>
      </c>
      <c r="F34" s="154">
        <v>-5</v>
      </c>
      <c r="G34" s="118">
        <v>75</v>
      </c>
      <c r="H34" s="154">
        <f t="shared" si="0"/>
        <v>52.816901408450704</v>
      </c>
      <c r="I34" s="154">
        <v>70</v>
      </c>
      <c r="J34" s="41" t="s">
        <v>88</v>
      </c>
      <c r="K34" s="41">
        <f t="shared" si="3"/>
        <v>49.295774647887328</v>
      </c>
      <c r="L34" s="42">
        <f t="shared" si="13"/>
        <v>50.70422535211268</v>
      </c>
      <c r="M34" s="41">
        <f t="shared" si="12"/>
        <v>54.929577464788736</v>
      </c>
      <c r="N34" s="43">
        <v>14</v>
      </c>
      <c r="O34" s="44" t="s">
        <v>116</v>
      </c>
      <c r="P34" s="44">
        <v>12.6</v>
      </c>
      <c r="Q34" s="157">
        <v>133</v>
      </c>
      <c r="R34" s="157"/>
      <c r="S34" s="157">
        <v>95007125</v>
      </c>
      <c r="T34" s="45">
        <f t="shared" si="4"/>
        <v>4558</v>
      </c>
      <c r="U34" s="46">
        <f t="shared" si="5"/>
        <v>109.392</v>
      </c>
      <c r="V34" s="46">
        <f t="shared" si="6"/>
        <v>4.5579999999999998</v>
      </c>
      <c r="W34" s="96">
        <v>1.7</v>
      </c>
      <c r="X34" s="96">
        <f t="shared" si="1"/>
        <v>1.7</v>
      </c>
      <c r="Y34" s="97" t="s">
        <v>169</v>
      </c>
      <c r="Z34" s="158">
        <v>1025</v>
      </c>
      <c r="AA34" s="158">
        <v>0</v>
      </c>
      <c r="AB34" s="158">
        <v>0</v>
      </c>
      <c r="AC34" s="158">
        <v>1185</v>
      </c>
      <c r="AD34" s="158">
        <v>1187</v>
      </c>
      <c r="AE34" s="158">
        <v>1185</v>
      </c>
      <c r="AF34" s="47" t="s">
        <v>90</v>
      </c>
      <c r="AG34" s="47" t="s">
        <v>90</v>
      </c>
      <c r="AH34" s="98" t="s">
        <v>90</v>
      </c>
      <c r="AI34" s="103">
        <v>15875230</v>
      </c>
      <c r="AJ34" s="45">
        <f t="shared" si="7"/>
        <v>1161</v>
      </c>
      <c r="AK34" s="48">
        <f t="shared" si="8"/>
        <v>254.71698113207549</v>
      </c>
      <c r="AL34" s="155">
        <v>1</v>
      </c>
      <c r="AM34" s="155">
        <v>0</v>
      </c>
      <c r="AN34" s="155">
        <v>0</v>
      </c>
      <c r="AO34" s="155">
        <v>1</v>
      </c>
      <c r="AP34" s="155">
        <v>1</v>
      </c>
      <c r="AQ34" s="155">
        <v>1</v>
      </c>
      <c r="AR34" s="155">
        <v>0</v>
      </c>
      <c r="AS34" s="158"/>
      <c r="AT34" s="158">
        <f>AS34-AS33</f>
        <v>0</v>
      </c>
      <c r="AU34" s="119">
        <v>0.96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357">
        <v>43239</v>
      </c>
      <c r="B35" s="40">
        <v>2.9166666666666701</v>
      </c>
      <c r="C35" s="40">
        <v>0.95833333333333803</v>
      </c>
      <c r="D35" s="156">
        <v>3</v>
      </c>
      <c r="E35" s="154">
        <f t="shared" si="2"/>
        <v>2.1126760563380285</v>
      </c>
      <c r="F35" s="154">
        <v>-3</v>
      </c>
      <c r="G35" s="118">
        <v>73</v>
      </c>
      <c r="H35" s="154">
        <f t="shared" si="0"/>
        <v>51.408450704225352</v>
      </c>
      <c r="I35" s="154">
        <v>71</v>
      </c>
      <c r="J35" s="41" t="s">
        <v>88</v>
      </c>
      <c r="K35" s="41">
        <f>L35-(2/1.42)</f>
        <v>46.478873239436624</v>
      </c>
      <c r="L35" s="42">
        <f>(G35-5)/1.42</f>
        <v>47.887323943661976</v>
      </c>
      <c r="M35" s="41">
        <f t="shared" si="12"/>
        <v>52.112676056338032</v>
      </c>
      <c r="N35" s="43">
        <v>14</v>
      </c>
      <c r="O35" s="44" t="s">
        <v>116</v>
      </c>
      <c r="P35" s="44">
        <v>11.9</v>
      </c>
      <c r="Q35" s="157">
        <v>138</v>
      </c>
      <c r="R35" s="157"/>
      <c r="S35" s="157">
        <v>95011862</v>
      </c>
      <c r="T35" s="45">
        <f t="shared" si="4"/>
        <v>4737</v>
      </c>
      <c r="U35" s="46">
        <f t="shared" si="5"/>
        <v>113.688</v>
      </c>
      <c r="V35" s="46">
        <f t="shared" si="6"/>
        <v>4.7370000000000001</v>
      </c>
      <c r="W35" s="96">
        <v>1.9</v>
      </c>
      <c r="X35" s="96">
        <f t="shared" si="1"/>
        <v>1.9</v>
      </c>
      <c r="Y35" s="97" t="s">
        <v>138</v>
      </c>
      <c r="Z35" s="158">
        <v>0</v>
      </c>
      <c r="AA35" s="158">
        <v>0</v>
      </c>
      <c r="AB35" s="158">
        <v>0</v>
      </c>
      <c r="AC35" s="158">
        <v>1185</v>
      </c>
      <c r="AD35" s="158">
        <v>1187</v>
      </c>
      <c r="AE35" s="158">
        <v>1185</v>
      </c>
      <c r="AF35" s="47" t="s">
        <v>90</v>
      </c>
      <c r="AG35" s="47" t="s">
        <v>90</v>
      </c>
      <c r="AH35" s="98" t="s">
        <v>90</v>
      </c>
      <c r="AI35" s="103">
        <v>15876318</v>
      </c>
      <c r="AJ35" s="45">
        <f t="shared" si="7"/>
        <v>1088</v>
      </c>
      <c r="AK35" s="48">
        <f t="shared" si="8"/>
        <v>229.68123284779395</v>
      </c>
      <c r="AL35" s="155">
        <v>0</v>
      </c>
      <c r="AM35" s="155">
        <v>0</v>
      </c>
      <c r="AN35" s="155">
        <v>0</v>
      </c>
      <c r="AO35" s="155">
        <v>1</v>
      </c>
      <c r="AP35" s="155">
        <v>1</v>
      </c>
      <c r="AQ35" s="155">
        <v>1</v>
      </c>
      <c r="AR35" s="155">
        <v>0</v>
      </c>
      <c r="AS35" s="158"/>
      <c r="AT35" s="158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357">
        <v>43239</v>
      </c>
      <c r="B36" s="40">
        <v>2.9583333333333299</v>
      </c>
      <c r="C36" s="40">
        <v>1</v>
      </c>
      <c r="D36" s="156" t="s">
        <v>179</v>
      </c>
      <c r="E36" s="154" t="e">
        <f t="shared" si="2"/>
        <v>#VALUE!</v>
      </c>
      <c r="F36" s="154">
        <v>-1</v>
      </c>
      <c r="G36" s="118">
        <v>72</v>
      </c>
      <c r="H36" s="154">
        <f t="shared" si="0"/>
        <v>50.70422535211268</v>
      </c>
      <c r="I36" s="154">
        <v>70</v>
      </c>
      <c r="J36" s="41" t="s">
        <v>88</v>
      </c>
      <c r="K36" s="41">
        <f t="shared" si="3"/>
        <v>45.774647887323944</v>
      </c>
      <c r="L36" s="42">
        <f>(G36-5)/1.42</f>
        <v>47.183098591549296</v>
      </c>
      <c r="M36" s="41">
        <f t="shared" si="12"/>
        <v>51.408450704225352</v>
      </c>
      <c r="N36" s="43">
        <v>14</v>
      </c>
      <c r="O36" s="44" t="s">
        <v>116</v>
      </c>
      <c r="P36" s="58">
        <v>11.5</v>
      </c>
      <c r="Q36" s="157" t="s">
        <v>179</v>
      </c>
      <c r="R36" s="157"/>
      <c r="S36" s="157">
        <v>95016120</v>
      </c>
      <c r="T36" s="45">
        <f t="shared" si="4"/>
        <v>4258</v>
      </c>
      <c r="U36" s="46">
        <f t="shared" si="5"/>
        <v>102.19199999999999</v>
      </c>
      <c r="V36" s="46">
        <f t="shared" si="6"/>
        <v>4.258</v>
      </c>
      <c r="W36" s="96">
        <v>2.8</v>
      </c>
      <c r="X36" s="96">
        <f t="shared" si="1"/>
        <v>2.8</v>
      </c>
      <c r="Y36" s="97"/>
      <c r="Z36" s="158">
        <v>0</v>
      </c>
      <c r="AA36" s="158">
        <v>0</v>
      </c>
      <c r="AB36" s="158">
        <v>0</v>
      </c>
      <c r="AC36" s="158">
        <v>1185</v>
      </c>
      <c r="AD36" s="158">
        <v>1187</v>
      </c>
      <c r="AE36" s="158">
        <v>1185</v>
      </c>
      <c r="AF36" s="47" t="s">
        <v>90</v>
      </c>
      <c r="AG36" s="47" t="s">
        <v>90</v>
      </c>
      <c r="AH36" s="98" t="s">
        <v>90</v>
      </c>
      <c r="AI36" s="103">
        <v>15877416</v>
      </c>
      <c r="AJ36" s="45">
        <f t="shared" si="7"/>
        <v>1098</v>
      </c>
      <c r="AK36" s="48">
        <f t="shared" si="8"/>
        <v>257.86754344762801</v>
      </c>
      <c r="AL36" s="155">
        <v>0</v>
      </c>
      <c r="AM36" s="155">
        <v>0</v>
      </c>
      <c r="AN36" s="155">
        <v>0</v>
      </c>
      <c r="AO36" s="155">
        <v>1</v>
      </c>
      <c r="AP36" s="155">
        <v>1</v>
      </c>
      <c r="AQ36" s="155">
        <v>1</v>
      </c>
      <c r="AR36" s="155">
        <v>0</v>
      </c>
      <c r="AS36" s="158"/>
      <c r="AT36" s="158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73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09" t="s">
        <v>118</v>
      </c>
      <c r="O37" s="310"/>
      <c r="P37" s="311"/>
      <c r="Q37" s="101"/>
      <c r="R37" s="101"/>
      <c r="S37" s="101"/>
      <c r="T37" s="60">
        <f>SUM(T13:T36)</f>
        <v>105778</v>
      </c>
      <c r="U37" s="46">
        <f t="shared" si="5"/>
        <v>2538.672</v>
      </c>
      <c r="V37" s="46">
        <f t="shared" si="6"/>
        <v>105.77800000000001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27569</v>
      </c>
      <c r="AK37" s="61">
        <f>$AJ$37/$V37</f>
        <v>260.6307549774055</v>
      </c>
      <c r="AL37" s="155"/>
      <c r="AM37" s="155"/>
      <c r="AN37" s="155"/>
      <c r="AO37" s="155"/>
      <c r="AP37" s="155"/>
      <c r="AQ37" s="155"/>
      <c r="AR37" s="62"/>
      <c r="AS37" s="63">
        <f>AS36-AS11</f>
        <v>0</v>
      </c>
      <c r="AT37" s="64">
        <f>SUM(AT13:AT36)</f>
        <v>0</v>
      </c>
      <c r="AU37" s="65">
        <f>AVERAGE(AU13:AU36)</f>
        <v>1.0583333333333333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7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8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8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4"/>
      <c r="D47" s="164"/>
      <c r="E47" s="164"/>
      <c r="F47" s="164"/>
      <c r="G47" s="164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71" t="s">
        <v>241</v>
      </c>
      <c r="C48" s="172"/>
      <c r="D48" s="172"/>
      <c r="E48" s="172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70"/>
      <c r="D49" s="170"/>
      <c r="E49" s="170"/>
      <c r="F49" s="161"/>
      <c r="G49" s="161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15" t="s">
        <v>182</v>
      </c>
      <c r="C50" s="143"/>
      <c r="D50" s="143"/>
      <c r="E50" s="143"/>
      <c r="F50" s="130"/>
      <c r="G50" s="130"/>
      <c r="H50" s="160"/>
      <c r="I50" s="160"/>
      <c r="J50" s="160"/>
      <c r="K50" s="160"/>
      <c r="L50" s="160"/>
      <c r="M50" s="160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210</v>
      </c>
      <c r="B51" s="132" t="s">
        <v>163</v>
      </c>
      <c r="C51" s="143"/>
      <c r="D51" s="143"/>
      <c r="E51" s="143"/>
      <c r="F51" s="130"/>
      <c r="G51" s="130"/>
      <c r="H51" s="160"/>
      <c r="I51" s="160"/>
      <c r="J51" s="160"/>
      <c r="K51" s="160"/>
      <c r="L51" s="160"/>
      <c r="M51" s="160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242</v>
      </c>
      <c r="C52" s="120"/>
      <c r="D52" s="115"/>
      <c r="E52" s="115"/>
      <c r="F52" s="115"/>
      <c r="G52" s="115"/>
      <c r="H52" s="160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70"/>
      <c r="D53" s="170"/>
      <c r="E53" s="170"/>
      <c r="F53" s="170"/>
      <c r="G53" s="115"/>
      <c r="H53" s="115"/>
      <c r="I53" s="115"/>
      <c r="J53" s="115"/>
      <c r="K53" s="115"/>
      <c r="L53" s="115"/>
      <c r="M53" s="115"/>
      <c r="N53" s="163"/>
      <c r="O53" s="163"/>
      <c r="P53" s="163"/>
      <c r="Q53" s="163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32" t="s">
        <v>170</v>
      </c>
      <c r="C54" s="153"/>
      <c r="D54" s="170"/>
      <c r="E54" s="170"/>
      <c r="F54" s="170"/>
      <c r="G54" s="170"/>
      <c r="H54" s="170"/>
      <c r="I54" s="170"/>
      <c r="J54" s="169"/>
      <c r="K54" s="166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70"/>
      <c r="E55" s="153"/>
      <c r="F55" s="153"/>
      <c r="G55" s="153"/>
      <c r="H55" s="153"/>
      <c r="I55" s="153"/>
      <c r="J55" s="169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172</v>
      </c>
      <c r="C56" s="115"/>
      <c r="D56" s="170"/>
      <c r="E56" s="153"/>
      <c r="F56" s="153"/>
      <c r="G56" s="153"/>
      <c r="H56" s="153"/>
      <c r="I56" s="153"/>
      <c r="J56" s="153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53" t="s">
        <v>243</v>
      </c>
      <c r="C57" s="170"/>
      <c r="D57" s="170"/>
      <c r="E57" s="153"/>
      <c r="F57" s="153"/>
      <c r="G57" s="153"/>
      <c r="H57" s="153"/>
      <c r="I57" s="153"/>
      <c r="J57" s="153"/>
      <c r="K57" s="166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174</v>
      </c>
      <c r="C58" s="170"/>
      <c r="D58" s="170"/>
      <c r="E58" s="115"/>
      <c r="F58" s="115"/>
      <c r="G58" s="115"/>
      <c r="H58" s="115"/>
      <c r="I58" s="153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62" t="s">
        <v>195</v>
      </c>
      <c r="C59" s="170"/>
      <c r="D59" s="170"/>
      <c r="E59" s="153"/>
      <c r="F59" s="153"/>
      <c r="G59" s="153"/>
      <c r="H59" s="153"/>
      <c r="I59" s="153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15"/>
      <c r="C60" s="170"/>
      <c r="D60" s="223"/>
      <c r="E60" s="223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15"/>
      <c r="C61" s="153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32"/>
      <c r="C62" s="115"/>
      <c r="D62" s="100"/>
      <c r="E62" s="100"/>
      <c r="F62" s="115"/>
      <c r="G62" s="115"/>
      <c r="H62" s="92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6"/>
      <c r="E63" s="166"/>
      <c r="F63" s="166"/>
      <c r="G63" s="166"/>
      <c r="H63" s="166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53"/>
      <c r="C64" s="115"/>
      <c r="D64" s="100"/>
      <c r="E64" s="100"/>
      <c r="F64" s="115"/>
      <c r="G64" s="115"/>
      <c r="H64" s="92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6"/>
      <c r="E65" s="166"/>
      <c r="F65" s="166"/>
      <c r="G65" s="166"/>
      <c r="H65" s="166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AV65" s="86"/>
      <c r="AW65" s="86"/>
      <c r="AX65" s="86"/>
      <c r="AY65" s="86"/>
      <c r="AZ65" s="86"/>
      <c r="BA65" s="86"/>
      <c r="BB65" s="86"/>
    </row>
    <row r="66" spans="2:54" x14ac:dyDescent="0.35">
      <c r="B66" s="162"/>
      <c r="C66" s="115"/>
      <c r="D66" s="166"/>
      <c r="E66" s="166"/>
      <c r="F66" s="166"/>
      <c r="G66" s="166"/>
      <c r="H66" s="166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6"/>
      <c r="E67" s="166"/>
      <c r="F67" s="166"/>
      <c r="G67" s="166"/>
      <c r="H67" s="166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E13:F36 H13:I36 AF13:AH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Q13:Q36 S13:S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3" name="Range1_16_1_1_1_1_1_1_2_2_2_2_2_2_2_2_2_2_2_2_2_2_2_2_2_2_2_2_2_2_2_1_2_2_2_2_2_2_2_2_2_2_3_2_2_2_2_2_2_2_2_2_2_1_1_1_1_2_2_1_1_1_1_1_1_1_1_1_1_1_1_1_1_3"/>
    <protectedRange sqref="B60:B61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R5:W5" name="Range1_16_1_1_1_1_1_1_2_2_2_2_2_2_2_2_2_2_2_2_2_2_2_2_2_2_2_2_2_2_2_1_2_2_2_2_2_2_2_2_2_2_3_2_2_2_2_2_2_2_2_2_2_1_1_1_1_2_2_1_1_1_1_1_1_1_1_1_1_3_1_3_2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4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7"/>
    <protectedRange sqref="R4:W4" name="Range1_16_1_1_1_1_1_1_2_2_2_2_2_2_2_2_2_2_2_2_2_2_2_2_2_2_2_2_2_2_2_1_2_2_2_2_2_2_2_2_2_2_3_2_2_2_2_2_2_2_2_2_2_1_1_1_1_2_2_1_1_1_1_1_1_1_1_1_1_1_1_1_1_2_1_2_1_1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220" priority="5" operator="containsText" text="N/A">
      <formula>NOT(ISERROR(SEARCH("N/A",Z13)))</formula>
    </cfRule>
    <cfRule type="cellIs" dxfId="219" priority="17" operator="equal">
      <formula>0</formula>
    </cfRule>
  </conditionalFormatting>
  <conditionalFormatting sqref="Z13:AG36">
    <cfRule type="cellIs" dxfId="218" priority="16" operator="greaterThanOrEqual">
      <formula>1185</formula>
    </cfRule>
  </conditionalFormatting>
  <conditionalFormatting sqref="Z13:AG36">
    <cfRule type="cellIs" dxfId="217" priority="15" operator="between">
      <formula>0.1</formula>
      <formula>1184</formula>
    </cfRule>
  </conditionalFormatting>
  <conditionalFormatting sqref="Z8:Z9 AT13:AT36 AL37:AQ37 AL13:AR36">
    <cfRule type="cellIs" dxfId="216" priority="14" operator="equal">
      <formula>0</formula>
    </cfRule>
  </conditionalFormatting>
  <conditionalFormatting sqref="Z8:Z9 AT13:AT36 AL37:AQ37 AL13:AR36">
    <cfRule type="cellIs" dxfId="215" priority="13" operator="greaterThan">
      <formula>1179</formula>
    </cfRule>
  </conditionalFormatting>
  <conditionalFormatting sqref="Z8:Z9 AT13:AT36 AL37:AQ37 AL13:AR36">
    <cfRule type="cellIs" dxfId="214" priority="12" operator="greaterThan">
      <formula>99</formula>
    </cfRule>
  </conditionalFormatting>
  <conditionalFormatting sqref="Z8:Z9 AT13:AT36 AL37:AQ37 AL13:AR36">
    <cfRule type="cellIs" dxfId="213" priority="11" operator="greaterThan">
      <formula>0.99</formula>
    </cfRule>
  </conditionalFormatting>
  <conditionalFormatting sqref="AD8:AD9">
    <cfRule type="cellIs" dxfId="212" priority="10" operator="equal">
      <formula>0</formula>
    </cfRule>
  </conditionalFormatting>
  <conditionalFormatting sqref="AD8:AD9">
    <cfRule type="cellIs" dxfId="211" priority="9" operator="greaterThan">
      <formula>1179</formula>
    </cfRule>
  </conditionalFormatting>
  <conditionalFormatting sqref="AD8:AD9">
    <cfRule type="cellIs" dxfId="210" priority="8" operator="greaterThan">
      <formula>99</formula>
    </cfRule>
  </conditionalFormatting>
  <conditionalFormatting sqref="AD8:AD9">
    <cfRule type="cellIs" dxfId="209" priority="7" operator="greaterThan">
      <formula>0.99</formula>
    </cfRule>
  </conditionalFormatting>
  <conditionalFormatting sqref="AK13:AK36">
    <cfRule type="cellIs" dxfId="208" priority="6" operator="greaterThan">
      <formula>$AK$8</formula>
    </cfRule>
  </conditionalFormatting>
  <conditionalFormatting sqref="AS13:AS36">
    <cfRule type="containsText" dxfId="207" priority="1" operator="containsText" text="N/A">
      <formula>NOT(ISERROR(SEARCH("N/A",AS13)))</formula>
    </cfRule>
    <cfRule type="cellIs" dxfId="206" priority="4" operator="equal">
      <formula>0</formula>
    </cfRule>
  </conditionalFormatting>
  <conditionalFormatting sqref="AS13:AS36">
    <cfRule type="cellIs" dxfId="205" priority="3" operator="greaterThanOrEqual">
      <formula>1185</formula>
    </cfRule>
  </conditionalFormatting>
  <conditionalFormatting sqref="AS13:AS36">
    <cfRule type="cellIs" dxfId="204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200-000000000000}">
      <formula1>$BB$11:$BB$42</formula1>
    </dataValidation>
    <dataValidation type="list" allowBlank="1" showInputMessage="1" showErrorMessage="1" sqref="AY33:AZ33" xr:uid="{00000000-0002-0000-1200-000001000000}">
      <formula1>$AY$26:$AY$30</formula1>
    </dataValidation>
    <dataValidation type="list" allowBlank="1" showInputMessage="1" showErrorMessage="1" sqref="AS8:AT9 P11:P12 N11:N12 D8:E9 Q8:V9" xr:uid="{00000000-0002-0000-1200-000002000000}">
      <formula1>#REF!</formula1>
    </dataValidation>
    <dataValidation type="list" allowBlank="1" showInputMessage="1" showErrorMessage="1" sqref="J13:J36" xr:uid="{00000000-0002-0000-1200-000003000000}">
      <formula1>$AY$11:$AY$21</formula1>
    </dataValidation>
  </dataValidations>
  <hyperlinks>
    <hyperlink ref="J10:J11" location="'1'!AH8" display="Plant Status" xr:uid="{00000000-0004-0000-1200-000000000000}"/>
  </hyperlinks>
  <pageMargins left="0.7" right="0.7" top="0.75" bottom="0.75" header="0.3" footer="0.3"/>
  <pageSetup paperSize="9" orientation="portrait" horizontalDpi="4294967293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>
    <tabColor rgb="FF7030A0"/>
  </sheetPr>
  <dimension ref="A2:BB88"/>
  <sheetViews>
    <sheetView topLeftCell="A37" zoomScaleNormal="100" workbookViewId="0">
      <selection activeCell="B56" sqref="B56:B5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47" t="s">
        <v>157</v>
      </c>
      <c r="S3" s="348"/>
      <c r="T3" s="348"/>
      <c r="U3" s="348"/>
      <c r="V3" s="348"/>
      <c r="W3" s="34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47" t="s">
        <v>143</v>
      </c>
      <c r="S4" s="348"/>
      <c r="T4" s="348"/>
      <c r="U4" s="348"/>
      <c r="V4" s="348"/>
      <c r="W4" s="34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47" t="s">
        <v>141</v>
      </c>
      <c r="S5" s="348"/>
      <c r="T5" s="348"/>
      <c r="U5" s="348"/>
      <c r="V5" s="348"/>
      <c r="W5" s="34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50" t="s">
        <v>6</v>
      </c>
      <c r="C6" s="351"/>
      <c r="D6" s="352" t="s">
        <v>7</v>
      </c>
      <c r="E6" s="353"/>
      <c r="F6" s="353"/>
      <c r="G6" s="353"/>
      <c r="H6" s="353"/>
      <c r="I6" s="353"/>
      <c r="J6" s="354"/>
      <c r="K6" s="87"/>
      <c r="L6" s="87"/>
      <c r="M6" s="249"/>
      <c r="N6" s="355">
        <v>41686</v>
      </c>
      <c r="O6" s="356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37" t="s">
        <v>8</v>
      </c>
      <c r="C7" s="338"/>
      <c r="D7" s="337" t="s">
        <v>9</v>
      </c>
      <c r="E7" s="339"/>
      <c r="F7" s="339"/>
      <c r="G7" s="339"/>
      <c r="H7" s="339"/>
      <c r="I7" s="338"/>
      <c r="J7" s="254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4" t="s">
        <v>14</v>
      </c>
      <c r="R7" s="337" t="s">
        <v>15</v>
      </c>
      <c r="S7" s="339"/>
      <c r="T7" s="339"/>
      <c r="U7" s="339"/>
      <c r="V7" s="338"/>
      <c r="W7" s="337" t="s">
        <v>16</v>
      </c>
      <c r="X7" s="338"/>
      <c r="Y7" s="99" t="s">
        <v>17</v>
      </c>
      <c r="Z7" s="337" t="s">
        <v>18</v>
      </c>
      <c r="AA7" s="338"/>
      <c r="AB7" s="337" t="s">
        <v>19</v>
      </c>
      <c r="AC7" s="338"/>
      <c r="AD7" s="337" t="s">
        <v>20</v>
      </c>
      <c r="AE7" s="338"/>
      <c r="AF7" s="337" t="s">
        <v>21</v>
      </c>
      <c r="AG7" s="338"/>
      <c r="AH7" s="99" t="s">
        <v>22</v>
      </c>
      <c r="AI7" s="99" t="s">
        <v>23</v>
      </c>
      <c r="AJ7" s="99" t="s">
        <v>24</v>
      </c>
      <c r="AK7" s="99" t="s">
        <v>25</v>
      </c>
      <c r="AL7" s="337" t="s">
        <v>26</v>
      </c>
      <c r="AM7" s="339"/>
      <c r="AN7" s="339"/>
      <c r="AO7" s="339"/>
      <c r="AP7" s="339"/>
      <c r="AQ7" s="338"/>
      <c r="AR7" s="337" t="s">
        <v>27</v>
      </c>
      <c r="AS7" s="339"/>
      <c r="AT7" s="33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40">
        <v>43240</v>
      </c>
      <c r="C8" s="341"/>
      <c r="D8" s="342" t="s">
        <v>29</v>
      </c>
      <c r="E8" s="343"/>
      <c r="F8" s="343"/>
      <c r="G8" s="343"/>
      <c r="H8" s="343"/>
      <c r="I8" s="344"/>
      <c r="J8" s="28"/>
      <c r="K8" s="342" t="s">
        <v>29</v>
      </c>
      <c r="L8" s="343"/>
      <c r="M8" s="34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42" t="s">
        <v>33</v>
      </c>
      <c r="X8" s="344"/>
      <c r="Y8" s="30" t="s">
        <v>34</v>
      </c>
      <c r="Z8" s="326">
        <v>0</v>
      </c>
      <c r="AA8" s="327"/>
      <c r="AB8" s="345" t="s">
        <v>35</v>
      </c>
      <c r="AC8" s="346"/>
      <c r="AD8" s="326">
        <v>1185</v>
      </c>
      <c r="AE8" s="327"/>
      <c r="AF8" s="328">
        <v>800</v>
      </c>
      <c r="AG8" s="329"/>
      <c r="AH8" s="28"/>
      <c r="AI8" s="30">
        <f>AI36-AI11</f>
        <v>27525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55"/>
      <c r="C9" s="256"/>
      <c r="D9" s="257"/>
      <c r="E9" s="258"/>
      <c r="F9" s="258"/>
      <c r="G9" s="258"/>
      <c r="H9" s="258"/>
      <c r="I9" s="259"/>
      <c r="J9" s="121"/>
      <c r="K9" s="257"/>
      <c r="L9" s="258"/>
      <c r="M9" s="259"/>
      <c r="N9" s="29"/>
      <c r="O9" s="29"/>
      <c r="P9" s="29"/>
      <c r="Q9" s="121"/>
      <c r="R9" s="121"/>
      <c r="S9" s="121"/>
      <c r="T9" s="122"/>
      <c r="U9" s="123"/>
      <c r="V9" s="124"/>
      <c r="W9" s="257"/>
      <c r="X9" s="259"/>
      <c r="Y9" s="30"/>
      <c r="Z9" s="252"/>
      <c r="AA9" s="125"/>
      <c r="AB9" s="126"/>
      <c r="AC9" s="126"/>
      <c r="AD9" s="125"/>
      <c r="AE9" s="125"/>
      <c r="AF9" s="127"/>
      <c r="AG9" s="253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30" t="s">
        <v>39</v>
      </c>
      <c r="C10" s="331"/>
      <c r="D10" s="330" t="s">
        <v>40</v>
      </c>
      <c r="E10" s="332"/>
      <c r="F10" s="331"/>
      <c r="G10" s="330" t="s">
        <v>41</v>
      </c>
      <c r="H10" s="332"/>
      <c r="I10" s="331"/>
      <c r="J10" s="333" t="s">
        <v>42</v>
      </c>
      <c r="K10" s="330" t="s">
        <v>43</v>
      </c>
      <c r="L10" s="332"/>
      <c r="M10" s="331"/>
      <c r="N10" s="99" t="s">
        <v>44</v>
      </c>
      <c r="O10" s="335" t="s">
        <v>45</v>
      </c>
      <c r="P10" s="33" t="s">
        <v>46</v>
      </c>
      <c r="Q10" s="324" t="s">
        <v>47</v>
      </c>
      <c r="R10" s="324" t="s">
        <v>48</v>
      </c>
      <c r="S10" s="34" t="s">
        <v>49</v>
      </c>
      <c r="T10" s="312" t="s">
        <v>50</v>
      </c>
      <c r="U10" s="313"/>
      <c r="V10" s="314"/>
      <c r="W10" s="250" t="s">
        <v>51</v>
      </c>
      <c r="X10" s="250" t="s">
        <v>52</v>
      </c>
      <c r="Y10" s="318" t="s">
        <v>53</v>
      </c>
      <c r="Z10" s="319" t="s">
        <v>54</v>
      </c>
      <c r="AA10" s="320"/>
      <c r="AB10" s="320"/>
      <c r="AC10" s="320"/>
      <c r="AD10" s="320"/>
      <c r="AE10" s="320"/>
      <c r="AF10" s="320"/>
      <c r="AG10" s="321"/>
      <c r="AH10" s="248" t="s">
        <v>55</v>
      </c>
      <c r="AI10" s="248" t="s">
        <v>56</v>
      </c>
      <c r="AJ10" s="307" t="s">
        <v>57</v>
      </c>
      <c r="AK10" s="322" t="s">
        <v>58</v>
      </c>
      <c r="AL10" s="250" t="s">
        <v>59</v>
      </c>
      <c r="AM10" s="250" t="s">
        <v>60</v>
      </c>
      <c r="AN10" s="250" t="s">
        <v>61</v>
      </c>
      <c r="AO10" s="250" t="s">
        <v>62</v>
      </c>
      <c r="AP10" s="250" t="s">
        <v>63</v>
      </c>
      <c r="AQ10" s="250" t="s">
        <v>123</v>
      </c>
      <c r="AR10" s="250" t="s">
        <v>64</v>
      </c>
      <c r="AS10" s="250" t="s">
        <v>65</v>
      </c>
      <c r="AT10" s="324" t="s">
        <v>66</v>
      </c>
      <c r="AU10" s="250" t="s">
        <v>67</v>
      </c>
      <c r="AV10" s="30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0" t="s">
        <v>72</v>
      </c>
      <c r="C11" s="250" t="s">
        <v>73</v>
      </c>
      <c r="D11" s="250" t="s">
        <v>74</v>
      </c>
      <c r="E11" s="250" t="s">
        <v>75</v>
      </c>
      <c r="F11" s="250" t="s">
        <v>126</v>
      </c>
      <c r="G11" s="250" t="s">
        <v>74</v>
      </c>
      <c r="H11" s="250" t="s">
        <v>75</v>
      </c>
      <c r="I11" s="250" t="s">
        <v>126</v>
      </c>
      <c r="J11" s="334"/>
      <c r="K11" s="250" t="s">
        <v>75</v>
      </c>
      <c r="L11" s="250" t="s">
        <v>75</v>
      </c>
      <c r="M11" s="250" t="s">
        <v>75</v>
      </c>
      <c r="N11" s="28" t="s">
        <v>29</v>
      </c>
      <c r="O11" s="336"/>
      <c r="P11" s="28" t="s">
        <v>29</v>
      </c>
      <c r="Q11" s="325"/>
      <c r="R11" s="325"/>
      <c r="S11" s="1">
        <f>'MAY 19'!S36</f>
        <v>95016120</v>
      </c>
      <c r="T11" s="315"/>
      <c r="U11" s="316"/>
      <c r="V11" s="317"/>
      <c r="W11" s="250" t="s">
        <v>75</v>
      </c>
      <c r="X11" s="250" t="s">
        <v>75</v>
      </c>
      <c r="Y11" s="31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'MAY 19'!AI36</f>
        <v>15877416</v>
      </c>
      <c r="AJ11" s="307"/>
      <c r="AK11" s="323"/>
      <c r="AL11" s="250" t="s">
        <v>84</v>
      </c>
      <c r="AM11" s="250" t="s">
        <v>84</v>
      </c>
      <c r="AN11" s="250" t="s">
        <v>84</v>
      </c>
      <c r="AO11" s="250" t="s">
        <v>84</v>
      </c>
      <c r="AP11" s="250" t="s">
        <v>84</v>
      </c>
      <c r="AQ11" s="250" t="s">
        <v>84</v>
      </c>
      <c r="AR11" s="250" t="s">
        <v>84</v>
      </c>
      <c r="AS11" s="1"/>
      <c r="AT11" s="325"/>
      <c r="AU11" s="251" t="s">
        <v>85</v>
      </c>
      <c r="AV11" s="307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283</v>
      </c>
      <c r="B12" s="305" t="s">
        <v>284</v>
      </c>
      <c r="C12" s="305" t="s">
        <v>285</v>
      </c>
      <c r="D12" s="305" t="s">
        <v>286</v>
      </c>
      <c r="E12" s="305" t="s">
        <v>287</v>
      </c>
      <c r="F12" s="305" t="s">
        <v>288</v>
      </c>
      <c r="G12" s="305" t="s">
        <v>289</v>
      </c>
      <c r="H12" s="305" t="s">
        <v>290</v>
      </c>
      <c r="I12" s="305" t="s">
        <v>291</v>
      </c>
      <c r="J12" s="297" t="s">
        <v>292</v>
      </c>
      <c r="K12" s="305" t="s">
        <v>293</v>
      </c>
      <c r="L12" s="305" t="s">
        <v>294</v>
      </c>
      <c r="M12" s="305" t="s">
        <v>295</v>
      </c>
      <c r="N12" s="28" t="s">
        <v>296</v>
      </c>
      <c r="O12" s="298" t="s">
        <v>297</v>
      </c>
      <c r="P12" s="28" t="s">
        <v>298</v>
      </c>
      <c r="Q12" s="300" t="s">
        <v>299</v>
      </c>
      <c r="R12" s="300" t="s">
        <v>300</v>
      </c>
      <c r="S12" s="1" t="s">
        <v>301</v>
      </c>
      <c r="T12" s="302" t="s">
        <v>302</v>
      </c>
      <c r="U12" s="303" t="s">
        <v>303</v>
      </c>
      <c r="V12" s="304" t="s">
        <v>304</v>
      </c>
      <c r="W12" s="305" t="s">
        <v>305</v>
      </c>
      <c r="X12" s="305" t="s">
        <v>306</v>
      </c>
      <c r="Y12" s="305" t="s">
        <v>307</v>
      </c>
      <c r="Z12" s="37" t="s">
        <v>308</v>
      </c>
      <c r="AA12" s="37" t="s">
        <v>309</v>
      </c>
      <c r="AB12" s="37" t="s">
        <v>310</v>
      </c>
      <c r="AC12" s="37" t="s">
        <v>311</v>
      </c>
      <c r="AD12" s="37" t="s">
        <v>312</v>
      </c>
      <c r="AE12" s="37" t="s">
        <v>313</v>
      </c>
      <c r="AF12" s="37" t="s">
        <v>314</v>
      </c>
      <c r="AG12" s="37" t="s">
        <v>315</v>
      </c>
      <c r="AH12" s="38" t="s">
        <v>316</v>
      </c>
      <c r="AI12" s="1" t="s">
        <v>317</v>
      </c>
      <c r="AJ12" s="301" t="s">
        <v>318</v>
      </c>
      <c r="AK12" s="306" t="s">
        <v>319</v>
      </c>
      <c r="AL12" s="305" t="s">
        <v>320</v>
      </c>
      <c r="AM12" s="305" t="s">
        <v>321</v>
      </c>
      <c r="AN12" s="305" t="s">
        <v>322</v>
      </c>
      <c r="AO12" s="305" t="s">
        <v>323</v>
      </c>
      <c r="AP12" s="305" t="s">
        <v>324</v>
      </c>
      <c r="AQ12" s="305" t="s">
        <v>325</v>
      </c>
      <c r="AR12" s="305" t="s">
        <v>326</v>
      </c>
      <c r="AS12" s="1" t="s">
        <v>327</v>
      </c>
      <c r="AT12" s="300" t="s">
        <v>328</v>
      </c>
      <c r="AU12" s="299" t="s">
        <v>329</v>
      </c>
      <c r="AV12" s="301"/>
      <c r="AY12" s="39"/>
      <c r="AZ12" s="39"/>
      <c r="BB12" s="136"/>
    </row>
    <row r="13" spans="1:54" x14ac:dyDescent="0.35">
      <c r="A13" s="357">
        <v>43240</v>
      </c>
      <c r="B13" s="40">
        <v>2</v>
      </c>
      <c r="C13" s="40">
        <v>4.1666666666666664E-2</v>
      </c>
      <c r="D13" s="156">
        <v>3</v>
      </c>
      <c r="E13" s="154">
        <f>D13/1.42</f>
        <v>2.1126760563380285</v>
      </c>
      <c r="F13" s="154">
        <v>1</v>
      </c>
      <c r="G13" s="118">
        <v>72</v>
      </c>
      <c r="H13" s="154">
        <f t="shared" ref="H13:H36" si="0">G13/1.42</f>
        <v>50.70422535211268</v>
      </c>
      <c r="I13" s="154">
        <v>71</v>
      </c>
      <c r="J13" s="41" t="s">
        <v>88</v>
      </c>
      <c r="K13" s="41">
        <f>L13-(2/1.42)</f>
        <v>45.774647887323944</v>
      </c>
      <c r="L13" s="42">
        <f>(G13-5)/1.42</f>
        <v>47.183098591549296</v>
      </c>
      <c r="M13" s="41">
        <f>L13+(6/1.42)</f>
        <v>51.408450704225352</v>
      </c>
      <c r="N13" s="43">
        <v>14</v>
      </c>
      <c r="O13" s="44" t="s">
        <v>89</v>
      </c>
      <c r="P13" s="44">
        <v>11.4</v>
      </c>
      <c r="Q13" s="157">
        <v>144</v>
      </c>
      <c r="R13" s="157"/>
      <c r="S13" s="157">
        <v>95020533</v>
      </c>
      <c r="T13" s="45">
        <f>IF(ISBLANK(S13),"-",S13-S11)</f>
        <v>4413</v>
      </c>
      <c r="U13" s="46">
        <f>T13*24/1000</f>
        <v>105.91200000000001</v>
      </c>
      <c r="V13" s="46">
        <f>T13/1000</f>
        <v>4.4130000000000003</v>
      </c>
      <c r="W13" s="96">
        <v>3.9</v>
      </c>
      <c r="X13" s="96">
        <f t="shared" ref="X13:X36" si="1">W13</f>
        <v>3.9</v>
      </c>
      <c r="Y13" s="97" t="s">
        <v>138</v>
      </c>
      <c r="Z13" s="158">
        <v>0</v>
      </c>
      <c r="AA13" s="158">
        <v>0</v>
      </c>
      <c r="AB13" s="158">
        <v>0</v>
      </c>
      <c r="AC13" s="158">
        <v>1185</v>
      </c>
      <c r="AD13" s="158">
        <v>1187</v>
      </c>
      <c r="AE13" s="158">
        <v>1185</v>
      </c>
      <c r="AF13" s="47" t="s">
        <v>90</v>
      </c>
      <c r="AG13" s="47" t="s">
        <v>90</v>
      </c>
      <c r="AH13" s="98" t="s">
        <v>90</v>
      </c>
      <c r="AI13" s="103">
        <v>15878584</v>
      </c>
      <c r="AJ13" s="45">
        <f>IF(ISBLANK(AI13),"-",AI13-AI11)</f>
        <v>1168</v>
      </c>
      <c r="AK13" s="48">
        <f>AJ13/V13</f>
        <v>264.67255835032859</v>
      </c>
      <c r="AL13" s="155">
        <v>0</v>
      </c>
      <c r="AM13" s="155">
        <v>0</v>
      </c>
      <c r="AN13" s="155">
        <v>0</v>
      </c>
      <c r="AO13" s="155">
        <v>1</v>
      </c>
      <c r="AP13" s="155">
        <v>1</v>
      </c>
      <c r="AQ13" s="155">
        <v>1</v>
      </c>
      <c r="AR13" s="155">
        <v>0.8</v>
      </c>
      <c r="AS13" s="158"/>
      <c r="AT13" s="158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357">
        <v>43240</v>
      </c>
      <c r="B14" s="40">
        <v>2.0416666666666701</v>
      </c>
      <c r="C14" s="40">
        <v>8.3333333333333329E-2</v>
      </c>
      <c r="D14" s="156">
        <v>3</v>
      </c>
      <c r="E14" s="154">
        <f t="shared" ref="E14:E36" si="2">D14/1.42</f>
        <v>2.1126760563380285</v>
      </c>
      <c r="F14" s="154">
        <v>2</v>
      </c>
      <c r="G14" s="118">
        <v>72</v>
      </c>
      <c r="H14" s="154">
        <f t="shared" si="0"/>
        <v>50.70422535211268</v>
      </c>
      <c r="I14" s="154">
        <v>71</v>
      </c>
      <c r="J14" s="41" t="s">
        <v>88</v>
      </c>
      <c r="K14" s="41">
        <f t="shared" ref="K14:K36" si="3">L14-(2/1.42)</f>
        <v>45.774647887323944</v>
      </c>
      <c r="L14" s="42">
        <f>(G14-5)/1.42</f>
        <v>47.183098591549296</v>
      </c>
      <c r="M14" s="41">
        <f>L14+(6/1.42)</f>
        <v>51.408450704225352</v>
      </c>
      <c r="N14" s="43">
        <v>14</v>
      </c>
      <c r="O14" s="44" t="s">
        <v>89</v>
      </c>
      <c r="P14" s="44">
        <v>11.2</v>
      </c>
      <c r="Q14" s="157">
        <v>140</v>
      </c>
      <c r="R14" s="157"/>
      <c r="S14" s="157">
        <v>95024919</v>
      </c>
      <c r="T14" s="45">
        <f t="shared" ref="T14:T36" si="4">IF(ISBLANK(S14),"-",S14-S13)</f>
        <v>4386</v>
      </c>
      <c r="U14" s="46">
        <f t="shared" ref="U14:U37" si="5">T14*24/1000</f>
        <v>105.264</v>
      </c>
      <c r="V14" s="46">
        <f t="shared" ref="V14:V37" si="6">T14/1000</f>
        <v>4.3860000000000001</v>
      </c>
      <c r="W14" s="96">
        <v>5.8</v>
      </c>
      <c r="X14" s="96">
        <f t="shared" si="1"/>
        <v>5.8</v>
      </c>
      <c r="Y14" s="97" t="s">
        <v>138</v>
      </c>
      <c r="Z14" s="158">
        <v>0</v>
      </c>
      <c r="AA14" s="158">
        <v>0</v>
      </c>
      <c r="AB14" s="158">
        <v>0</v>
      </c>
      <c r="AC14" s="158">
        <v>1185</v>
      </c>
      <c r="AD14" s="158">
        <v>1187</v>
      </c>
      <c r="AE14" s="158">
        <v>1185</v>
      </c>
      <c r="AF14" s="47" t="s">
        <v>90</v>
      </c>
      <c r="AG14" s="47" t="s">
        <v>90</v>
      </c>
      <c r="AH14" s="98" t="s">
        <v>90</v>
      </c>
      <c r="AI14" s="103">
        <v>15879697</v>
      </c>
      <c r="AJ14" s="45">
        <f t="shared" ref="AJ14:AJ36" si="7">IF(ISBLANK(AI14),"-",AI14-AI13)</f>
        <v>1113</v>
      </c>
      <c r="AK14" s="48">
        <f t="shared" ref="AK14:AK36" si="8">AJ14/V14</f>
        <v>253.76196990424077</v>
      </c>
      <c r="AL14" s="155">
        <v>0</v>
      </c>
      <c r="AM14" s="155">
        <v>0</v>
      </c>
      <c r="AN14" s="155">
        <v>0</v>
      </c>
      <c r="AO14" s="155">
        <v>1</v>
      </c>
      <c r="AP14" s="155">
        <v>1</v>
      </c>
      <c r="AQ14" s="155">
        <v>1</v>
      </c>
      <c r="AR14" s="155">
        <v>0.8</v>
      </c>
      <c r="AS14" s="158"/>
      <c r="AT14" s="158">
        <f t="shared" ref="AT14:AT35" si="9">AS14-AS13</f>
        <v>0</v>
      </c>
      <c r="AU14" s="119">
        <v>1.04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57">
        <v>43240</v>
      </c>
      <c r="B15" s="40">
        <v>2.0833333333333299</v>
      </c>
      <c r="C15" s="40">
        <v>0.125</v>
      </c>
      <c r="D15" s="156">
        <v>3</v>
      </c>
      <c r="E15" s="154">
        <f t="shared" si="2"/>
        <v>2.1126760563380285</v>
      </c>
      <c r="F15" s="154">
        <v>4</v>
      </c>
      <c r="G15" s="118">
        <v>71</v>
      </c>
      <c r="H15" s="154">
        <f t="shared" si="0"/>
        <v>50</v>
      </c>
      <c r="I15" s="154">
        <v>70</v>
      </c>
      <c r="J15" s="41" t="s">
        <v>88</v>
      </c>
      <c r="K15" s="41">
        <f t="shared" si="3"/>
        <v>45.070422535211272</v>
      </c>
      <c r="L15" s="42">
        <f>(G15-5)/1.42</f>
        <v>46.478873239436624</v>
      </c>
      <c r="M15" s="41">
        <f>L15+(6/1.42)</f>
        <v>50.70422535211268</v>
      </c>
      <c r="N15" s="43">
        <v>14</v>
      </c>
      <c r="O15" s="44" t="s">
        <v>89</v>
      </c>
      <c r="P15" s="44">
        <v>11.2</v>
      </c>
      <c r="Q15" s="157">
        <v>142</v>
      </c>
      <c r="R15" s="157"/>
      <c r="S15" s="157">
        <v>95029037</v>
      </c>
      <c r="T15" s="45">
        <f>IF(ISBLANK(S15),"-",S15-S14)</f>
        <v>4118</v>
      </c>
      <c r="U15" s="46">
        <f t="shared" si="5"/>
        <v>98.831999999999994</v>
      </c>
      <c r="V15" s="46">
        <f t="shared" si="6"/>
        <v>4.1180000000000003</v>
      </c>
      <c r="W15" s="96">
        <v>7.2</v>
      </c>
      <c r="X15" s="96">
        <f t="shared" si="1"/>
        <v>7.2</v>
      </c>
      <c r="Y15" s="97" t="s">
        <v>138</v>
      </c>
      <c r="Z15" s="158">
        <v>0</v>
      </c>
      <c r="AA15" s="158">
        <v>0</v>
      </c>
      <c r="AB15" s="158">
        <v>0</v>
      </c>
      <c r="AC15" s="158">
        <v>1185</v>
      </c>
      <c r="AD15" s="158">
        <v>1187</v>
      </c>
      <c r="AE15" s="158">
        <v>1185</v>
      </c>
      <c r="AF15" s="47" t="s">
        <v>90</v>
      </c>
      <c r="AG15" s="47" t="s">
        <v>90</v>
      </c>
      <c r="AH15" s="98" t="s">
        <v>90</v>
      </c>
      <c r="AI15" s="103">
        <v>15880799</v>
      </c>
      <c r="AJ15" s="45">
        <f t="shared" si="7"/>
        <v>1102</v>
      </c>
      <c r="AK15" s="48">
        <f t="shared" si="8"/>
        <v>267.6056338028169</v>
      </c>
      <c r="AL15" s="155">
        <v>0</v>
      </c>
      <c r="AM15" s="155">
        <v>0</v>
      </c>
      <c r="AN15" s="155">
        <v>0</v>
      </c>
      <c r="AO15" s="155">
        <v>1</v>
      </c>
      <c r="AP15" s="155">
        <v>1</v>
      </c>
      <c r="AQ15" s="155">
        <v>1</v>
      </c>
      <c r="AR15" s="155">
        <v>0.8</v>
      </c>
      <c r="AS15" s="158"/>
      <c r="AT15" s="158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357">
        <v>43240</v>
      </c>
      <c r="B16" s="40">
        <v>2.125</v>
      </c>
      <c r="C16" s="40">
        <v>0.16666666666666699</v>
      </c>
      <c r="D16" s="156">
        <v>3</v>
      </c>
      <c r="E16" s="154">
        <f t="shared" si="2"/>
        <v>2.1126760563380285</v>
      </c>
      <c r="F16" s="154">
        <v>6</v>
      </c>
      <c r="G16" s="118">
        <v>71</v>
      </c>
      <c r="H16" s="154">
        <f t="shared" si="0"/>
        <v>50</v>
      </c>
      <c r="I16" s="154">
        <v>70</v>
      </c>
      <c r="J16" s="41" t="s">
        <v>88</v>
      </c>
      <c r="K16" s="41">
        <f t="shared" si="3"/>
        <v>45.070422535211272</v>
      </c>
      <c r="L16" s="42">
        <f>(G16-5)/1.42</f>
        <v>46.478873239436624</v>
      </c>
      <c r="M16" s="41">
        <f>L16+(6/1.42)</f>
        <v>50.70422535211268</v>
      </c>
      <c r="N16" s="43">
        <v>14</v>
      </c>
      <c r="O16" s="44" t="s">
        <v>89</v>
      </c>
      <c r="P16" s="44">
        <v>12.8</v>
      </c>
      <c r="Q16" s="157">
        <v>145</v>
      </c>
      <c r="R16" s="157"/>
      <c r="S16" s="157">
        <v>95033041</v>
      </c>
      <c r="T16" s="45">
        <f t="shared" si="4"/>
        <v>4004</v>
      </c>
      <c r="U16" s="46">
        <f t="shared" si="5"/>
        <v>96.096000000000004</v>
      </c>
      <c r="V16" s="46">
        <f t="shared" si="6"/>
        <v>4.0039999999999996</v>
      </c>
      <c r="W16" s="96">
        <v>8.8000000000000007</v>
      </c>
      <c r="X16" s="96">
        <f t="shared" si="1"/>
        <v>8.8000000000000007</v>
      </c>
      <c r="Y16" s="97" t="s">
        <v>138</v>
      </c>
      <c r="Z16" s="158">
        <v>0</v>
      </c>
      <c r="AA16" s="158">
        <v>0</v>
      </c>
      <c r="AB16" s="158">
        <v>0</v>
      </c>
      <c r="AC16" s="158">
        <v>1185</v>
      </c>
      <c r="AD16" s="158">
        <v>1187</v>
      </c>
      <c r="AE16" s="158">
        <v>1185</v>
      </c>
      <c r="AF16" s="47" t="s">
        <v>90</v>
      </c>
      <c r="AG16" s="47" t="s">
        <v>90</v>
      </c>
      <c r="AH16" s="98" t="s">
        <v>90</v>
      </c>
      <c r="AI16" s="103">
        <v>15881894</v>
      </c>
      <c r="AJ16" s="45">
        <f t="shared" si="7"/>
        <v>1095</v>
      </c>
      <c r="AK16" s="48">
        <f t="shared" si="8"/>
        <v>273.47652347652348</v>
      </c>
      <c r="AL16" s="155">
        <v>0</v>
      </c>
      <c r="AM16" s="155">
        <v>0</v>
      </c>
      <c r="AN16" s="155">
        <v>0</v>
      </c>
      <c r="AO16" s="155">
        <v>1</v>
      </c>
      <c r="AP16" s="155">
        <v>1</v>
      </c>
      <c r="AQ16" s="155">
        <v>1</v>
      </c>
      <c r="AR16" s="155">
        <v>0.8</v>
      </c>
      <c r="AS16" s="158"/>
      <c r="AT16" s="158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357">
        <v>43240</v>
      </c>
      <c r="B17" s="40">
        <v>2.1666666666666701</v>
      </c>
      <c r="C17" s="40">
        <v>0.20833333333333301</v>
      </c>
      <c r="D17" s="156" t="s">
        <v>179</v>
      </c>
      <c r="E17" s="154" t="e">
        <f t="shared" si="2"/>
        <v>#VALUE!</v>
      </c>
      <c r="F17" s="154">
        <v>7</v>
      </c>
      <c r="G17" s="118">
        <v>83</v>
      </c>
      <c r="H17" s="154">
        <f t="shared" si="0"/>
        <v>58.450704225352112</v>
      </c>
      <c r="I17" s="154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7" t="s">
        <v>179</v>
      </c>
      <c r="R17" s="157"/>
      <c r="S17" s="157">
        <v>95036672</v>
      </c>
      <c r="T17" s="45">
        <f t="shared" si="4"/>
        <v>3631</v>
      </c>
      <c r="U17" s="46">
        <f t="shared" si="5"/>
        <v>87.144000000000005</v>
      </c>
      <c r="V17" s="46">
        <f t="shared" si="6"/>
        <v>3.6309999999999998</v>
      </c>
      <c r="W17" s="96">
        <v>9.5</v>
      </c>
      <c r="X17" s="96">
        <f t="shared" si="1"/>
        <v>9.5</v>
      </c>
      <c r="Y17" s="97" t="s">
        <v>138</v>
      </c>
      <c r="Z17" s="158">
        <v>0</v>
      </c>
      <c r="AA17" s="158">
        <v>0</v>
      </c>
      <c r="AB17" s="158">
        <v>0</v>
      </c>
      <c r="AC17" s="158">
        <v>1185</v>
      </c>
      <c r="AD17" s="158">
        <v>1147</v>
      </c>
      <c r="AE17" s="158">
        <v>1185</v>
      </c>
      <c r="AF17" s="47" t="s">
        <v>90</v>
      </c>
      <c r="AG17" s="47" t="s">
        <v>90</v>
      </c>
      <c r="AH17" s="98" t="s">
        <v>90</v>
      </c>
      <c r="AI17" s="103">
        <v>15882936</v>
      </c>
      <c r="AJ17" s="45">
        <f t="shared" si="7"/>
        <v>1042</v>
      </c>
      <c r="AK17" s="48">
        <f t="shared" si="8"/>
        <v>286.97328559625447</v>
      </c>
      <c r="AL17" s="155">
        <v>0</v>
      </c>
      <c r="AM17" s="155">
        <v>0</v>
      </c>
      <c r="AN17" s="155">
        <v>0</v>
      </c>
      <c r="AO17" s="155">
        <v>1</v>
      </c>
      <c r="AP17" s="155">
        <v>1</v>
      </c>
      <c r="AQ17" s="155">
        <v>1</v>
      </c>
      <c r="AR17" s="155">
        <v>0</v>
      </c>
      <c r="AS17" s="158"/>
      <c r="AT17" s="158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57">
        <v>43240</v>
      </c>
      <c r="B18" s="40">
        <v>2.2083333333333299</v>
      </c>
      <c r="C18" s="40">
        <v>0.25</v>
      </c>
      <c r="D18" s="156">
        <v>3</v>
      </c>
      <c r="E18" s="154">
        <f t="shared" si="2"/>
        <v>2.1126760563380285</v>
      </c>
      <c r="F18" s="154">
        <v>7</v>
      </c>
      <c r="G18" s="118">
        <v>83</v>
      </c>
      <c r="H18" s="154">
        <f t="shared" si="0"/>
        <v>58.450704225352112</v>
      </c>
      <c r="I18" s="154">
        <v>80</v>
      </c>
      <c r="J18" s="41" t="s">
        <v>88</v>
      </c>
      <c r="K18" s="41">
        <f t="shared" si="3"/>
        <v>57.04225352112676</v>
      </c>
      <c r="L18" s="42">
        <f t="shared" ref="L18:L27" si="10">G18/1.42</f>
        <v>58.450704225352112</v>
      </c>
      <c r="M18" s="41">
        <f>L18+1.42</f>
        <v>59.870704225352114</v>
      </c>
      <c r="N18" s="43">
        <v>19</v>
      </c>
      <c r="O18" s="44" t="s">
        <v>100</v>
      </c>
      <c r="P18" s="44">
        <v>13.1</v>
      </c>
      <c r="Q18" s="157">
        <v>132</v>
      </c>
      <c r="R18" s="157"/>
      <c r="S18" s="157">
        <v>95041398</v>
      </c>
      <c r="T18" s="45">
        <f t="shared" si="4"/>
        <v>4726</v>
      </c>
      <c r="U18" s="46">
        <f t="shared" si="5"/>
        <v>113.42400000000001</v>
      </c>
      <c r="V18" s="46">
        <f t="shared" si="6"/>
        <v>4.726</v>
      </c>
      <c r="W18" s="96">
        <v>9.5</v>
      </c>
      <c r="X18" s="96">
        <f t="shared" si="1"/>
        <v>9.5</v>
      </c>
      <c r="Y18" s="97" t="s">
        <v>138</v>
      </c>
      <c r="Z18" s="158">
        <v>0</v>
      </c>
      <c r="AA18" s="158">
        <v>0</v>
      </c>
      <c r="AB18" s="158">
        <v>0</v>
      </c>
      <c r="AC18" s="158">
        <v>1185</v>
      </c>
      <c r="AD18" s="158">
        <v>1187</v>
      </c>
      <c r="AE18" s="158">
        <v>1185</v>
      </c>
      <c r="AF18" s="47" t="s">
        <v>90</v>
      </c>
      <c r="AG18" s="47" t="s">
        <v>90</v>
      </c>
      <c r="AH18" s="98" t="s">
        <v>90</v>
      </c>
      <c r="AI18" s="103">
        <v>15883964</v>
      </c>
      <c r="AJ18" s="45">
        <f t="shared" si="7"/>
        <v>1028</v>
      </c>
      <c r="AK18" s="48">
        <f t="shared" si="8"/>
        <v>217.52010156580619</v>
      </c>
      <c r="AL18" s="155">
        <v>0</v>
      </c>
      <c r="AM18" s="155">
        <v>0</v>
      </c>
      <c r="AN18" s="155">
        <v>0</v>
      </c>
      <c r="AO18" s="155">
        <v>1</v>
      </c>
      <c r="AP18" s="155">
        <v>1</v>
      </c>
      <c r="AQ18" s="155">
        <v>1</v>
      </c>
      <c r="AR18" s="155">
        <v>0</v>
      </c>
      <c r="AS18" s="158"/>
      <c r="AT18" s="158">
        <f t="shared" si="9"/>
        <v>0</v>
      </c>
      <c r="AU18" s="119">
        <v>1.08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57">
        <v>43240</v>
      </c>
      <c r="B19" s="40">
        <v>2.25</v>
      </c>
      <c r="C19" s="40">
        <v>0.29166666666666669</v>
      </c>
      <c r="D19" s="156">
        <v>4</v>
      </c>
      <c r="E19" s="154">
        <f t="shared" si="2"/>
        <v>2.8169014084507045</v>
      </c>
      <c r="F19" s="154">
        <v>7</v>
      </c>
      <c r="G19" s="118">
        <v>79</v>
      </c>
      <c r="H19" s="154">
        <f t="shared" si="0"/>
        <v>55.633802816901408</v>
      </c>
      <c r="I19" s="154">
        <v>78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7">
        <v>141</v>
      </c>
      <c r="R19" s="157"/>
      <c r="S19" s="157">
        <v>95047058</v>
      </c>
      <c r="T19" s="45">
        <f t="shared" si="4"/>
        <v>5660</v>
      </c>
      <c r="U19" s="46">
        <f t="shared" si="5"/>
        <v>135.84</v>
      </c>
      <c r="V19" s="46">
        <f t="shared" si="6"/>
        <v>5.66</v>
      </c>
      <c r="W19" s="96">
        <v>9.5</v>
      </c>
      <c r="X19" s="96">
        <f t="shared" si="1"/>
        <v>9.5</v>
      </c>
      <c r="Y19" s="97" t="s">
        <v>138</v>
      </c>
      <c r="Z19" s="158">
        <v>0</v>
      </c>
      <c r="AA19" s="158">
        <v>0</v>
      </c>
      <c r="AB19" s="158">
        <v>0</v>
      </c>
      <c r="AC19" s="158">
        <v>1185</v>
      </c>
      <c r="AD19" s="158">
        <v>1187</v>
      </c>
      <c r="AE19" s="158">
        <v>1185</v>
      </c>
      <c r="AF19" s="47" t="s">
        <v>90</v>
      </c>
      <c r="AG19" s="47" t="s">
        <v>90</v>
      </c>
      <c r="AH19" s="98" t="s">
        <v>90</v>
      </c>
      <c r="AI19" s="103">
        <v>15885190</v>
      </c>
      <c r="AJ19" s="45">
        <f t="shared" si="7"/>
        <v>1226</v>
      </c>
      <c r="AK19" s="48">
        <f t="shared" si="8"/>
        <v>216.60777385159011</v>
      </c>
      <c r="AL19" s="155">
        <v>0</v>
      </c>
      <c r="AM19" s="155">
        <v>0</v>
      </c>
      <c r="AN19" s="155">
        <v>0</v>
      </c>
      <c r="AO19" s="155">
        <v>1</v>
      </c>
      <c r="AP19" s="155">
        <v>1</v>
      </c>
      <c r="AQ19" s="155">
        <v>1</v>
      </c>
      <c r="AR19" s="155">
        <v>0</v>
      </c>
      <c r="AS19" s="158"/>
      <c r="AT19" s="158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57">
        <v>43240</v>
      </c>
      <c r="B20" s="40">
        <v>2.2916666666666701</v>
      </c>
      <c r="C20" s="40">
        <v>0.33333333333333298</v>
      </c>
      <c r="D20" s="156">
        <v>4</v>
      </c>
      <c r="E20" s="154">
        <f t="shared" si="2"/>
        <v>2.8169014084507045</v>
      </c>
      <c r="F20" s="154">
        <v>6</v>
      </c>
      <c r="G20" s="118">
        <v>80</v>
      </c>
      <c r="H20" s="154">
        <f t="shared" si="0"/>
        <v>56.338028169014088</v>
      </c>
      <c r="I20" s="154">
        <v>78</v>
      </c>
      <c r="J20" s="41" t="s">
        <v>88</v>
      </c>
      <c r="K20" s="41">
        <f t="shared" si="3"/>
        <v>54.929577464788736</v>
      </c>
      <c r="L20" s="42">
        <f t="shared" si="10"/>
        <v>56.338028169014088</v>
      </c>
      <c r="M20" s="41">
        <f t="shared" ref="M20:M24" si="11">L20+1.42</f>
        <v>57.758028169014089</v>
      </c>
      <c r="N20" s="43">
        <v>19</v>
      </c>
      <c r="O20" s="44" t="s">
        <v>100</v>
      </c>
      <c r="P20" s="44">
        <v>17.3</v>
      </c>
      <c r="Q20" s="157">
        <v>132</v>
      </c>
      <c r="R20" s="157"/>
      <c r="S20" s="157">
        <v>95051868</v>
      </c>
      <c r="T20" s="45">
        <f t="shared" si="4"/>
        <v>4810</v>
      </c>
      <c r="U20" s="46">
        <f>T20*24/1000</f>
        <v>115.44</v>
      </c>
      <c r="V20" s="46">
        <f t="shared" si="6"/>
        <v>4.8099999999999996</v>
      </c>
      <c r="W20" s="96">
        <v>9.1</v>
      </c>
      <c r="X20" s="96">
        <f t="shared" si="1"/>
        <v>9.1</v>
      </c>
      <c r="Y20" s="97" t="s">
        <v>169</v>
      </c>
      <c r="Z20" s="158">
        <v>0</v>
      </c>
      <c r="AA20" s="158">
        <v>1027</v>
      </c>
      <c r="AB20" s="158">
        <v>0</v>
      </c>
      <c r="AC20" s="158">
        <v>1185</v>
      </c>
      <c r="AD20" s="158">
        <v>1187</v>
      </c>
      <c r="AE20" s="158">
        <v>1185</v>
      </c>
      <c r="AF20" s="47" t="s">
        <v>90</v>
      </c>
      <c r="AG20" s="47" t="s">
        <v>90</v>
      </c>
      <c r="AH20" s="98" t="s">
        <v>90</v>
      </c>
      <c r="AI20" s="103">
        <v>15886300</v>
      </c>
      <c r="AJ20" s="45">
        <f t="shared" si="7"/>
        <v>1110</v>
      </c>
      <c r="AK20" s="48">
        <f t="shared" si="8"/>
        <v>230.7692307692308</v>
      </c>
      <c r="AL20" s="155">
        <v>0</v>
      </c>
      <c r="AM20" s="155">
        <v>1</v>
      </c>
      <c r="AN20" s="155">
        <v>0</v>
      </c>
      <c r="AO20" s="155">
        <v>1</v>
      </c>
      <c r="AP20" s="155">
        <v>1</v>
      </c>
      <c r="AQ20" s="155">
        <v>1</v>
      </c>
      <c r="AR20" s="155">
        <v>0</v>
      </c>
      <c r="AS20" s="158"/>
      <c r="AT20" s="158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357">
        <v>43240</v>
      </c>
      <c r="B21" s="40">
        <v>2.3333333333333299</v>
      </c>
      <c r="C21" s="40">
        <v>0.375</v>
      </c>
      <c r="D21" s="156">
        <v>4</v>
      </c>
      <c r="E21" s="154">
        <f t="shared" si="2"/>
        <v>2.8169014084507045</v>
      </c>
      <c r="F21" s="154">
        <v>6</v>
      </c>
      <c r="G21" s="118">
        <v>78</v>
      </c>
      <c r="H21" s="154">
        <f t="shared" si="0"/>
        <v>54.929577464788736</v>
      </c>
      <c r="I21" s="154">
        <v>76</v>
      </c>
      <c r="J21" s="41" t="s">
        <v>88</v>
      </c>
      <c r="K21" s="41">
        <f t="shared" si="3"/>
        <v>53.521126760563384</v>
      </c>
      <c r="L21" s="42">
        <f t="shared" si="10"/>
        <v>54.929577464788736</v>
      </c>
      <c r="M21" s="41">
        <f t="shared" si="11"/>
        <v>56.349577464788737</v>
      </c>
      <c r="N21" s="43">
        <v>19</v>
      </c>
      <c r="O21" s="44" t="s">
        <v>100</v>
      </c>
      <c r="P21" s="44">
        <v>18.399999999999999</v>
      </c>
      <c r="Q21" s="157">
        <v>131</v>
      </c>
      <c r="R21" s="157"/>
      <c r="S21" s="157">
        <v>95056132</v>
      </c>
      <c r="T21" s="45">
        <f t="shared" si="4"/>
        <v>4264</v>
      </c>
      <c r="U21" s="46">
        <f t="shared" si="5"/>
        <v>102.336</v>
      </c>
      <c r="V21" s="46">
        <f t="shared" si="6"/>
        <v>4.2640000000000002</v>
      </c>
      <c r="W21" s="96">
        <v>8.6</v>
      </c>
      <c r="X21" s="96">
        <f t="shared" si="1"/>
        <v>8.6</v>
      </c>
      <c r="Y21" s="97" t="s">
        <v>169</v>
      </c>
      <c r="Z21" s="158">
        <v>0</v>
      </c>
      <c r="AA21" s="158">
        <v>1047</v>
      </c>
      <c r="AB21" s="158">
        <v>0</v>
      </c>
      <c r="AC21" s="158">
        <v>1185</v>
      </c>
      <c r="AD21" s="158">
        <v>1186</v>
      </c>
      <c r="AE21" s="158">
        <v>1185</v>
      </c>
      <c r="AF21" s="47" t="s">
        <v>90</v>
      </c>
      <c r="AG21" s="47" t="s">
        <v>90</v>
      </c>
      <c r="AH21" s="98" t="s">
        <v>90</v>
      </c>
      <c r="AI21" s="103">
        <v>15887460</v>
      </c>
      <c r="AJ21" s="45">
        <f t="shared" si="7"/>
        <v>1160</v>
      </c>
      <c r="AK21" s="48">
        <f t="shared" si="8"/>
        <v>272.0450281425891</v>
      </c>
      <c r="AL21" s="155">
        <v>0</v>
      </c>
      <c r="AM21" s="155">
        <v>1</v>
      </c>
      <c r="AN21" s="155">
        <v>0</v>
      </c>
      <c r="AO21" s="155">
        <v>1</v>
      </c>
      <c r="AP21" s="155">
        <v>1</v>
      </c>
      <c r="AQ21" s="155">
        <v>1</v>
      </c>
      <c r="AR21" s="155">
        <v>0</v>
      </c>
      <c r="AS21" s="158"/>
      <c r="AT21" s="158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205</v>
      </c>
    </row>
    <row r="22" spans="1:54" x14ac:dyDescent="0.35">
      <c r="A22" s="357">
        <v>43240</v>
      </c>
      <c r="B22" s="40">
        <v>2.375</v>
      </c>
      <c r="C22" s="40">
        <v>0.41666666666666669</v>
      </c>
      <c r="D22" s="156">
        <v>4</v>
      </c>
      <c r="E22" s="154">
        <f t="shared" si="2"/>
        <v>2.8169014084507045</v>
      </c>
      <c r="F22" s="154">
        <v>5</v>
      </c>
      <c r="G22" s="118">
        <v>78</v>
      </c>
      <c r="H22" s="154">
        <f t="shared" si="0"/>
        <v>54.929577464788736</v>
      </c>
      <c r="I22" s="154">
        <v>76</v>
      </c>
      <c r="J22" s="41" t="s">
        <v>88</v>
      </c>
      <c r="K22" s="41">
        <f t="shared" si="3"/>
        <v>53.521126760563384</v>
      </c>
      <c r="L22" s="42">
        <f t="shared" si="10"/>
        <v>54.929577464788736</v>
      </c>
      <c r="M22" s="41">
        <f t="shared" si="11"/>
        <v>56.349577464788737</v>
      </c>
      <c r="N22" s="43">
        <v>19</v>
      </c>
      <c r="O22" s="44" t="s">
        <v>100</v>
      </c>
      <c r="P22" s="44">
        <v>17.7</v>
      </c>
      <c r="Q22" s="157">
        <v>131</v>
      </c>
      <c r="R22" s="157"/>
      <c r="S22" s="157">
        <v>95060214</v>
      </c>
      <c r="T22" s="45">
        <f t="shared" si="4"/>
        <v>4082</v>
      </c>
      <c r="U22" s="46">
        <f t="shared" si="5"/>
        <v>97.968000000000004</v>
      </c>
      <c r="V22" s="46">
        <f t="shared" si="6"/>
        <v>4.0819999999999999</v>
      </c>
      <c r="W22" s="96">
        <v>7.9</v>
      </c>
      <c r="X22" s="96">
        <f t="shared" si="1"/>
        <v>7.9</v>
      </c>
      <c r="Y22" s="97" t="s">
        <v>169</v>
      </c>
      <c r="Z22" s="158">
        <v>0</v>
      </c>
      <c r="AA22" s="158">
        <v>1047</v>
      </c>
      <c r="AB22" s="158">
        <v>0</v>
      </c>
      <c r="AC22" s="158">
        <v>1185</v>
      </c>
      <c r="AD22" s="158">
        <v>1187</v>
      </c>
      <c r="AE22" s="158">
        <v>1185</v>
      </c>
      <c r="AF22" s="47" t="s">
        <v>90</v>
      </c>
      <c r="AG22" s="47" t="s">
        <v>90</v>
      </c>
      <c r="AH22" s="98" t="s">
        <v>90</v>
      </c>
      <c r="AI22" s="103">
        <v>15888658</v>
      </c>
      <c r="AJ22" s="45">
        <f t="shared" si="7"/>
        <v>1198</v>
      </c>
      <c r="AK22" s="48">
        <f t="shared" si="8"/>
        <v>293.48358647721705</v>
      </c>
      <c r="AL22" s="155">
        <v>0</v>
      </c>
      <c r="AM22" s="155">
        <v>1</v>
      </c>
      <c r="AN22" s="155">
        <v>0</v>
      </c>
      <c r="AO22" s="155">
        <v>1</v>
      </c>
      <c r="AP22" s="155">
        <v>1</v>
      </c>
      <c r="AQ22" s="155">
        <v>1</v>
      </c>
      <c r="AR22" s="155">
        <v>0</v>
      </c>
      <c r="AS22" s="158"/>
      <c r="AT22" s="158">
        <f t="shared" si="9"/>
        <v>0</v>
      </c>
      <c r="AU22" s="119">
        <v>1.1599999999999999</v>
      </c>
      <c r="AV22" s="50" t="s">
        <v>125</v>
      </c>
      <c r="BB22" s="136" t="s">
        <v>157</v>
      </c>
    </row>
    <row r="23" spans="1:54" x14ac:dyDescent="0.35">
      <c r="A23" s="357">
        <v>43240</v>
      </c>
      <c r="B23" s="40">
        <v>2.4166666666666701</v>
      </c>
      <c r="C23" s="40">
        <v>0.45833333333333298</v>
      </c>
      <c r="D23" s="156">
        <v>4</v>
      </c>
      <c r="E23" s="154">
        <f t="shared" si="2"/>
        <v>2.8169014084507045</v>
      </c>
      <c r="F23" s="154">
        <v>5</v>
      </c>
      <c r="G23" s="118">
        <v>78</v>
      </c>
      <c r="H23" s="154">
        <f t="shared" si="0"/>
        <v>54.929577464788736</v>
      </c>
      <c r="I23" s="154">
        <v>74</v>
      </c>
      <c r="J23" s="41" t="s">
        <v>88</v>
      </c>
      <c r="K23" s="41">
        <f t="shared" si="3"/>
        <v>53.521126760563384</v>
      </c>
      <c r="L23" s="42">
        <f t="shared" si="10"/>
        <v>54.929577464788736</v>
      </c>
      <c r="M23" s="41">
        <f t="shared" si="11"/>
        <v>56.349577464788737</v>
      </c>
      <c r="N23" s="43">
        <v>19</v>
      </c>
      <c r="O23" s="44" t="s">
        <v>100</v>
      </c>
      <c r="P23" s="44">
        <v>17.7</v>
      </c>
      <c r="Q23" s="157">
        <v>131</v>
      </c>
      <c r="R23" s="157"/>
      <c r="S23" s="157">
        <v>95064126</v>
      </c>
      <c r="T23" s="45">
        <f t="shared" si="4"/>
        <v>3912</v>
      </c>
      <c r="U23" s="46">
        <f t="shared" si="5"/>
        <v>93.888000000000005</v>
      </c>
      <c r="V23" s="46">
        <f t="shared" si="6"/>
        <v>3.9119999999999999</v>
      </c>
      <c r="W23" s="96">
        <v>7.2</v>
      </c>
      <c r="X23" s="96">
        <f>W23</f>
        <v>7.2</v>
      </c>
      <c r="Y23" s="97" t="s">
        <v>169</v>
      </c>
      <c r="Z23" s="158">
        <v>0</v>
      </c>
      <c r="AA23" s="158">
        <v>1047</v>
      </c>
      <c r="AB23" s="158">
        <v>0</v>
      </c>
      <c r="AC23" s="158">
        <v>1185</v>
      </c>
      <c r="AD23" s="158">
        <v>1187</v>
      </c>
      <c r="AE23" s="158">
        <v>1185</v>
      </c>
      <c r="AF23" s="47" t="s">
        <v>90</v>
      </c>
      <c r="AG23" s="47" t="s">
        <v>90</v>
      </c>
      <c r="AH23" s="98" t="s">
        <v>90</v>
      </c>
      <c r="AI23" s="103">
        <v>15889856</v>
      </c>
      <c r="AJ23" s="45">
        <f t="shared" si="7"/>
        <v>1198</v>
      </c>
      <c r="AK23" s="48">
        <f t="shared" si="8"/>
        <v>306.23721881390594</v>
      </c>
      <c r="AL23" s="155">
        <v>0</v>
      </c>
      <c r="AM23" s="155">
        <v>1</v>
      </c>
      <c r="AN23" s="155">
        <v>0</v>
      </c>
      <c r="AO23" s="155">
        <v>1</v>
      </c>
      <c r="AP23" s="155">
        <v>1</v>
      </c>
      <c r="AQ23" s="155">
        <v>1</v>
      </c>
      <c r="AR23" s="155">
        <v>0</v>
      </c>
      <c r="AS23" s="158"/>
      <c r="AT23" s="158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357">
        <v>43240</v>
      </c>
      <c r="B24" s="40">
        <v>2.4583333333333299</v>
      </c>
      <c r="C24" s="40">
        <v>0.5</v>
      </c>
      <c r="D24" s="156">
        <v>4</v>
      </c>
      <c r="E24" s="154">
        <f t="shared" si="2"/>
        <v>2.8169014084507045</v>
      </c>
      <c r="F24" s="154">
        <v>4</v>
      </c>
      <c r="G24" s="118">
        <v>76</v>
      </c>
      <c r="H24" s="154">
        <f t="shared" si="0"/>
        <v>53.521126760563384</v>
      </c>
      <c r="I24" s="154">
        <v>72</v>
      </c>
      <c r="J24" s="41" t="s">
        <v>88</v>
      </c>
      <c r="K24" s="41">
        <f t="shared" si="3"/>
        <v>52.112676056338032</v>
      </c>
      <c r="L24" s="42">
        <f t="shared" si="10"/>
        <v>53.521126760563384</v>
      </c>
      <c r="M24" s="41">
        <f t="shared" si="11"/>
        <v>54.941126760563385</v>
      </c>
      <c r="N24" s="43">
        <v>19</v>
      </c>
      <c r="O24" s="44" t="s">
        <v>100</v>
      </c>
      <c r="P24" s="44">
        <v>17.3</v>
      </c>
      <c r="Q24" s="157">
        <v>130</v>
      </c>
      <c r="R24" s="157"/>
      <c r="S24" s="157">
        <v>95068042</v>
      </c>
      <c r="T24" s="45">
        <f t="shared" si="4"/>
        <v>3916</v>
      </c>
      <c r="U24" s="46">
        <f>T24*24/1000</f>
        <v>93.983999999999995</v>
      </c>
      <c r="V24" s="46">
        <f t="shared" si="6"/>
        <v>3.9159999999999999</v>
      </c>
      <c r="W24" s="96">
        <v>6.5</v>
      </c>
      <c r="X24" s="96">
        <f t="shared" si="1"/>
        <v>6.5</v>
      </c>
      <c r="Y24" s="97" t="s">
        <v>169</v>
      </c>
      <c r="Z24" s="158">
        <v>0</v>
      </c>
      <c r="AA24" s="158">
        <v>1047</v>
      </c>
      <c r="AB24" s="158">
        <v>0</v>
      </c>
      <c r="AC24" s="158">
        <v>1185</v>
      </c>
      <c r="AD24" s="158">
        <v>1186</v>
      </c>
      <c r="AE24" s="158">
        <v>1185</v>
      </c>
      <c r="AF24" s="47" t="s">
        <v>90</v>
      </c>
      <c r="AG24" s="47" t="s">
        <v>90</v>
      </c>
      <c r="AH24" s="98" t="s">
        <v>90</v>
      </c>
      <c r="AI24" s="103">
        <v>15891018</v>
      </c>
      <c r="AJ24" s="45">
        <f t="shared" si="7"/>
        <v>1162</v>
      </c>
      <c r="AK24" s="48">
        <f t="shared" si="8"/>
        <v>296.73135852911133</v>
      </c>
      <c r="AL24" s="155">
        <v>0</v>
      </c>
      <c r="AM24" s="155">
        <v>1</v>
      </c>
      <c r="AN24" s="155">
        <v>0</v>
      </c>
      <c r="AO24" s="155">
        <v>1</v>
      </c>
      <c r="AP24" s="155">
        <v>1</v>
      </c>
      <c r="AQ24" s="155">
        <v>1</v>
      </c>
      <c r="AR24" s="155">
        <v>0</v>
      </c>
      <c r="AS24" s="158"/>
      <c r="AT24" s="158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357">
        <v>43240</v>
      </c>
      <c r="B25" s="40">
        <v>2.5</v>
      </c>
      <c r="C25" s="40">
        <v>0.54166666666666696</v>
      </c>
      <c r="D25" s="156">
        <v>4</v>
      </c>
      <c r="E25" s="154">
        <f t="shared" si="2"/>
        <v>2.8169014084507045</v>
      </c>
      <c r="F25" s="154">
        <v>4</v>
      </c>
      <c r="G25" s="118">
        <v>76</v>
      </c>
      <c r="H25" s="154">
        <f t="shared" si="0"/>
        <v>53.521126760563384</v>
      </c>
      <c r="I25" s="154">
        <v>72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7">
        <v>128</v>
      </c>
      <c r="R25" s="157"/>
      <c r="S25" s="157">
        <v>95071874</v>
      </c>
      <c r="T25" s="45">
        <f t="shared" si="4"/>
        <v>3832</v>
      </c>
      <c r="U25" s="46">
        <f>T25*24/1000</f>
        <v>91.968000000000004</v>
      </c>
      <c r="V25" s="46">
        <f t="shared" si="6"/>
        <v>3.8319999999999999</v>
      </c>
      <c r="W25" s="96">
        <v>5.9</v>
      </c>
      <c r="X25" s="96">
        <f t="shared" si="1"/>
        <v>5.9</v>
      </c>
      <c r="Y25" s="97" t="s">
        <v>169</v>
      </c>
      <c r="Z25" s="158">
        <v>0</v>
      </c>
      <c r="AA25" s="158">
        <v>1047</v>
      </c>
      <c r="AB25" s="158">
        <v>0</v>
      </c>
      <c r="AC25" s="158">
        <v>1185</v>
      </c>
      <c r="AD25" s="158">
        <v>1187</v>
      </c>
      <c r="AE25" s="158">
        <v>1185</v>
      </c>
      <c r="AF25" s="47" t="s">
        <v>90</v>
      </c>
      <c r="AG25" s="47" t="s">
        <v>90</v>
      </c>
      <c r="AH25" s="98" t="s">
        <v>90</v>
      </c>
      <c r="AI25" s="103">
        <v>15892184</v>
      </c>
      <c r="AJ25" s="45">
        <f t="shared" si="7"/>
        <v>1166</v>
      </c>
      <c r="AK25" s="48">
        <f t="shared" si="8"/>
        <v>304.27974947807934</v>
      </c>
      <c r="AL25" s="155">
        <v>0</v>
      </c>
      <c r="AM25" s="155">
        <v>1</v>
      </c>
      <c r="AN25" s="155">
        <v>0</v>
      </c>
      <c r="AO25" s="155">
        <v>1</v>
      </c>
      <c r="AP25" s="155">
        <v>1</v>
      </c>
      <c r="AQ25" s="155">
        <v>1</v>
      </c>
      <c r="AR25" s="155">
        <v>0</v>
      </c>
      <c r="AS25" s="158"/>
      <c r="AT25" s="158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57">
        <v>43240</v>
      </c>
      <c r="B26" s="40">
        <v>2.5416666666666701</v>
      </c>
      <c r="C26" s="40">
        <v>0.58333333333333404</v>
      </c>
      <c r="D26" s="156">
        <v>3</v>
      </c>
      <c r="E26" s="154">
        <f t="shared" si="2"/>
        <v>2.1126760563380285</v>
      </c>
      <c r="F26" s="154">
        <v>4</v>
      </c>
      <c r="G26" s="118">
        <v>76</v>
      </c>
      <c r="H26" s="154">
        <f>G26/1.42</f>
        <v>53.521126760563384</v>
      </c>
      <c r="I26" s="154">
        <v>73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7">
        <v>128</v>
      </c>
      <c r="R26" s="157"/>
      <c r="S26" s="157">
        <v>95076574</v>
      </c>
      <c r="T26" s="45">
        <f t="shared" si="4"/>
        <v>4700</v>
      </c>
      <c r="U26" s="46">
        <f t="shared" si="5"/>
        <v>112.8</v>
      </c>
      <c r="V26" s="46">
        <f t="shared" si="6"/>
        <v>4.7</v>
      </c>
      <c r="W26" s="96">
        <v>5.3</v>
      </c>
      <c r="X26" s="96">
        <f t="shared" si="1"/>
        <v>5.3</v>
      </c>
      <c r="Y26" s="97" t="s">
        <v>169</v>
      </c>
      <c r="Z26" s="158">
        <v>0</v>
      </c>
      <c r="AA26" s="158">
        <v>1037</v>
      </c>
      <c r="AB26" s="158">
        <v>0</v>
      </c>
      <c r="AC26" s="158">
        <v>1185</v>
      </c>
      <c r="AD26" s="158">
        <v>1186</v>
      </c>
      <c r="AE26" s="158">
        <v>1185</v>
      </c>
      <c r="AF26" s="47" t="s">
        <v>90</v>
      </c>
      <c r="AG26" s="47" t="s">
        <v>90</v>
      </c>
      <c r="AH26" s="98" t="s">
        <v>90</v>
      </c>
      <c r="AI26" s="103">
        <v>15893445</v>
      </c>
      <c r="AJ26" s="45">
        <f t="shared" si="7"/>
        <v>1261</v>
      </c>
      <c r="AK26" s="48">
        <f t="shared" si="8"/>
        <v>268.2978723404255</v>
      </c>
      <c r="AL26" s="155">
        <v>0</v>
      </c>
      <c r="AM26" s="155">
        <v>1</v>
      </c>
      <c r="AN26" s="155">
        <v>0</v>
      </c>
      <c r="AO26" s="155">
        <v>1</v>
      </c>
      <c r="AP26" s="155">
        <v>1</v>
      </c>
      <c r="AQ26" s="155">
        <v>1</v>
      </c>
      <c r="AR26" s="155">
        <v>0</v>
      </c>
      <c r="AS26" s="158"/>
      <c r="AT26" s="158">
        <f t="shared" si="9"/>
        <v>0</v>
      </c>
      <c r="AU26" s="119">
        <v>1.23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57">
        <v>43240</v>
      </c>
      <c r="B27" s="40">
        <v>2.5833333333333299</v>
      </c>
      <c r="C27" s="40">
        <v>0.625</v>
      </c>
      <c r="D27" s="156">
        <v>3</v>
      </c>
      <c r="E27" s="154">
        <f t="shared" si="2"/>
        <v>2.1126760563380285</v>
      </c>
      <c r="F27" s="154">
        <v>3</v>
      </c>
      <c r="G27" s="118">
        <v>76</v>
      </c>
      <c r="H27" s="154">
        <f>G27/1.42</f>
        <v>53.521126760563384</v>
      </c>
      <c r="I27" s="154">
        <v>73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7">
        <v>129</v>
      </c>
      <c r="R27" s="157"/>
      <c r="S27" s="157">
        <v>95081173</v>
      </c>
      <c r="T27" s="45">
        <f t="shared" si="4"/>
        <v>4599</v>
      </c>
      <c r="U27" s="46">
        <f t="shared" si="5"/>
        <v>110.376</v>
      </c>
      <c r="V27" s="46">
        <f t="shared" si="6"/>
        <v>4.5990000000000002</v>
      </c>
      <c r="W27" s="96">
        <v>4.8</v>
      </c>
      <c r="X27" s="96">
        <f t="shared" si="1"/>
        <v>4.8</v>
      </c>
      <c r="Y27" s="97" t="s">
        <v>169</v>
      </c>
      <c r="Z27" s="158">
        <v>0</v>
      </c>
      <c r="AA27" s="158">
        <v>1037</v>
      </c>
      <c r="AB27" s="158">
        <v>0</v>
      </c>
      <c r="AC27" s="158">
        <v>1185</v>
      </c>
      <c r="AD27" s="158">
        <v>1186</v>
      </c>
      <c r="AE27" s="158">
        <v>1185</v>
      </c>
      <c r="AF27" s="47" t="s">
        <v>90</v>
      </c>
      <c r="AG27" s="47" t="s">
        <v>90</v>
      </c>
      <c r="AH27" s="98" t="s">
        <v>90</v>
      </c>
      <c r="AI27" s="103">
        <v>15894611</v>
      </c>
      <c r="AJ27" s="45">
        <f t="shared" si="7"/>
        <v>1166</v>
      </c>
      <c r="AK27" s="48">
        <f t="shared" si="8"/>
        <v>253.53337682104805</v>
      </c>
      <c r="AL27" s="155">
        <v>0</v>
      </c>
      <c r="AM27" s="155">
        <v>1</v>
      </c>
      <c r="AN27" s="155">
        <v>0</v>
      </c>
      <c r="AO27" s="155">
        <v>1</v>
      </c>
      <c r="AP27" s="155">
        <v>1</v>
      </c>
      <c r="AQ27" s="155">
        <v>1</v>
      </c>
      <c r="AR27" s="155">
        <v>0</v>
      </c>
      <c r="AS27" s="158"/>
      <c r="AT27" s="158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57">
        <v>43240</v>
      </c>
      <c r="B28" s="40">
        <v>2.625</v>
      </c>
      <c r="C28" s="40">
        <v>0.66666666666666696</v>
      </c>
      <c r="D28" s="156">
        <v>3</v>
      </c>
      <c r="E28" s="154">
        <f t="shared" si="2"/>
        <v>2.1126760563380285</v>
      </c>
      <c r="F28" s="154">
        <v>2</v>
      </c>
      <c r="G28" s="118">
        <v>76</v>
      </c>
      <c r="H28" s="154">
        <f t="shared" si="0"/>
        <v>53.521126760563384</v>
      </c>
      <c r="I28" s="154">
        <v>73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7">
        <v>130</v>
      </c>
      <c r="R28" s="157"/>
      <c r="S28" s="157">
        <v>95085807</v>
      </c>
      <c r="T28" s="45">
        <f t="shared" si="4"/>
        <v>4634</v>
      </c>
      <c r="U28" s="46">
        <f t="shared" si="5"/>
        <v>111.21599999999999</v>
      </c>
      <c r="V28" s="46">
        <f t="shared" si="6"/>
        <v>4.6340000000000003</v>
      </c>
      <c r="W28" s="96">
        <v>4.3</v>
      </c>
      <c r="X28" s="96">
        <f t="shared" si="1"/>
        <v>4.3</v>
      </c>
      <c r="Y28" s="97" t="s">
        <v>169</v>
      </c>
      <c r="Z28" s="158">
        <v>0</v>
      </c>
      <c r="AA28" s="158">
        <v>1025</v>
      </c>
      <c r="AB28" s="158">
        <v>0</v>
      </c>
      <c r="AC28" s="158">
        <v>1185</v>
      </c>
      <c r="AD28" s="158">
        <v>1187</v>
      </c>
      <c r="AE28" s="158">
        <v>1185</v>
      </c>
      <c r="AF28" s="47" t="s">
        <v>90</v>
      </c>
      <c r="AG28" s="47" t="s">
        <v>90</v>
      </c>
      <c r="AH28" s="98" t="s">
        <v>90</v>
      </c>
      <c r="AI28" s="103">
        <v>15895793</v>
      </c>
      <c r="AJ28" s="45">
        <f>IF(ISBLANK(AI28),"-",AI28-AI27)</f>
        <v>1182</v>
      </c>
      <c r="AK28" s="48">
        <f t="shared" si="8"/>
        <v>255.07121277514025</v>
      </c>
      <c r="AL28" s="155">
        <v>0</v>
      </c>
      <c r="AM28" s="155">
        <v>1</v>
      </c>
      <c r="AN28" s="155">
        <v>0</v>
      </c>
      <c r="AO28" s="155">
        <v>1</v>
      </c>
      <c r="AP28" s="155">
        <v>1</v>
      </c>
      <c r="AQ28" s="155">
        <v>1</v>
      </c>
      <c r="AR28" s="155">
        <v>0</v>
      </c>
      <c r="AS28" s="158"/>
      <c r="AT28" s="158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357">
        <v>43240</v>
      </c>
      <c r="B29" s="40">
        <v>2.6666666666666701</v>
      </c>
      <c r="C29" s="40">
        <v>0.70833333333333404</v>
      </c>
      <c r="D29" s="156">
        <v>3</v>
      </c>
      <c r="E29" s="154">
        <f t="shared" si="2"/>
        <v>2.1126760563380285</v>
      </c>
      <c r="F29" s="154">
        <v>1</v>
      </c>
      <c r="G29" s="118">
        <v>75</v>
      </c>
      <c r="H29" s="154">
        <f t="shared" si="0"/>
        <v>52.816901408450704</v>
      </c>
      <c r="I29" s="154">
        <v>72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7">
        <v>129</v>
      </c>
      <c r="R29" s="157"/>
      <c r="S29" s="157">
        <v>95090538</v>
      </c>
      <c r="T29" s="45">
        <f t="shared" si="4"/>
        <v>4731</v>
      </c>
      <c r="U29" s="46">
        <f t="shared" si="5"/>
        <v>113.544</v>
      </c>
      <c r="V29" s="46">
        <f t="shared" si="6"/>
        <v>4.7309999999999999</v>
      </c>
      <c r="W29" s="96">
        <v>3.7</v>
      </c>
      <c r="X29" s="96">
        <f t="shared" si="1"/>
        <v>3.7</v>
      </c>
      <c r="Y29" s="97" t="s">
        <v>169</v>
      </c>
      <c r="Z29" s="158">
        <v>0</v>
      </c>
      <c r="AA29" s="158">
        <v>1026</v>
      </c>
      <c r="AB29" s="158">
        <v>0</v>
      </c>
      <c r="AC29" s="158">
        <v>1185</v>
      </c>
      <c r="AD29" s="158">
        <v>1187</v>
      </c>
      <c r="AE29" s="158">
        <v>1185</v>
      </c>
      <c r="AF29" s="47" t="s">
        <v>90</v>
      </c>
      <c r="AG29" s="47" t="s">
        <v>90</v>
      </c>
      <c r="AH29" s="98" t="s">
        <v>90</v>
      </c>
      <c r="AI29" s="103">
        <v>15896944</v>
      </c>
      <c r="AJ29" s="45">
        <f t="shared" si="7"/>
        <v>1151</v>
      </c>
      <c r="AK29" s="48">
        <f>AJ28/V29</f>
        <v>249.8414711477489</v>
      </c>
      <c r="AL29" s="155">
        <v>0</v>
      </c>
      <c r="AM29" s="155">
        <v>1</v>
      </c>
      <c r="AN29" s="155">
        <v>0</v>
      </c>
      <c r="AO29" s="155">
        <v>1</v>
      </c>
      <c r="AP29" s="155">
        <v>1</v>
      </c>
      <c r="AQ29" s="155">
        <v>1</v>
      </c>
      <c r="AR29" s="155">
        <v>0</v>
      </c>
      <c r="AS29" s="158"/>
      <c r="AT29" s="158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357">
        <v>43240</v>
      </c>
      <c r="B30" s="40">
        <v>2.7083333333333299</v>
      </c>
      <c r="C30" s="40">
        <v>0.750000000000002</v>
      </c>
      <c r="D30" s="156">
        <v>3</v>
      </c>
      <c r="E30" s="154">
        <f t="shared" si="2"/>
        <v>2.1126760563380285</v>
      </c>
      <c r="F30" s="154">
        <v>0</v>
      </c>
      <c r="G30" s="118">
        <v>75</v>
      </c>
      <c r="H30" s="154">
        <f t="shared" si="0"/>
        <v>52.816901408450704</v>
      </c>
      <c r="I30" s="154">
        <v>73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7">
        <v>129</v>
      </c>
      <c r="R30" s="157"/>
      <c r="S30" s="157">
        <v>95094723</v>
      </c>
      <c r="T30" s="45">
        <f t="shared" si="4"/>
        <v>4185</v>
      </c>
      <c r="U30" s="46">
        <f t="shared" si="5"/>
        <v>100.44</v>
      </c>
      <c r="V30" s="46">
        <f t="shared" si="6"/>
        <v>4.1849999999999996</v>
      </c>
      <c r="W30" s="96">
        <v>3.3</v>
      </c>
      <c r="X30" s="96">
        <f t="shared" si="1"/>
        <v>3.3</v>
      </c>
      <c r="Y30" s="97" t="s">
        <v>169</v>
      </c>
      <c r="Z30" s="158">
        <v>0</v>
      </c>
      <c r="AA30" s="158">
        <v>1026</v>
      </c>
      <c r="AB30" s="158">
        <v>0</v>
      </c>
      <c r="AC30" s="158">
        <v>1185</v>
      </c>
      <c r="AD30" s="158">
        <v>1188</v>
      </c>
      <c r="AE30" s="158">
        <v>1185</v>
      </c>
      <c r="AF30" s="47" t="s">
        <v>90</v>
      </c>
      <c r="AG30" s="47" t="s">
        <v>90</v>
      </c>
      <c r="AH30" s="98" t="s">
        <v>90</v>
      </c>
      <c r="AI30" s="103">
        <v>15898015</v>
      </c>
      <c r="AJ30" s="45">
        <f t="shared" si="7"/>
        <v>1071</v>
      </c>
      <c r="AK30" s="48">
        <f>AJ29/V30</f>
        <v>275.02986857825567</v>
      </c>
      <c r="AL30" s="155">
        <v>0</v>
      </c>
      <c r="AM30" s="155">
        <v>1</v>
      </c>
      <c r="AN30" s="155">
        <v>0</v>
      </c>
      <c r="AO30" s="155">
        <v>1</v>
      </c>
      <c r="AP30" s="155">
        <v>1</v>
      </c>
      <c r="AQ30" s="155">
        <v>1</v>
      </c>
      <c r="AR30" s="155">
        <v>0</v>
      </c>
      <c r="AS30" s="158"/>
      <c r="AT30" s="158">
        <f t="shared" si="9"/>
        <v>0</v>
      </c>
      <c r="AU30" s="159">
        <v>1.1200000000000001</v>
      </c>
      <c r="AV30" s="50" t="s">
        <v>124</v>
      </c>
      <c r="AY30" s="55" t="s">
        <v>114</v>
      </c>
      <c r="AZ30" s="55">
        <v>101.325</v>
      </c>
      <c r="BB30" s="74" t="s">
        <v>143</v>
      </c>
    </row>
    <row r="31" spans="1:54" x14ac:dyDescent="0.35">
      <c r="A31" s="357">
        <v>43240</v>
      </c>
      <c r="B31" s="40">
        <v>2.75</v>
      </c>
      <c r="C31" s="40">
        <v>0.79166666666666896</v>
      </c>
      <c r="D31" s="156">
        <v>3</v>
      </c>
      <c r="E31" s="154">
        <f t="shared" si="2"/>
        <v>2.1126760563380285</v>
      </c>
      <c r="F31" s="154">
        <v>-1</v>
      </c>
      <c r="G31" s="118">
        <v>75</v>
      </c>
      <c r="H31" s="154">
        <f t="shared" si="0"/>
        <v>52.816901408450704</v>
      </c>
      <c r="I31" s="154">
        <v>72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7">
        <v>129</v>
      </c>
      <c r="R31" s="157"/>
      <c r="S31" s="157">
        <v>95099518</v>
      </c>
      <c r="T31" s="45">
        <f t="shared" si="4"/>
        <v>4795</v>
      </c>
      <c r="U31" s="46">
        <f t="shared" si="5"/>
        <v>115.08</v>
      </c>
      <c r="V31" s="46">
        <f t="shared" si="6"/>
        <v>4.7949999999999999</v>
      </c>
      <c r="W31" s="96">
        <v>2.9</v>
      </c>
      <c r="X31" s="96">
        <f t="shared" si="1"/>
        <v>2.9</v>
      </c>
      <c r="Y31" s="97" t="s">
        <v>169</v>
      </c>
      <c r="Z31" s="158">
        <v>0</v>
      </c>
      <c r="AA31" s="158">
        <v>1026</v>
      </c>
      <c r="AB31" s="158">
        <v>0</v>
      </c>
      <c r="AC31" s="158">
        <v>1185</v>
      </c>
      <c r="AD31" s="158">
        <v>1187</v>
      </c>
      <c r="AE31" s="158">
        <v>1185</v>
      </c>
      <c r="AF31" s="47" t="s">
        <v>90</v>
      </c>
      <c r="AG31" s="47" t="s">
        <v>90</v>
      </c>
      <c r="AH31" s="98" t="s">
        <v>90</v>
      </c>
      <c r="AI31" s="103">
        <v>15899269</v>
      </c>
      <c r="AJ31" s="45">
        <f t="shared" si="7"/>
        <v>1254</v>
      </c>
      <c r="AK31" s="48">
        <f t="shared" si="8"/>
        <v>261.52241918665277</v>
      </c>
      <c r="AL31" s="155">
        <v>0</v>
      </c>
      <c r="AM31" s="155">
        <v>1</v>
      </c>
      <c r="AN31" s="155">
        <v>0</v>
      </c>
      <c r="AO31" s="155">
        <v>1</v>
      </c>
      <c r="AP31" s="155">
        <v>1</v>
      </c>
      <c r="AQ31" s="155">
        <v>1</v>
      </c>
      <c r="AR31" s="155">
        <v>0</v>
      </c>
      <c r="AS31" s="158"/>
      <c r="AT31" s="158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357">
        <v>43240</v>
      </c>
      <c r="B32" s="40">
        <v>2.7916666666666701</v>
      </c>
      <c r="C32" s="40">
        <v>0.83333333333333703</v>
      </c>
      <c r="D32" s="156">
        <v>3</v>
      </c>
      <c r="E32" s="154">
        <f t="shared" si="2"/>
        <v>2.1126760563380285</v>
      </c>
      <c r="F32" s="154">
        <v>-2</v>
      </c>
      <c r="G32" s="118">
        <v>75</v>
      </c>
      <c r="H32" s="154">
        <f t="shared" si="0"/>
        <v>52.816901408450704</v>
      </c>
      <c r="I32" s="154">
        <v>72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7">
        <v>128</v>
      </c>
      <c r="R32" s="157"/>
      <c r="S32" s="157">
        <v>95104293</v>
      </c>
      <c r="T32" s="45">
        <f t="shared" si="4"/>
        <v>4775</v>
      </c>
      <c r="U32" s="46">
        <f t="shared" si="5"/>
        <v>114.6</v>
      </c>
      <c r="V32" s="46">
        <f t="shared" si="6"/>
        <v>4.7750000000000004</v>
      </c>
      <c r="W32" s="96">
        <v>2.5</v>
      </c>
      <c r="X32" s="96">
        <f t="shared" si="1"/>
        <v>2.5</v>
      </c>
      <c r="Y32" s="97" t="s">
        <v>169</v>
      </c>
      <c r="Z32" s="158">
        <v>0</v>
      </c>
      <c r="AA32" s="158">
        <v>1026</v>
      </c>
      <c r="AB32" s="158">
        <v>0</v>
      </c>
      <c r="AC32" s="158">
        <v>1185</v>
      </c>
      <c r="AD32" s="158">
        <v>1187</v>
      </c>
      <c r="AE32" s="158">
        <v>1185</v>
      </c>
      <c r="AF32" s="47" t="s">
        <v>90</v>
      </c>
      <c r="AG32" s="47" t="s">
        <v>90</v>
      </c>
      <c r="AH32" s="98" t="s">
        <v>90</v>
      </c>
      <c r="AI32" s="103">
        <v>15900445</v>
      </c>
      <c r="AJ32" s="45">
        <f t="shared" si="7"/>
        <v>1176</v>
      </c>
      <c r="AK32" s="48">
        <f t="shared" si="8"/>
        <v>246.282722513089</v>
      </c>
      <c r="AL32" s="155">
        <v>0</v>
      </c>
      <c r="AM32" s="155">
        <v>1</v>
      </c>
      <c r="AN32" s="155">
        <v>0</v>
      </c>
      <c r="AO32" s="155">
        <v>1</v>
      </c>
      <c r="AP32" s="155">
        <v>1</v>
      </c>
      <c r="AQ32" s="155">
        <v>1</v>
      </c>
      <c r="AR32" s="155">
        <v>0</v>
      </c>
      <c r="AS32" s="158"/>
      <c r="AT32" s="158">
        <v>0</v>
      </c>
      <c r="AU32" s="49"/>
      <c r="AV32" s="50" t="s">
        <v>124</v>
      </c>
      <c r="AY32" s="308" t="s">
        <v>115</v>
      </c>
      <c r="AZ32" s="308"/>
      <c r="BB32" s="74" t="s">
        <v>156</v>
      </c>
    </row>
    <row r="33" spans="1:54" x14ac:dyDescent="0.35">
      <c r="A33" s="357">
        <v>43240</v>
      </c>
      <c r="B33" s="40">
        <v>2.8333333333333299</v>
      </c>
      <c r="C33" s="40">
        <v>0.875</v>
      </c>
      <c r="D33" s="156">
        <v>3</v>
      </c>
      <c r="E33" s="154">
        <f t="shared" si="2"/>
        <v>2.1126760563380285</v>
      </c>
      <c r="F33" s="154">
        <v>-2</v>
      </c>
      <c r="G33" s="118">
        <v>75</v>
      </c>
      <c r="H33" s="154">
        <f t="shared" si="0"/>
        <v>52.816901408450704</v>
      </c>
      <c r="I33" s="154">
        <v>72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7">
        <v>128</v>
      </c>
      <c r="R33" s="157"/>
      <c r="S33" s="157">
        <v>95108729</v>
      </c>
      <c r="T33" s="45">
        <f t="shared" si="4"/>
        <v>4436</v>
      </c>
      <c r="U33" s="46">
        <f t="shared" si="5"/>
        <v>106.464</v>
      </c>
      <c r="V33" s="46">
        <f t="shared" si="6"/>
        <v>4.4359999999999999</v>
      </c>
      <c r="W33" s="96">
        <v>2.2000000000000002</v>
      </c>
      <c r="X33" s="96">
        <f t="shared" si="1"/>
        <v>2.2000000000000002</v>
      </c>
      <c r="Y33" s="97" t="s">
        <v>169</v>
      </c>
      <c r="Z33" s="158">
        <v>0</v>
      </c>
      <c r="AA33" s="158">
        <v>1026</v>
      </c>
      <c r="AB33" s="158">
        <v>0</v>
      </c>
      <c r="AC33" s="158">
        <v>1185</v>
      </c>
      <c r="AD33" s="158">
        <v>1187</v>
      </c>
      <c r="AE33" s="158">
        <v>1185</v>
      </c>
      <c r="AF33" s="47" t="s">
        <v>90</v>
      </c>
      <c r="AG33" s="47" t="s">
        <v>90</v>
      </c>
      <c r="AH33" s="98" t="s">
        <v>90</v>
      </c>
      <c r="AI33" s="103">
        <v>15901568</v>
      </c>
      <c r="AJ33" s="45">
        <f t="shared" si="7"/>
        <v>1123</v>
      </c>
      <c r="AK33" s="48">
        <f t="shared" si="8"/>
        <v>253.15599639314698</v>
      </c>
      <c r="AL33" s="155">
        <v>0</v>
      </c>
      <c r="AM33" s="155">
        <v>1</v>
      </c>
      <c r="AN33" s="155">
        <v>0</v>
      </c>
      <c r="AO33" s="155">
        <v>1</v>
      </c>
      <c r="AP33" s="155">
        <v>1</v>
      </c>
      <c r="AQ33" s="155">
        <v>1</v>
      </c>
      <c r="AR33" s="155">
        <v>0</v>
      </c>
      <c r="AS33" s="158"/>
      <c r="AT33" s="158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57">
        <v>43240</v>
      </c>
      <c r="B34" s="40">
        <v>2.875</v>
      </c>
      <c r="C34" s="40">
        <v>0.91666666666667096</v>
      </c>
      <c r="D34" s="156" t="s">
        <v>179</v>
      </c>
      <c r="E34" s="154" t="e">
        <f t="shared" si="2"/>
        <v>#VALUE!</v>
      </c>
      <c r="F34" s="154">
        <v>-1</v>
      </c>
      <c r="G34" s="118">
        <v>74</v>
      </c>
      <c r="H34" s="154">
        <f t="shared" si="0"/>
        <v>52.112676056338032</v>
      </c>
      <c r="I34" s="154">
        <v>72</v>
      </c>
      <c r="J34" s="41" t="s">
        <v>88</v>
      </c>
      <c r="K34" s="41">
        <f t="shared" si="3"/>
        <v>48.591549295774648</v>
      </c>
      <c r="L34" s="42">
        <f t="shared" si="13"/>
        <v>50</v>
      </c>
      <c r="M34" s="41">
        <f t="shared" si="12"/>
        <v>54.225352112676056</v>
      </c>
      <c r="N34" s="43">
        <v>14</v>
      </c>
      <c r="O34" s="44" t="s">
        <v>116</v>
      </c>
      <c r="P34" s="44">
        <v>12.6</v>
      </c>
      <c r="Q34" s="157" t="s">
        <v>179</v>
      </c>
      <c r="R34" s="157"/>
      <c r="S34" s="157">
        <v>95113580</v>
      </c>
      <c r="T34" s="45">
        <f t="shared" si="4"/>
        <v>4851</v>
      </c>
      <c r="U34" s="46">
        <f t="shared" si="5"/>
        <v>116.42400000000001</v>
      </c>
      <c r="V34" s="46">
        <f t="shared" si="6"/>
        <v>4.851</v>
      </c>
      <c r="W34" s="96">
        <v>1.9</v>
      </c>
      <c r="X34" s="96">
        <f t="shared" si="1"/>
        <v>1.9</v>
      </c>
      <c r="Y34" s="97" t="s">
        <v>169</v>
      </c>
      <c r="Z34" s="158">
        <v>0</v>
      </c>
      <c r="AA34" s="158">
        <v>1025</v>
      </c>
      <c r="AB34" s="158">
        <v>0</v>
      </c>
      <c r="AC34" s="158">
        <v>1185</v>
      </c>
      <c r="AD34" s="158">
        <v>1187</v>
      </c>
      <c r="AE34" s="158">
        <v>1185</v>
      </c>
      <c r="AF34" s="47" t="s">
        <v>90</v>
      </c>
      <c r="AG34" s="47" t="s">
        <v>90</v>
      </c>
      <c r="AH34" s="98" t="s">
        <v>90</v>
      </c>
      <c r="AI34" s="103">
        <v>15902770</v>
      </c>
      <c r="AJ34" s="45">
        <f t="shared" si="7"/>
        <v>1202</v>
      </c>
      <c r="AK34" s="48">
        <f t="shared" si="8"/>
        <v>247.78396206967636</v>
      </c>
      <c r="AL34" s="155">
        <v>0</v>
      </c>
      <c r="AM34" s="155">
        <v>1</v>
      </c>
      <c r="AN34" s="155">
        <v>0</v>
      </c>
      <c r="AO34" s="155">
        <v>1</v>
      </c>
      <c r="AP34" s="155">
        <v>1</v>
      </c>
      <c r="AQ34" s="155">
        <v>1</v>
      </c>
      <c r="AR34" s="155">
        <v>0</v>
      </c>
      <c r="AS34" s="158"/>
      <c r="AT34" s="158">
        <f>AS34-AS33</f>
        <v>0</v>
      </c>
      <c r="AU34" s="119">
        <v>0.98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357">
        <v>43240</v>
      </c>
      <c r="B35" s="40">
        <v>2.9166666666666701</v>
      </c>
      <c r="C35" s="40">
        <v>0.95833333333333803</v>
      </c>
      <c r="D35" s="156" t="s">
        <v>179</v>
      </c>
      <c r="E35" s="154" t="e">
        <f t="shared" si="2"/>
        <v>#VALUE!</v>
      </c>
      <c r="F35" s="154">
        <v>0</v>
      </c>
      <c r="G35" s="118">
        <v>72</v>
      </c>
      <c r="H35" s="154">
        <f t="shared" si="0"/>
        <v>50.70422535211268</v>
      </c>
      <c r="I35" s="154">
        <v>70</v>
      </c>
      <c r="J35" s="41" t="s">
        <v>88</v>
      </c>
      <c r="K35" s="41">
        <f>L35-(2/1.42)</f>
        <v>45.774647887323944</v>
      </c>
      <c r="L35" s="42">
        <f>(G35-5)/1.42</f>
        <v>47.183098591549296</v>
      </c>
      <c r="M35" s="41">
        <f t="shared" si="12"/>
        <v>51.408450704225352</v>
      </c>
      <c r="N35" s="43">
        <v>14</v>
      </c>
      <c r="O35" s="44" t="s">
        <v>116</v>
      </c>
      <c r="P35" s="44">
        <v>11.9</v>
      </c>
      <c r="Q35" s="157" t="s">
        <v>179</v>
      </c>
      <c r="R35" s="157"/>
      <c r="S35" s="157">
        <v>95118191</v>
      </c>
      <c r="T35" s="45">
        <f t="shared" si="4"/>
        <v>4611</v>
      </c>
      <c r="U35" s="46">
        <f t="shared" si="5"/>
        <v>110.664</v>
      </c>
      <c r="V35" s="46">
        <f t="shared" si="6"/>
        <v>4.6109999999999998</v>
      </c>
      <c r="W35" s="96">
        <v>2.1</v>
      </c>
      <c r="X35" s="96">
        <f t="shared" si="1"/>
        <v>2.1</v>
      </c>
      <c r="Y35" s="97" t="s">
        <v>138</v>
      </c>
      <c r="Z35" s="158">
        <v>0</v>
      </c>
      <c r="AA35" s="158">
        <v>0</v>
      </c>
      <c r="AB35" s="158">
        <v>0</v>
      </c>
      <c r="AC35" s="158">
        <v>1185</v>
      </c>
      <c r="AD35" s="158">
        <v>1187</v>
      </c>
      <c r="AE35" s="158">
        <v>1185</v>
      </c>
      <c r="AF35" s="47" t="s">
        <v>90</v>
      </c>
      <c r="AG35" s="47" t="s">
        <v>90</v>
      </c>
      <c r="AH35" s="98" t="s">
        <v>90</v>
      </c>
      <c r="AI35" s="103">
        <v>15903836</v>
      </c>
      <c r="AJ35" s="45">
        <f t="shared" si="7"/>
        <v>1066</v>
      </c>
      <c r="AK35" s="48">
        <f t="shared" si="8"/>
        <v>231.18629364563003</v>
      </c>
      <c r="AL35" s="155">
        <v>0</v>
      </c>
      <c r="AM35" s="155">
        <v>0</v>
      </c>
      <c r="AN35" s="155">
        <v>0</v>
      </c>
      <c r="AO35" s="155">
        <v>1</v>
      </c>
      <c r="AP35" s="155">
        <v>1</v>
      </c>
      <c r="AQ35" s="155">
        <v>1</v>
      </c>
      <c r="AR35" s="155">
        <v>0.3</v>
      </c>
      <c r="AS35" s="158"/>
      <c r="AT35" s="158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357">
        <v>43240</v>
      </c>
      <c r="B36" s="40">
        <v>2.9583333333333299</v>
      </c>
      <c r="C36" s="40">
        <v>1</v>
      </c>
      <c r="D36" s="156" t="s">
        <v>179</v>
      </c>
      <c r="E36" s="154" t="e">
        <f t="shared" si="2"/>
        <v>#VALUE!</v>
      </c>
      <c r="F36" s="154">
        <v>1</v>
      </c>
      <c r="G36" s="118">
        <v>71</v>
      </c>
      <c r="H36" s="154">
        <f t="shared" si="0"/>
        <v>50</v>
      </c>
      <c r="I36" s="154">
        <v>70</v>
      </c>
      <c r="J36" s="41" t="s">
        <v>88</v>
      </c>
      <c r="K36" s="41">
        <f t="shared" si="3"/>
        <v>45.070422535211272</v>
      </c>
      <c r="L36" s="42">
        <f>(G36-5)/1.42</f>
        <v>46.478873239436624</v>
      </c>
      <c r="M36" s="41">
        <f t="shared" si="12"/>
        <v>50.70422535211268</v>
      </c>
      <c r="N36" s="43">
        <v>14</v>
      </c>
      <c r="O36" s="44" t="s">
        <v>116</v>
      </c>
      <c r="P36" s="58">
        <v>11.5</v>
      </c>
      <c r="Q36" s="157" t="s">
        <v>179</v>
      </c>
      <c r="R36" s="157"/>
      <c r="S36" s="157">
        <v>95122443</v>
      </c>
      <c r="T36" s="45">
        <f t="shared" si="4"/>
        <v>4252</v>
      </c>
      <c r="U36" s="46">
        <f t="shared" si="5"/>
        <v>102.048</v>
      </c>
      <c r="V36" s="46">
        <f t="shared" si="6"/>
        <v>4.2519999999999998</v>
      </c>
      <c r="W36" s="96">
        <v>3.1</v>
      </c>
      <c r="X36" s="96">
        <f t="shared" si="1"/>
        <v>3.1</v>
      </c>
      <c r="Y36" s="97" t="s">
        <v>138</v>
      </c>
      <c r="Z36" s="158">
        <v>0</v>
      </c>
      <c r="AA36" s="158">
        <v>0</v>
      </c>
      <c r="AB36" s="158">
        <v>0</v>
      </c>
      <c r="AC36" s="158">
        <v>1185</v>
      </c>
      <c r="AD36" s="158">
        <v>1187</v>
      </c>
      <c r="AE36" s="158">
        <v>1185</v>
      </c>
      <c r="AF36" s="47" t="s">
        <v>90</v>
      </c>
      <c r="AG36" s="47" t="s">
        <v>90</v>
      </c>
      <c r="AH36" s="98" t="s">
        <v>90</v>
      </c>
      <c r="AI36" s="103">
        <v>15904941</v>
      </c>
      <c r="AJ36" s="45">
        <f t="shared" si="7"/>
        <v>1105</v>
      </c>
      <c r="AK36" s="48">
        <f t="shared" si="8"/>
        <v>259.87770460959553</v>
      </c>
      <c r="AL36" s="155">
        <v>0</v>
      </c>
      <c r="AM36" s="155">
        <v>0</v>
      </c>
      <c r="AN36" s="155">
        <v>0</v>
      </c>
      <c r="AO36" s="155">
        <v>1</v>
      </c>
      <c r="AP36" s="155">
        <v>1</v>
      </c>
      <c r="AQ36" s="155">
        <v>1</v>
      </c>
      <c r="AR36" s="155">
        <v>0.3</v>
      </c>
      <c r="AS36" s="158"/>
      <c r="AT36" s="158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73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09" t="s">
        <v>118</v>
      </c>
      <c r="O37" s="310"/>
      <c r="P37" s="311"/>
      <c r="Q37" s="101"/>
      <c r="R37" s="101"/>
      <c r="S37" s="101"/>
      <c r="T37" s="60">
        <f>SUM(T13:T36)</f>
        <v>106323</v>
      </c>
      <c r="U37" s="46">
        <f t="shared" si="5"/>
        <v>2551.752</v>
      </c>
      <c r="V37" s="46">
        <f t="shared" si="6"/>
        <v>106.32299999999999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27525</v>
      </c>
      <c r="AK37" s="61">
        <f>$AJ$37/$V37</f>
        <v>258.88095708360373</v>
      </c>
      <c r="AL37" s="155"/>
      <c r="AM37" s="155"/>
      <c r="AN37" s="155"/>
      <c r="AO37" s="155"/>
      <c r="AP37" s="155"/>
      <c r="AQ37" s="155"/>
      <c r="AR37" s="62"/>
      <c r="AS37" s="63">
        <f>AS36-AS11</f>
        <v>0</v>
      </c>
      <c r="AT37" s="64">
        <f>SUM(AT13:AT36)</f>
        <v>0</v>
      </c>
      <c r="AU37" s="65">
        <f>AVERAGE(AU13:AU36)</f>
        <v>1.1016666666666666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7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8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8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4"/>
      <c r="D47" s="164"/>
      <c r="E47" s="164"/>
      <c r="F47" s="164"/>
      <c r="G47" s="164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71" t="s">
        <v>244</v>
      </c>
      <c r="C48" s="172"/>
      <c r="D48" s="172"/>
      <c r="E48" s="172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70"/>
      <c r="D49" s="170"/>
      <c r="E49" s="170"/>
      <c r="F49" s="161"/>
      <c r="G49" s="161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163</v>
      </c>
      <c r="C50" s="143"/>
      <c r="D50" s="143"/>
      <c r="E50" s="143"/>
      <c r="F50" s="130"/>
      <c r="G50" s="130"/>
      <c r="H50" s="160"/>
      <c r="I50" s="160"/>
      <c r="J50" s="160"/>
      <c r="K50" s="160"/>
      <c r="L50" s="160"/>
      <c r="M50" s="160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210</v>
      </c>
      <c r="B51" s="115" t="s">
        <v>199</v>
      </c>
      <c r="C51" s="143"/>
      <c r="D51" s="143"/>
      <c r="E51" s="143"/>
      <c r="F51" s="130"/>
      <c r="G51" s="130"/>
      <c r="H51" s="160"/>
      <c r="I51" s="160"/>
      <c r="J51" s="160"/>
      <c r="K51" s="160"/>
      <c r="L51" s="160"/>
      <c r="M51" s="160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245</v>
      </c>
      <c r="C52" s="120"/>
      <c r="D52" s="115"/>
      <c r="E52" s="115"/>
      <c r="F52" s="115"/>
      <c r="G52" s="115"/>
      <c r="H52" s="160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70"/>
      <c r="D53" s="170"/>
      <c r="E53" s="170"/>
      <c r="F53" s="170"/>
      <c r="G53" s="115"/>
      <c r="H53" s="115"/>
      <c r="I53" s="115"/>
      <c r="J53" s="115"/>
      <c r="K53" s="115"/>
      <c r="L53" s="115"/>
      <c r="M53" s="115"/>
      <c r="N53" s="163"/>
      <c r="O53" s="163"/>
      <c r="P53" s="163"/>
      <c r="Q53" s="163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32" t="s">
        <v>170</v>
      </c>
      <c r="C54" s="153"/>
      <c r="D54" s="170"/>
      <c r="E54" s="170"/>
      <c r="F54" s="170"/>
      <c r="G54" s="170"/>
      <c r="H54" s="170"/>
      <c r="I54" s="170"/>
      <c r="J54" s="169"/>
      <c r="K54" s="166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70"/>
      <c r="E55" s="153"/>
      <c r="F55" s="153"/>
      <c r="G55" s="153"/>
      <c r="H55" s="153"/>
      <c r="I55" s="153"/>
      <c r="J55" s="169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172</v>
      </c>
      <c r="C56" s="115"/>
      <c r="D56" s="170"/>
      <c r="E56" s="153"/>
      <c r="F56" s="153"/>
      <c r="G56" s="153"/>
      <c r="H56" s="153"/>
      <c r="I56" s="153"/>
      <c r="J56" s="153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53" t="s">
        <v>201</v>
      </c>
      <c r="C57" s="170"/>
      <c r="D57" s="170"/>
      <c r="E57" s="153"/>
      <c r="F57" s="153"/>
      <c r="G57" s="153"/>
      <c r="H57" s="153"/>
      <c r="I57" s="153"/>
      <c r="J57" s="153"/>
      <c r="K57" s="166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174</v>
      </c>
      <c r="C58" s="170"/>
      <c r="D58" s="170"/>
      <c r="E58" s="115"/>
      <c r="F58" s="115"/>
      <c r="G58" s="115"/>
      <c r="H58" s="115"/>
      <c r="I58" s="153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62" t="s">
        <v>195</v>
      </c>
      <c r="C59" s="170"/>
      <c r="D59" s="170"/>
      <c r="E59" s="153"/>
      <c r="F59" s="153"/>
      <c r="G59" s="153"/>
      <c r="H59" s="153"/>
      <c r="I59" s="153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15"/>
      <c r="C60" s="170"/>
      <c r="D60" s="223"/>
      <c r="E60" s="223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15"/>
      <c r="C61" s="153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32"/>
      <c r="C62" s="115"/>
      <c r="D62" s="100"/>
      <c r="E62" s="100"/>
      <c r="F62" s="115"/>
      <c r="G62" s="115"/>
      <c r="H62" s="92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6"/>
      <c r="E63" s="166"/>
      <c r="F63" s="166"/>
      <c r="G63" s="166"/>
      <c r="H63" s="166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53"/>
      <c r="C64" s="115"/>
      <c r="D64" s="100"/>
      <c r="E64" s="100"/>
      <c r="F64" s="115"/>
      <c r="G64" s="115"/>
      <c r="H64" s="92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6"/>
      <c r="E65" s="166"/>
      <c r="F65" s="166"/>
      <c r="G65" s="166"/>
      <c r="H65" s="166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AV65" s="86"/>
      <c r="AW65" s="86"/>
      <c r="AX65" s="86"/>
      <c r="AY65" s="86"/>
      <c r="AZ65" s="86"/>
      <c r="BA65" s="86"/>
      <c r="BB65" s="86"/>
    </row>
    <row r="66" spans="2:54" x14ac:dyDescent="0.35">
      <c r="B66" s="162"/>
      <c r="C66" s="115"/>
      <c r="D66" s="166"/>
      <c r="E66" s="166"/>
      <c r="F66" s="166"/>
      <c r="G66" s="166"/>
      <c r="H66" s="166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6"/>
      <c r="E67" s="166"/>
      <c r="F67" s="166"/>
      <c r="G67" s="166"/>
      <c r="H67" s="166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3" name="Range1_16_1_1_1_1_1_1_2_2_2_2_2_2_2_2_2_2_2_2_2_2_2_2_2_2_2_2_2_2_2_1_2_2_2_2_2_2_2_2_2_2_3_2_2_2_2_2_2_2_2_2_2_1_1_1_1_2_2_1_1_1_1_1_1_1_1_1_1_1_1_1_1_3"/>
    <protectedRange sqref="B60:B61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R5:W5" name="Range1_16_1_1_1_1_1_1_2_2_2_2_2_2_2_2_2_2_2_2_2_2_2_2_2_2_2_2_2_2_2_1_2_2_2_2_2_2_2_2_2_2_3_2_2_2_2_2_2_2_2_2_2_1_1_1_1_2_2_1_1_1_1_1_1_1_1_1_1_3_1_3_2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5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R4:W4" name="Range1_16_1_1_1_1_1_1_2_2_2_2_2_2_2_2_2_2_2_2_2_2_2_2_2_2_2_2_2_2_2_1_2_2_2_2_2_2_2_2_2_2_3_2_2_2_2_2_2_2_2_2_2_1_1_1_1_2_2_1_1_1_1_1_1_1_1_1_1_1_1_1_1_2_1_2_1_1_1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203" priority="5" operator="containsText" text="N/A">
      <formula>NOT(ISERROR(SEARCH("N/A",Z13)))</formula>
    </cfRule>
    <cfRule type="cellIs" dxfId="202" priority="17" operator="equal">
      <formula>0</formula>
    </cfRule>
  </conditionalFormatting>
  <conditionalFormatting sqref="Z13:AG36">
    <cfRule type="cellIs" dxfId="201" priority="16" operator="greaterThanOrEqual">
      <formula>1185</formula>
    </cfRule>
  </conditionalFormatting>
  <conditionalFormatting sqref="Z13:AG36">
    <cfRule type="cellIs" dxfId="200" priority="15" operator="between">
      <formula>0.1</formula>
      <formula>1184</formula>
    </cfRule>
  </conditionalFormatting>
  <conditionalFormatting sqref="Z8:Z9 AT13:AT36 AL37:AQ37 AL13:AR36">
    <cfRule type="cellIs" dxfId="199" priority="14" operator="equal">
      <formula>0</formula>
    </cfRule>
  </conditionalFormatting>
  <conditionalFormatting sqref="Z8:Z9 AT13:AT36 AL37:AQ37 AL13:AR36">
    <cfRule type="cellIs" dxfId="198" priority="13" operator="greaterThan">
      <formula>1179</formula>
    </cfRule>
  </conditionalFormatting>
  <conditionalFormatting sqref="Z8:Z9 AT13:AT36 AL37:AQ37 AL13:AR36">
    <cfRule type="cellIs" dxfId="197" priority="12" operator="greaterThan">
      <formula>99</formula>
    </cfRule>
  </conditionalFormatting>
  <conditionalFormatting sqref="Z8:Z9 AT13:AT36 AL37:AQ37 AL13:AR36">
    <cfRule type="cellIs" dxfId="196" priority="11" operator="greaterThan">
      <formula>0.99</formula>
    </cfRule>
  </conditionalFormatting>
  <conditionalFormatting sqref="AD8:AD9">
    <cfRule type="cellIs" dxfId="195" priority="10" operator="equal">
      <formula>0</formula>
    </cfRule>
  </conditionalFormatting>
  <conditionalFormatting sqref="AD8:AD9">
    <cfRule type="cellIs" dxfId="194" priority="9" operator="greaterThan">
      <formula>1179</formula>
    </cfRule>
  </conditionalFormatting>
  <conditionalFormatting sqref="AD8:AD9">
    <cfRule type="cellIs" dxfId="193" priority="8" operator="greaterThan">
      <formula>99</formula>
    </cfRule>
  </conditionalFormatting>
  <conditionalFormatting sqref="AD8:AD9">
    <cfRule type="cellIs" dxfId="192" priority="7" operator="greaterThan">
      <formula>0.99</formula>
    </cfRule>
  </conditionalFormatting>
  <conditionalFormatting sqref="AK13:AK36">
    <cfRule type="cellIs" dxfId="191" priority="6" operator="greaterThan">
      <formula>$AK$8</formula>
    </cfRule>
  </conditionalFormatting>
  <conditionalFormatting sqref="AS13:AS36">
    <cfRule type="containsText" dxfId="190" priority="1" operator="containsText" text="N/A">
      <formula>NOT(ISERROR(SEARCH("N/A",AS13)))</formula>
    </cfRule>
    <cfRule type="cellIs" dxfId="189" priority="4" operator="equal">
      <formula>0</formula>
    </cfRule>
  </conditionalFormatting>
  <conditionalFormatting sqref="AS13:AS36">
    <cfRule type="cellIs" dxfId="188" priority="3" operator="greaterThanOrEqual">
      <formula>1185</formula>
    </cfRule>
  </conditionalFormatting>
  <conditionalFormatting sqref="AS13:AS36">
    <cfRule type="cellIs" dxfId="187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1300-000000000000}">
      <formula1>$AY$11:$AY$21</formula1>
    </dataValidation>
    <dataValidation type="list" allowBlank="1" showInputMessage="1" showErrorMessage="1" sqref="AS8:AT9 P11:P12 N11:N12 D8:E9 Q8:V9" xr:uid="{00000000-0002-0000-1300-000001000000}">
      <formula1>#REF!</formula1>
    </dataValidation>
    <dataValidation type="list" allowBlank="1" showInputMessage="1" showErrorMessage="1" sqref="AY33:AZ33" xr:uid="{00000000-0002-0000-1300-000002000000}">
      <formula1>$AY$26:$AY$30</formula1>
    </dataValidation>
    <dataValidation type="list" allowBlank="1" showInputMessage="1" showErrorMessage="1" sqref="R3:R5" xr:uid="{00000000-0002-0000-1300-000003000000}">
      <formula1>$BB$11:$BB$42</formula1>
    </dataValidation>
  </dataValidations>
  <hyperlinks>
    <hyperlink ref="J10:J11" location="'1'!AH8" display="Plant Status" xr:uid="{00000000-0004-0000-1300-000000000000}"/>
  </hyperlinks>
  <pageMargins left="0.7" right="0.7" top="0.75" bottom="0.75" header="0.3" footer="0.3"/>
  <pageSetup paperSize="9" orientation="portrait" horizontalDpi="4294967293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>
    <tabColor rgb="FF7030A0"/>
  </sheetPr>
  <dimension ref="A2:BB88"/>
  <sheetViews>
    <sheetView zoomScaleNormal="100" workbookViewId="0">
      <selection activeCell="R5" sqref="R5:W5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47" t="s">
        <v>146</v>
      </c>
      <c r="S3" s="348"/>
      <c r="T3" s="348"/>
      <c r="U3" s="348"/>
      <c r="V3" s="348"/>
      <c r="W3" s="34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47" t="s">
        <v>143</v>
      </c>
      <c r="S4" s="348"/>
      <c r="T4" s="348"/>
      <c r="U4" s="348"/>
      <c r="V4" s="348"/>
      <c r="W4" s="34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47" t="s">
        <v>151</v>
      </c>
      <c r="S5" s="348"/>
      <c r="T5" s="348"/>
      <c r="U5" s="348"/>
      <c r="V5" s="348"/>
      <c r="W5" s="34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50" t="s">
        <v>6</v>
      </c>
      <c r="C6" s="351"/>
      <c r="D6" s="352" t="s">
        <v>7</v>
      </c>
      <c r="E6" s="353"/>
      <c r="F6" s="353"/>
      <c r="G6" s="353"/>
      <c r="H6" s="353"/>
      <c r="I6" s="353"/>
      <c r="J6" s="354"/>
      <c r="K6" s="87"/>
      <c r="L6" s="87"/>
      <c r="M6" s="270"/>
      <c r="N6" s="355">
        <v>41686</v>
      </c>
      <c r="O6" s="356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37" t="s">
        <v>8</v>
      </c>
      <c r="C7" s="338"/>
      <c r="D7" s="337" t="s">
        <v>9</v>
      </c>
      <c r="E7" s="339"/>
      <c r="F7" s="339"/>
      <c r="G7" s="339"/>
      <c r="H7" s="339"/>
      <c r="I7" s="338"/>
      <c r="J7" s="260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60" t="s">
        <v>14</v>
      </c>
      <c r="R7" s="337" t="s">
        <v>15</v>
      </c>
      <c r="S7" s="339"/>
      <c r="T7" s="339"/>
      <c r="U7" s="339"/>
      <c r="V7" s="338"/>
      <c r="W7" s="337" t="s">
        <v>16</v>
      </c>
      <c r="X7" s="338"/>
      <c r="Y7" s="99" t="s">
        <v>17</v>
      </c>
      <c r="Z7" s="337" t="s">
        <v>18</v>
      </c>
      <c r="AA7" s="338"/>
      <c r="AB7" s="337" t="s">
        <v>19</v>
      </c>
      <c r="AC7" s="338"/>
      <c r="AD7" s="337" t="s">
        <v>20</v>
      </c>
      <c r="AE7" s="338"/>
      <c r="AF7" s="337" t="s">
        <v>21</v>
      </c>
      <c r="AG7" s="338"/>
      <c r="AH7" s="99" t="s">
        <v>22</v>
      </c>
      <c r="AI7" s="99" t="s">
        <v>23</v>
      </c>
      <c r="AJ7" s="99" t="s">
        <v>24</v>
      </c>
      <c r="AK7" s="99" t="s">
        <v>25</v>
      </c>
      <c r="AL7" s="337" t="s">
        <v>26</v>
      </c>
      <c r="AM7" s="339"/>
      <c r="AN7" s="339"/>
      <c r="AO7" s="339"/>
      <c r="AP7" s="339"/>
      <c r="AQ7" s="338"/>
      <c r="AR7" s="337" t="s">
        <v>27</v>
      </c>
      <c r="AS7" s="339"/>
      <c r="AT7" s="33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40">
        <v>43241</v>
      </c>
      <c r="C8" s="341"/>
      <c r="D8" s="342" t="s">
        <v>29</v>
      </c>
      <c r="E8" s="343"/>
      <c r="F8" s="343"/>
      <c r="G8" s="343"/>
      <c r="H8" s="343"/>
      <c r="I8" s="344"/>
      <c r="J8" s="28"/>
      <c r="K8" s="342" t="s">
        <v>29</v>
      </c>
      <c r="L8" s="343"/>
      <c r="M8" s="34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42" t="s">
        <v>33</v>
      </c>
      <c r="X8" s="344"/>
      <c r="Y8" s="30" t="s">
        <v>34</v>
      </c>
      <c r="Z8" s="326">
        <v>0</v>
      </c>
      <c r="AA8" s="327"/>
      <c r="AB8" s="345" t="s">
        <v>35</v>
      </c>
      <c r="AC8" s="346"/>
      <c r="AD8" s="326">
        <v>1185</v>
      </c>
      <c r="AE8" s="327"/>
      <c r="AF8" s="328">
        <v>800</v>
      </c>
      <c r="AG8" s="329"/>
      <c r="AH8" s="28"/>
      <c r="AI8" s="30">
        <f>AI36-AI11</f>
        <v>27541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1"/>
      <c r="C9" s="262"/>
      <c r="D9" s="263"/>
      <c r="E9" s="264"/>
      <c r="F9" s="264"/>
      <c r="G9" s="264"/>
      <c r="H9" s="264"/>
      <c r="I9" s="265"/>
      <c r="J9" s="121"/>
      <c r="K9" s="263"/>
      <c r="L9" s="264"/>
      <c r="M9" s="265"/>
      <c r="N9" s="29"/>
      <c r="O9" s="29"/>
      <c r="P9" s="29"/>
      <c r="Q9" s="121"/>
      <c r="R9" s="121"/>
      <c r="S9" s="121"/>
      <c r="T9" s="122"/>
      <c r="U9" s="123"/>
      <c r="V9" s="124"/>
      <c r="W9" s="263"/>
      <c r="X9" s="265"/>
      <c r="Y9" s="30"/>
      <c r="Z9" s="266"/>
      <c r="AA9" s="125"/>
      <c r="AB9" s="126"/>
      <c r="AC9" s="126"/>
      <c r="AD9" s="125"/>
      <c r="AE9" s="125"/>
      <c r="AF9" s="127"/>
      <c r="AG9" s="267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30" t="s">
        <v>39</v>
      </c>
      <c r="C10" s="331"/>
      <c r="D10" s="330" t="s">
        <v>40</v>
      </c>
      <c r="E10" s="332"/>
      <c r="F10" s="331"/>
      <c r="G10" s="330" t="s">
        <v>41</v>
      </c>
      <c r="H10" s="332"/>
      <c r="I10" s="331"/>
      <c r="J10" s="333" t="s">
        <v>42</v>
      </c>
      <c r="K10" s="330" t="s">
        <v>43</v>
      </c>
      <c r="L10" s="332"/>
      <c r="M10" s="331"/>
      <c r="N10" s="99" t="s">
        <v>44</v>
      </c>
      <c r="O10" s="335" t="s">
        <v>45</v>
      </c>
      <c r="P10" s="33" t="s">
        <v>46</v>
      </c>
      <c r="Q10" s="324" t="s">
        <v>47</v>
      </c>
      <c r="R10" s="324" t="s">
        <v>48</v>
      </c>
      <c r="S10" s="34" t="s">
        <v>49</v>
      </c>
      <c r="T10" s="312" t="s">
        <v>50</v>
      </c>
      <c r="U10" s="313"/>
      <c r="V10" s="314"/>
      <c r="W10" s="271" t="s">
        <v>51</v>
      </c>
      <c r="X10" s="271" t="s">
        <v>52</v>
      </c>
      <c r="Y10" s="318" t="s">
        <v>53</v>
      </c>
      <c r="Z10" s="319" t="s">
        <v>54</v>
      </c>
      <c r="AA10" s="320"/>
      <c r="AB10" s="320"/>
      <c r="AC10" s="320"/>
      <c r="AD10" s="320"/>
      <c r="AE10" s="320"/>
      <c r="AF10" s="320"/>
      <c r="AG10" s="321"/>
      <c r="AH10" s="269" t="s">
        <v>55</v>
      </c>
      <c r="AI10" s="269" t="s">
        <v>56</v>
      </c>
      <c r="AJ10" s="307" t="s">
        <v>57</v>
      </c>
      <c r="AK10" s="322" t="s">
        <v>58</v>
      </c>
      <c r="AL10" s="271" t="s">
        <v>59</v>
      </c>
      <c r="AM10" s="271" t="s">
        <v>60</v>
      </c>
      <c r="AN10" s="271" t="s">
        <v>61</v>
      </c>
      <c r="AO10" s="271" t="s">
        <v>62</v>
      </c>
      <c r="AP10" s="271" t="s">
        <v>63</v>
      </c>
      <c r="AQ10" s="271" t="s">
        <v>123</v>
      </c>
      <c r="AR10" s="271" t="s">
        <v>64</v>
      </c>
      <c r="AS10" s="271" t="s">
        <v>65</v>
      </c>
      <c r="AT10" s="324" t="s">
        <v>66</v>
      </c>
      <c r="AU10" s="271" t="s">
        <v>67</v>
      </c>
      <c r="AV10" s="30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71" t="s">
        <v>72</v>
      </c>
      <c r="C11" s="271" t="s">
        <v>73</v>
      </c>
      <c r="D11" s="271" t="s">
        <v>74</v>
      </c>
      <c r="E11" s="271" t="s">
        <v>75</v>
      </c>
      <c r="F11" s="271" t="s">
        <v>126</v>
      </c>
      <c r="G11" s="271" t="s">
        <v>74</v>
      </c>
      <c r="H11" s="271" t="s">
        <v>75</v>
      </c>
      <c r="I11" s="271" t="s">
        <v>126</v>
      </c>
      <c r="J11" s="334"/>
      <c r="K11" s="271" t="s">
        <v>75</v>
      </c>
      <c r="L11" s="271" t="s">
        <v>75</v>
      </c>
      <c r="M11" s="271" t="s">
        <v>75</v>
      </c>
      <c r="N11" s="28" t="s">
        <v>29</v>
      </c>
      <c r="O11" s="336"/>
      <c r="P11" s="28" t="s">
        <v>29</v>
      </c>
      <c r="Q11" s="325"/>
      <c r="R11" s="325"/>
      <c r="S11" s="1">
        <f>'MAY 20'!S36</f>
        <v>95122443</v>
      </c>
      <c r="T11" s="315"/>
      <c r="U11" s="316"/>
      <c r="V11" s="317"/>
      <c r="W11" s="271" t="s">
        <v>75</v>
      </c>
      <c r="X11" s="271" t="s">
        <v>75</v>
      </c>
      <c r="Y11" s="31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'MAY 20'!AI36</f>
        <v>15904941</v>
      </c>
      <c r="AJ11" s="307"/>
      <c r="AK11" s="323"/>
      <c r="AL11" s="271" t="s">
        <v>84</v>
      </c>
      <c r="AM11" s="271" t="s">
        <v>84</v>
      </c>
      <c r="AN11" s="271" t="s">
        <v>84</v>
      </c>
      <c r="AO11" s="271" t="s">
        <v>84</v>
      </c>
      <c r="AP11" s="271" t="s">
        <v>84</v>
      </c>
      <c r="AQ11" s="271" t="s">
        <v>84</v>
      </c>
      <c r="AR11" s="271" t="s">
        <v>84</v>
      </c>
      <c r="AS11" s="1"/>
      <c r="AT11" s="325"/>
      <c r="AU11" s="268" t="s">
        <v>85</v>
      </c>
      <c r="AV11" s="307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283</v>
      </c>
      <c r="B12" s="305" t="s">
        <v>284</v>
      </c>
      <c r="C12" s="305" t="s">
        <v>285</v>
      </c>
      <c r="D12" s="305" t="s">
        <v>286</v>
      </c>
      <c r="E12" s="305" t="s">
        <v>287</v>
      </c>
      <c r="F12" s="305" t="s">
        <v>288</v>
      </c>
      <c r="G12" s="305" t="s">
        <v>289</v>
      </c>
      <c r="H12" s="305" t="s">
        <v>290</v>
      </c>
      <c r="I12" s="305" t="s">
        <v>291</v>
      </c>
      <c r="J12" s="297" t="s">
        <v>292</v>
      </c>
      <c r="K12" s="305" t="s">
        <v>293</v>
      </c>
      <c r="L12" s="305" t="s">
        <v>294</v>
      </c>
      <c r="M12" s="305" t="s">
        <v>295</v>
      </c>
      <c r="N12" s="28" t="s">
        <v>296</v>
      </c>
      <c r="O12" s="298" t="s">
        <v>297</v>
      </c>
      <c r="P12" s="28" t="s">
        <v>298</v>
      </c>
      <c r="Q12" s="300" t="s">
        <v>299</v>
      </c>
      <c r="R12" s="300" t="s">
        <v>300</v>
      </c>
      <c r="S12" s="1" t="s">
        <v>301</v>
      </c>
      <c r="T12" s="302" t="s">
        <v>302</v>
      </c>
      <c r="U12" s="303" t="s">
        <v>303</v>
      </c>
      <c r="V12" s="304" t="s">
        <v>304</v>
      </c>
      <c r="W12" s="305" t="s">
        <v>305</v>
      </c>
      <c r="X12" s="305" t="s">
        <v>306</v>
      </c>
      <c r="Y12" s="305" t="s">
        <v>307</v>
      </c>
      <c r="Z12" s="37" t="s">
        <v>308</v>
      </c>
      <c r="AA12" s="37" t="s">
        <v>309</v>
      </c>
      <c r="AB12" s="37" t="s">
        <v>310</v>
      </c>
      <c r="AC12" s="37" t="s">
        <v>311</v>
      </c>
      <c r="AD12" s="37" t="s">
        <v>312</v>
      </c>
      <c r="AE12" s="37" t="s">
        <v>313</v>
      </c>
      <c r="AF12" s="37" t="s">
        <v>314</v>
      </c>
      <c r="AG12" s="37" t="s">
        <v>315</v>
      </c>
      <c r="AH12" s="38" t="s">
        <v>316</v>
      </c>
      <c r="AI12" s="1" t="s">
        <v>317</v>
      </c>
      <c r="AJ12" s="301" t="s">
        <v>318</v>
      </c>
      <c r="AK12" s="306" t="s">
        <v>319</v>
      </c>
      <c r="AL12" s="305" t="s">
        <v>320</v>
      </c>
      <c r="AM12" s="305" t="s">
        <v>321</v>
      </c>
      <c r="AN12" s="305" t="s">
        <v>322</v>
      </c>
      <c r="AO12" s="305" t="s">
        <v>323</v>
      </c>
      <c r="AP12" s="305" t="s">
        <v>324</v>
      </c>
      <c r="AQ12" s="305" t="s">
        <v>325</v>
      </c>
      <c r="AR12" s="305" t="s">
        <v>326</v>
      </c>
      <c r="AS12" s="1" t="s">
        <v>327</v>
      </c>
      <c r="AT12" s="300" t="s">
        <v>328</v>
      </c>
      <c r="AU12" s="299" t="s">
        <v>329</v>
      </c>
      <c r="AV12" s="301"/>
      <c r="AY12" s="39"/>
      <c r="AZ12" s="39"/>
      <c r="BB12" s="136"/>
    </row>
    <row r="13" spans="1:54" x14ac:dyDescent="0.35">
      <c r="A13" s="357">
        <v>43241</v>
      </c>
      <c r="B13" s="40">
        <v>2</v>
      </c>
      <c r="C13" s="40">
        <v>4.1666666666666664E-2</v>
      </c>
      <c r="D13" s="156">
        <v>3</v>
      </c>
      <c r="E13" s="154">
        <f>D13/1.42</f>
        <v>2.1126760563380285</v>
      </c>
      <c r="F13" s="154">
        <v>1</v>
      </c>
      <c r="G13" s="118">
        <v>72</v>
      </c>
      <c r="H13" s="154">
        <f t="shared" ref="H13:H36" si="0">G13/1.42</f>
        <v>50.70422535211268</v>
      </c>
      <c r="I13" s="154">
        <v>70</v>
      </c>
      <c r="J13" s="41" t="s">
        <v>88</v>
      </c>
      <c r="K13" s="41">
        <f>L13-(2/1.42)</f>
        <v>45.774647887323944</v>
      </c>
      <c r="L13" s="42">
        <f>(G13-5)/1.42</f>
        <v>47.183098591549296</v>
      </c>
      <c r="M13" s="41">
        <f>L13+(6/1.42)</f>
        <v>51.408450704225352</v>
      </c>
      <c r="N13" s="43">
        <v>14</v>
      </c>
      <c r="O13" s="44" t="s">
        <v>89</v>
      </c>
      <c r="P13" s="44">
        <v>11.4</v>
      </c>
      <c r="Q13" s="157">
        <v>137</v>
      </c>
      <c r="R13" s="157"/>
      <c r="S13" s="157">
        <v>95126552</v>
      </c>
      <c r="T13" s="45">
        <f>IF(ISBLANK(S13),"-",S13-S11)</f>
        <v>4109</v>
      </c>
      <c r="U13" s="46">
        <f>T13*24/1000</f>
        <v>98.616</v>
      </c>
      <c r="V13" s="46">
        <f>T13/1000</f>
        <v>4.109</v>
      </c>
      <c r="W13" s="96">
        <v>4.5</v>
      </c>
      <c r="X13" s="96">
        <f t="shared" ref="X13:X36" si="1">W13</f>
        <v>4.5</v>
      </c>
      <c r="Y13" s="97" t="s">
        <v>138</v>
      </c>
      <c r="Z13" s="158">
        <v>0</v>
      </c>
      <c r="AA13" s="158">
        <v>0</v>
      </c>
      <c r="AB13" s="158">
        <v>0</v>
      </c>
      <c r="AC13" s="158">
        <v>1185</v>
      </c>
      <c r="AD13" s="158">
        <v>1187</v>
      </c>
      <c r="AE13" s="158">
        <v>1185</v>
      </c>
      <c r="AF13" s="47" t="s">
        <v>90</v>
      </c>
      <c r="AG13" s="47" t="s">
        <v>90</v>
      </c>
      <c r="AH13" s="98" t="s">
        <v>90</v>
      </c>
      <c r="AI13" s="103">
        <v>15906087</v>
      </c>
      <c r="AJ13" s="45">
        <f>IF(ISBLANK(AI13),"-",AI13-AI11)</f>
        <v>1146</v>
      </c>
      <c r="AK13" s="48">
        <f>AJ13/V13</f>
        <v>278.8999756631784</v>
      </c>
      <c r="AL13" s="155">
        <v>0</v>
      </c>
      <c r="AM13" s="155">
        <v>0</v>
      </c>
      <c r="AN13" s="155">
        <v>0</v>
      </c>
      <c r="AO13" s="155">
        <v>1</v>
      </c>
      <c r="AP13" s="155">
        <v>1</v>
      </c>
      <c r="AQ13" s="155">
        <v>1</v>
      </c>
      <c r="AR13" s="155">
        <v>0.8</v>
      </c>
      <c r="AS13" s="158"/>
      <c r="AT13" s="158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357">
        <v>43241</v>
      </c>
      <c r="B14" s="40">
        <v>2.0416666666666701</v>
      </c>
      <c r="C14" s="40">
        <v>8.3333333333333329E-2</v>
      </c>
      <c r="D14" s="156">
        <v>3</v>
      </c>
      <c r="E14" s="154">
        <f t="shared" ref="E14:E36" si="2">D14/1.42</f>
        <v>2.1126760563380285</v>
      </c>
      <c r="F14" s="154">
        <v>3</v>
      </c>
      <c r="G14" s="118">
        <v>73</v>
      </c>
      <c r="H14" s="154">
        <f t="shared" si="0"/>
        <v>51.408450704225352</v>
      </c>
      <c r="I14" s="154">
        <v>72</v>
      </c>
      <c r="J14" s="41" t="s">
        <v>88</v>
      </c>
      <c r="K14" s="41">
        <f t="shared" ref="K14:K36" si="3">L14-(2/1.42)</f>
        <v>46.478873239436624</v>
      </c>
      <c r="L14" s="42">
        <f>(G14-5)/1.42</f>
        <v>47.887323943661976</v>
      </c>
      <c r="M14" s="41">
        <f>L14+(6/1.42)</f>
        <v>52.112676056338032</v>
      </c>
      <c r="N14" s="43">
        <v>14</v>
      </c>
      <c r="O14" s="44" t="s">
        <v>89</v>
      </c>
      <c r="P14" s="44">
        <v>11.2</v>
      </c>
      <c r="Q14" s="157">
        <v>139</v>
      </c>
      <c r="R14" s="157"/>
      <c r="S14" s="157">
        <v>95130599</v>
      </c>
      <c r="T14" s="45">
        <f t="shared" ref="T14:T36" si="4">IF(ISBLANK(S14),"-",S14-S13)</f>
        <v>4047</v>
      </c>
      <c r="U14" s="46">
        <f t="shared" ref="U14:U37" si="5">T14*24/1000</f>
        <v>97.128</v>
      </c>
      <c r="V14" s="46">
        <f t="shared" ref="V14:V37" si="6">T14/1000</f>
        <v>4.0469999999999997</v>
      </c>
      <c r="W14" s="96">
        <v>5.3</v>
      </c>
      <c r="X14" s="96">
        <f t="shared" si="1"/>
        <v>5.3</v>
      </c>
      <c r="Y14" s="97" t="s">
        <v>138</v>
      </c>
      <c r="Z14" s="158">
        <v>0</v>
      </c>
      <c r="AA14" s="158">
        <v>0</v>
      </c>
      <c r="AB14" s="158">
        <v>0</v>
      </c>
      <c r="AC14" s="158">
        <v>1185</v>
      </c>
      <c r="AD14" s="158">
        <v>1187</v>
      </c>
      <c r="AE14" s="158">
        <v>1185</v>
      </c>
      <c r="AF14" s="47" t="s">
        <v>90</v>
      </c>
      <c r="AG14" s="47" t="s">
        <v>90</v>
      </c>
      <c r="AH14" s="98" t="s">
        <v>90</v>
      </c>
      <c r="AI14" s="103">
        <v>15907191</v>
      </c>
      <c r="AJ14" s="45">
        <f t="shared" ref="AJ14:AJ36" si="7">IF(ISBLANK(AI14),"-",AI14-AI13)</f>
        <v>1104</v>
      </c>
      <c r="AK14" s="48">
        <f t="shared" ref="AK14:AK36" si="8">AJ14/V14</f>
        <v>272.79466271312083</v>
      </c>
      <c r="AL14" s="155">
        <v>0</v>
      </c>
      <c r="AM14" s="155">
        <v>0</v>
      </c>
      <c r="AN14" s="155">
        <v>0</v>
      </c>
      <c r="AO14" s="155">
        <v>1</v>
      </c>
      <c r="AP14" s="155">
        <v>1</v>
      </c>
      <c r="AQ14" s="155">
        <v>1</v>
      </c>
      <c r="AR14" s="155">
        <v>0.8</v>
      </c>
      <c r="AS14" s="158"/>
      <c r="AT14" s="158">
        <f t="shared" ref="AT14:AT35" si="9">AS14-AS13</f>
        <v>0</v>
      </c>
      <c r="AU14" s="119">
        <v>1.0900000000000001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57">
        <v>43241</v>
      </c>
      <c r="B15" s="40">
        <v>2.0833333333333299</v>
      </c>
      <c r="C15" s="40">
        <v>0.125</v>
      </c>
      <c r="D15" s="156">
        <v>3</v>
      </c>
      <c r="E15" s="154">
        <f t="shared" si="2"/>
        <v>2.1126760563380285</v>
      </c>
      <c r="F15" s="154">
        <v>5</v>
      </c>
      <c r="G15" s="118">
        <v>73</v>
      </c>
      <c r="H15" s="154">
        <f t="shared" si="0"/>
        <v>51.408450704225352</v>
      </c>
      <c r="I15" s="154">
        <v>72</v>
      </c>
      <c r="J15" s="41" t="s">
        <v>88</v>
      </c>
      <c r="K15" s="41">
        <f t="shared" si="3"/>
        <v>46.478873239436624</v>
      </c>
      <c r="L15" s="42">
        <f>(G15-5)/1.42</f>
        <v>47.887323943661976</v>
      </c>
      <c r="M15" s="41">
        <f>L15+(6/1.42)</f>
        <v>52.112676056338032</v>
      </c>
      <c r="N15" s="43">
        <v>14</v>
      </c>
      <c r="O15" s="44" t="s">
        <v>89</v>
      </c>
      <c r="P15" s="44">
        <v>11.2</v>
      </c>
      <c r="Q15" s="157">
        <v>140</v>
      </c>
      <c r="R15" s="157"/>
      <c r="S15" s="157">
        <v>95134625</v>
      </c>
      <c r="T15" s="45">
        <f>IF(ISBLANK(S15),"-",S15-S14)</f>
        <v>4026</v>
      </c>
      <c r="U15" s="46">
        <f t="shared" si="5"/>
        <v>96.623999999999995</v>
      </c>
      <c r="V15" s="46">
        <f t="shared" si="6"/>
        <v>4.0259999999999998</v>
      </c>
      <c r="W15" s="96">
        <v>6.8</v>
      </c>
      <c r="X15" s="96">
        <f t="shared" si="1"/>
        <v>6.8</v>
      </c>
      <c r="Y15" s="97" t="s">
        <v>138</v>
      </c>
      <c r="Z15" s="158">
        <v>0</v>
      </c>
      <c r="AA15" s="158">
        <v>0</v>
      </c>
      <c r="AB15" s="158">
        <v>0</v>
      </c>
      <c r="AC15" s="158">
        <v>1185</v>
      </c>
      <c r="AD15" s="158">
        <v>1187</v>
      </c>
      <c r="AE15" s="158">
        <v>1185</v>
      </c>
      <c r="AF15" s="47" t="s">
        <v>90</v>
      </c>
      <c r="AG15" s="47" t="s">
        <v>90</v>
      </c>
      <c r="AH15" s="98" t="s">
        <v>90</v>
      </c>
      <c r="AI15" s="103">
        <v>15908259</v>
      </c>
      <c r="AJ15" s="45">
        <f t="shared" si="7"/>
        <v>1068</v>
      </c>
      <c r="AK15" s="48">
        <f t="shared" si="8"/>
        <v>265.27570789865871</v>
      </c>
      <c r="AL15" s="155">
        <v>0</v>
      </c>
      <c r="AM15" s="155">
        <v>0</v>
      </c>
      <c r="AN15" s="155">
        <v>0</v>
      </c>
      <c r="AO15" s="155">
        <v>1</v>
      </c>
      <c r="AP15" s="155">
        <v>1</v>
      </c>
      <c r="AQ15" s="155">
        <v>1</v>
      </c>
      <c r="AR15" s="155">
        <v>0.8</v>
      </c>
      <c r="AS15" s="158"/>
      <c r="AT15" s="158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357">
        <v>43241</v>
      </c>
      <c r="B16" s="40">
        <v>2.125</v>
      </c>
      <c r="C16" s="40">
        <v>0.16666666666666699</v>
      </c>
      <c r="D16" s="156">
        <v>3</v>
      </c>
      <c r="E16" s="154">
        <f t="shared" si="2"/>
        <v>2.1126760563380285</v>
      </c>
      <c r="F16" s="154">
        <v>6</v>
      </c>
      <c r="G16" s="118">
        <v>72</v>
      </c>
      <c r="H16" s="154">
        <f t="shared" si="0"/>
        <v>50.70422535211268</v>
      </c>
      <c r="I16" s="154">
        <v>71</v>
      </c>
      <c r="J16" s="41" t="s">
        <v>88</v>
      </c>
      <c r="K16" s="41">
        <f t="shared" si="3"/>
        <v>45.774647887323944</v>
      </c>
      <c r="L16" s="42">
        <f>(G16-5)/1.42</f>
        <v>47.183098591549296</v>
      </c>
      <c r="M16" s="41">
        <f>L16+(6/1.42)</f>
        <v>51.408450704225352</v>
      </c>
      <c r="N16" s="43">
        <v>14</v>
      </c>
      <c r="O16" s="44" t="s">
        <v>89</v>
      </c>
      <c r="P16" s="44">
        <v>12.8</v>
      </c>
      <c r="Q16" s="157">
        <v>143</v>
      </c>
      <c r="R16" s="157"/>
      <c r="S16" s="157">
        <v>95138714</v>
      </c>
      <c r="T16" s="45">
        <f t="shared" si="4"/>
        <v>4089</v>
      </c>
      <c r="U16" s="46">
        <f t="shared" si="5"/>
        <v>98.135999999999996</v>
      </c>
      <c r="V16" s="46">
        <f t="shared" si="6"/>
        <v>4.0890000000000004</v>
      </c>
      <c r="W16" s="96">
        <v>8.3000000000000007</v>
      </c>
      <c r="X16" s="96">
        <f t="shared" si="1"/>
        <v>8.3000000000000007</v>
      </c>
      <c r="Y16" s="97" t="s">
        <v>138</v>
      </c>
      <c r="Z16" s="158">
        <v>0</v>
      </c>
      <c r="AA16" s="158">
        <v>0</v>
      </c>
      <c r="AB16" s="158">
        <v>0</v>
      </c>
      <c r="AC16" s="158">
        <v>1185</v>
      </c>
      <c r="AD16" s="158">
        <v>1187</v>
      </c>
      <c r="AE16" s="158">
        <v>1185</v>
      </c>
      <c r="AF16" s="47" t="s">
        <v>90</v>
      </c>
      <c r="AG16" s="47" t="s">
        <v>90</v>
      </c>
      <c r="AH16" s="98" t="s">
        <v>90</v>
      </c>
      <c r="AI16" s="103">
        <v>15909363</v>
      </c>
      <c r="AJ16" s="45">
        <f t="shared" si="7"/>
        <v>1104</v>
      </c>
      <c r="AK16" s="48">
        <f t="shared" si="8"/>
        <v>269.99266324284662</v>
      </c>
      <c r="AL16" s="155">
        <v>0</v>
      </c>
      <c r="AM16" s="155">
        <v>0</v>
      </c>
      <c r="AN16" s="155">
        <v>0</v>
      </c>
      <c r="AO16" s="155">
        <v>1</v>
      </c>
      <c r="AP16" s="155">
        <v>1</v>
      </c>
      <c r="AQ16" s="155">
        <v>1</v>
      </c>
      <c r="AR16" s="155">
        <v>0.8</v>
      </c>
      <c r="AS16" s="158"/>
      <c r="AT16" s="158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357">
        <v>43241</v>
      </c>
      <c r="B17" s="40">
        <v>2.1666666666666701</v>
      </c>
      <c r="C17" s="40">
        <v>0.20833333333333301</v>
      </c>
      <c r="D17" s="156">
        <v>3</v>
      </c>
      <c r="E17" s="154">
        <f t="shared" si="2"/>
        <v>2.1126760563380285</v>
      </c>
      <c r="F17" s="154">
        <v>7</v>
      </c>
      <c r="G17" s="118">
        <v>82</v>
      </c>
      <c r="H17" s="154">
        <f t="shared" si="0"/>
        <v>57.74647887323944</v>
      </c>
      <c r="I17" s="154">
        <v>80</v>
      </c>
      <c r="J17" s="41" t="s">
        <v>88</v>
      </c>
      <c r="K17" s="41">
        <f t="shared" si="3"/>
        <v>52.816901408450704</v>
      </c>
      <c r="L17" s="42">
        <f>(G17-5)/1.42</f>
        <v>54.225352112676056</v>
      </c>
      <c r="M17" s="41">
        <f>L17+(6/1.42)</f>
        <v>58.450704225352112</v>
      </c>
      <c r="N17" s="43">
        <v>18</v>
      </c>
      <c r="O17" s="44" t="s">
        <v>89</v>
      </c>
      <c r="P17" s="44">
        <v>13.1</v>
      </c>
      <c r="Q17" s="157">
        <v>129</v>
      </c>
      <c r="R17" s="157"/>
      <c r="S17" s="157">
        <v>95142910</v>
      </c>
      <c r="T17" s="45">
        <f t="shared" si="4"/>
        <v>4196</v>
      </c>
      <c r="U17" s="46">
        <f t="shared" si="5"/>
        <v>100.70399999999999</v>
      </c>
      <c r="V17" s="46">
        <f t="shared" si="6"/>
        <v>4.1959999999999997</v>
      </c>
      <c r="W17" s="96">
        <v>9.5</v>
      </c>
      <c r="X17" s="96">
        <f t="shared" si="1"/>
        <v>9.5</v>
      </c>
      <c r="Y17" s="97" t="s">
        <v>138</v>
      </c>
      <c r="Z17" s="158">
        <v>0</v>
      </c>
      <c r="AA17" s="158">
        <v>0</v>
      </c>
      <c r="AB17" s="158">
        <v>0</v>
      </c>
      <c r="AC17" s="158">
        <v>1185</v>
      </c>
      <c r="AD17" s="158">
        <v>1187</v>
      </c>
      <c r="AE17" s="158">
        <v>1185</v>
      </c>
      <c r="AF17" s="47" t="s">
        <v>90</v>
      </c>
      <c r="AG17" s="47" t="s">
        <v>90</v>
      </c>
      <c r="AH17" s="98" t="s">
        <v>90</v>
      </c>
      <c r="AI17" s="103">
        <v>15910479</v>
      </c>
      <c r="AJ17" s="45">
        <f t="shared" si="7"/>
        <v>1116</v>
      </c>
      <c r="AK17" s="48">
        <f t="shared" si="8"/>
        <v>265.9675881792183</v>
      </c>
      <c r="AL17" s="155">
        <v>0</v>
      </c>
      <c r="AM17" s="155">
        <v>0</v>
      </c>
      <c r="AN17" s="155">
        <v>0</v>
      </c>
      <c r="AO17" s="155">
        <v>1</v>
      </c>
      <c r="AP17" s="155">
        <v>1</v>
      </c>
      <c r="AQ17" s="155">
        <v>1</v>
      </c>
      <c r="AR17" s="155">
        <v>0</v>
      </c>
      <c r="AS17" s="158"/>
      <c r="AT17" s="158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57">
        <v>43241</v>
      </c>
      <c r="B18" s="40">
        <v>2.2083333333333299</v>
      </c>
      <c r="C18" s="40">
        <v>0.25</v>
      </c>
      <c r="D18" s="156">
        <v>3</v>
      </c>
      <c r="E18" s="154">
        <f t="shared" si="2"/>
        <v>2.1126760563380285</v>
      </c>
      <c r="F18" s="154">
        <v>8</v>
      </c>
      <c r="G18" s="118">
        <v>82</v>
      </c>
      <c r="H18" s="154">
        <f t="shared" si="0"/>
        <v>57.74647887323944</v>
      </c>
      <c r="I18" s="154">
        <v>80</v>
      </c>
      <c r="J18" s="41" t="s">
        <v>88</v>
      </c>
      <c r="K18" s="41">
        <f t="shared" si="3"/>
        <v>56.338028169014088</v>
      </c>
      <c r="L18" s="42">
        <f t="shared" ref="L18:L27" si="10">G18/1.42</f>
        <v>57.74647887323944</v>
      </c>
      <c r="M18" s="41">
        <f>L18+1.42</f>
        <v>59.166478873239441</v>
      </c>
      <c r="N18" s="43">
        <v>19</v>
      </c>
      <c r="O18" s="44" t="s">
        <v>100</v>
      </c>
      <c r="P18" s="44">
        <v>13.1</v>
      </c>
      <c r="Q18" s="157">
        <v>131</v>
      </c>
      <c r="R18" s="157"/>
      <c r="S18" s="157">
        <v>95147876</v>
      </c>
      <c r="T18" s="45">
        <f t="shared" si="4"/>
        <v>4966</v>
      </c>
      <c r="U18" s="46">
        <f t="shared" si="5"/>
        <v>119.184</v>
      </c>
      <c r="V18" s="46">
        <f t="shared" si="6"/>
        <v>4.9660000000000002</v>
      </c>
      <c r="W18" s="96">
        <v>9.5</v>
      </c>
      <c r="X18" s="96">
        <f t="shared" si="1"/>
        <v>9.5</v>
      </c>
      <c r="Y18" s="97" t="s">
        <v>138</v>
      </c>
      <c r="Z18" s="158">
        <v>0</v>
      </c>
      <c r="AA18" s="158">
        <v>0</v>
      </c>
      <c r="AB18" s="158">
        <v>0</v>
      </c>
      <c r="AC18" s="158">
        <v>1185</v>
      </c>
      <c r="AD18" s="158">
        <v>1187</v>
      </c>
      <c r="AE18" s="158">
        <v>1185</v>
      </c>
      <c r="AF18" s="47" t="s">
        <v>90</v>
      </c>
      <c r="AG18" s="47" t="s">
        <v>90</v>
      </c>
      <c r="AH18" s="98" t="s">
        <v>90</v>
      </c>
      <c r="AI18" s="103">
        <v>15911546</v>
      </c>
      <c r="AJ18" s="45">
        <f t="shared" si="7"/>
        <v>1067</v>
      </c>
      <c r="AK18" s="48">
        <f t="shared" si="8"/>
        <v>214.8610551751913</v>
      </c>
      <c r="AL18" s="155">
        <v>0</v>
      </c>
      <c r="AM18" s="155">
        <v>0</v>
      </c>
      <c r="AN18" s="155">
        <v>0</v>
      </c>
      <c r="AO18" s="155">
        <v>1</v>
      </c>
      <c r="AP18" s="155">
        <v>1</v>
      </c>
      <c r="AQ18" s="155">
        <v>1</v>
      </c>
      <c r="AR18" s="155">
        <v>0</v>
      </c>
      <c r="AS18" s="158"/>
      <c r="AT18" s="158">
        <f t="shared" si="9"/>
        <v>0</v>
      </c>
      <c r="AU18" s="119">
        <v>0.99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57">
        <v>43241</v>
      </c>
      <c r="B19" s="40">
        <v>2.25</v>
      </c>
      <c r="C19" s="40">
        <v>0.29166666666666669</v>
      </c>
      <c r="D19" s="156">
        <v>3</v>
      </c>
      <c r="E19" s="154">
        <f t="shared" si="2"/>
        <v>2.1126760563380285</v>
      </c>
      <c r="F19" s="154">
        <v>7</v>
      </c>
      <c r="G19" s="118">
        <v>79</v>
      </c>
      <c r="H19" s="154">
        <f t="shared" si="0"/>
        <v>55.633802816901408</v>
      </c>
      <c r="I19" s="154">
        <v>79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7">
        <v>134</v>
      </c>
      <c r="R19" s="157"/>
      <c r="S19" s="157">
        <v>95153015</v>
      </c>
      <c r="T19" s="45">
        <f t="shared" si="4"/>
        <v>5139</v>
      </c>
      <c r="U19" s="46">
        <f t="shared" si="5"/>
        <v>123.336</v>
      </c>
      <c r="V19" s="46">
        <f t="shared" si="6"/>
        <v>5.1390000000000002</v>
      </c>
      <c r="W19" s="96">
        <v>9.1</v>
      </c>
      <c r="X19" s="96">
        <f t="shared" si="1"/>
        <v>9.1</v>
      </c>
      <c r="Y19" s="97" t="s">
        <v>169</v>
      </c>
      <c r="Z19" s="158">
        <v>1027</v>
      </c>
      <c r="AA19" s="158">
        <v>0</v>
      </c>
      <c r="AB19" s="158">
        <v>0</v>
      </c>
      <c r="AC19" s="158">
        <v>1185</v>
      </c>
      <c r="AD19" s="158">
        <v>1187</v>
      </c>
      <c r="AE19" s="158">
        <v>1185</v>
      </c>
      <c r="AF19" s="47" t="s">
        <v>90</v>
      </c>
      <c r="AG19" s="47" t="s">
        <v>90</v>
      </c>
      <c r="AH19" s="98" t="s">
        <v>90</v>
      </c>
      <c r="AI19" s="103">
        <v>15912788</v>
      </c>
      <c r="AJ19" s="45">
        <f t="shared" si="7"/>
        <v>1242</v>
      </c>
      <c r="AK19" s="48">
        <f t="shared" si="8"/>
        <v>241.68126094570928</v>
      </c>
      <c r="AL19" s="155">
        <v>1</v>
      </c>
      <c r="AM19" s="155">
        <v>0</v>
      </c>
      <c r="AN19" s="155">
        <v>0</v>
      </c>
      <c r="AO19" s="155">
        <v>1</v>
      </c>
      <c r="AP19" s="155">
        <v>1</v>
      </c>
      <c r="AQ19" s="155">
        <v>1</v>
      </c>
      <c r="AR19" s="155">
        <v>0</v>
      </c>
      <c r="AS19" s="158"/>
      <c r="AT19" s="158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57">
        <v>43241</v>
      </c>
      <c r="B20" s="40">
        <v>2.2916666666666701</v>
      </c>
      <c r="C20" s="40">
        <v>0.33333333333333298</v>
      </c>
      <c r="D20" s="156">
        <v>3</v>
      </c>
      <c r="E20" s="154">
        <f t="shared" si="2"/>
        <v>2.1126760563380285</v>
      </c>
      <c r="F20" s="154">
        <v>7</v>
      </c>
      <c r="G20" s="118">
        <v>78</v>
      </c>
      <c r="H20" s="154">
        <f t="shared" si="0"/>
        <v>54.929577464788736</v>
      </c>
      <c r="I20" s="154">
        <v>79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7">
        <v>130</v>
      </c>
      <c r="R20" s="157"/>
      <c r="S20" s="157">
        <v>95158000</v>
      </c>
      <c r="T20" s="45">
        <f t="shared" si="4"/>
        <v>4985</v>
      </c>
      <c r="U20" s="46">
        <f>T20*24/1000</f>
        <v>119.64</v>
      </c>
      <c r="V20" s="46">
        <f t="shared" si="6"/>
        <v>4.9850000000000003</v>
      </c>
      <c r="W20" s="96">
        <v>8.5</v>
      </c>
      <c r="X20" s="96">
        <f t="shared" si="1"/>
        <v>8.5</v>
      </c>
      <c r="Y20" s="97" t="s">
        <v>169</v>
      </c>
      <c r="Z20" s="158">
        <v>1027</v>
      </c>
      <c r="AA20" s="158">
        <v>0</v>
      </c>
      <c r="AB20" s="158">
        <v>0</v>
      </c>
      <c r="AC20" s="158">
        <v>1185</v>
      </c>
      <c r="AD20" s="158">
        <v>1187</v>
      </c>
      <c r="AE20" s="158">
        <v>1185</v>
      </c>
      <c r="AF20" s="47" t="s">
        <v>90</v>
      </c>
      <c r="AG20" s="47" t="s">
        <v>90</v>
      </c>
      <c r="AH20" s="98" t="s">
        <v>90</v>
      </c>
      <c r="AI20" s="103">
        <v>15913973</v>
      </c>
      <c r="AJ20" s="45">
        <f t="shared" si="7"/>
        <v>1185</v>
      </c>
      <c r="AK20" s="48">
        <f t="shared" si="8"/>
        <v>237.71313941825474</v>
      </c>
      <c r="AL20" s="155">
        <v>1</v>
      </c>
      <c r="AM20" s="155">
        <v>0</v>
      </c>
      <c r="AN20" s="155">
        <v>0</v>
      </c>
      <c r="AO20" s="155">
        <v>1</v>
      </c>
      <c r="AP20" s="155">
        <v>1</v>
      </c>
      <c r="AQ20" s="155">
        <v>1</v>
      </c>
      <c r="AR20" s="155">
        <v>0</v>
      </c>
      <c r="AS20" s="158"/>
      <c r="AT20" s="158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357">
        <v>43241</v>
      </c>
      <c r="B21" s="40">
        <v>2.3333333333333299</v>
      </c>
      <c r="C21" s="40">
        <v>0.375</v>
      </c>
      <c r="D21" s="156" t="s">
        <v>179</v>
      </c>
      <c r="E21" s="154" t="e">
        <f t="shared" si="2"/>
        <v>#VALUE!</v>
      </c>
      <c r="F21" s="154">
        <v>6</v>
      </c>
      <c r="G21" s="118">
        <v>78</v>
      </c>
      <c r="H21" s="154">
        <f t="shared" si="0"/>
        <v>54.929577464788736</v>
      </c>
      <c r="I21" s="154">
        <v>78</v>
      </c>
      <c r="J21" s="41" t="s">
        <v>88</v>
      </c>
      <c r="K21" s="41">
        <f t="shared" si="3"/>
        <v>53.521126760563384</v>
      </c>
      <c r="L21" s="42">
        <f t="shared" si="10"/>
        <v>54.929577464788736</v>
      </c>
      <c r="M21" s="41">
        <f t="shared" si="11"/>
        <v>56.349577464788737</v>
      </c>
      <c r="N21" s="43">
        <v>19</v>
      </c>
      <c r="O21" s="44" t="s">
        <v>100</v>
      </c>
      <c r="P21" s="44">
        <v>18.399999999999999</v>
      </c>
      <c r="Q21" s="157" t="s">
        <v>179</v>
      </c>
      <c r="R21" s="157"/>
      <c r="S21" s="157">
        <v>95162899</v>
      </c>
      <c r="T21" s="45">
        <f t="shared" si="4"/>
        <v>4899</v>
      </c>
      <c r="U21" s="46">
        <f t="shared" si="5"/>
        <v>117.57599999999999</v>
      </c>
      <c r="V21" s="46">
        <f t="shared" si="6"/>
        <v>4.899</v>
      </c>
      <c r="W21" s="96">
        <v>7.8</v>
      </c>
      <c r="X21" s="96">
        <f t="shared" si="1"/>
        <v>7.8</v>
      </c>
      <c r="Y21" s="97" t="s">
        <v>169</v>
      </c>
      <c r="Z21" s="158">
        <v>1046</v>
      </c>
      <c r="AA21" s="158">
        <v>0</v>
      </c>
      <c r="AB21" s="158">
        <v>0</v>
      </c>
      <c r="AC21" s="158">
        <v>1185</v>
      </c>
      <c r="AD21" s="158">
        <v>1187</v>
      </c>
      <c r="AE21" s="158">
        <v>1185</v>
      </c>
      <c r="AF21" s="47" t="s">
        <v>90</v>
      </c>
      <c r="AG21" s="47" t="s">
        <v>90</v>
      </c>
      <c r="AH21" s="98" t="s">
        <v>90</v>
      </c>
      <c r="AI21" s="103">
        <v>15915189</v>
      </c>
      <c r="AJ21" s="45">
        <f t="shared" si="7"/>
        <v>1216</v>
      </c>
      <c r="AK21" s="48">
        <f t="shared" si="8"/>
        <v>248.21392120840989</v>
      </c>
      <c r="AL21" s="155">
        <v>1</v>
      </c>
      <c r="AM21" s="155">
        <v>0</v>
      </c>
      <c r="AN21" s="155">
        <v>0</v>
      </c>
      <c r="AO21" s="155">
        <v>1</v>
      </c>
      <c r="AP21" s="155">
        <v>1</v>
      </c>
      <c r="AQ21" s="155">
        <v>1</v>
      </c>
      <c r="AR21" s="155">
        <v>0</v>
      </c>
      <c r="AS21" s="158"/>
      <c r="AT21" s="158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205</v>
      </c>
    </row>
    <row r="22" spans="1:54" x14ac:dyDescent="0.35">
      <c r="A22" s="357">
        <v>43241</v>
      </c>
      <c r="B22" s="40">
        <v>2.375</v>
      </c>
      <c r="C22" s="40">
        <v>0.41666666666666669</v>
      </c>
      <c r="D22" s="156">
        <v>3</v>
      </c>
      <c r="E22" s="154">
        <f t="shared" si="2"/>
        <v>2.1126760563380285</v>
      </c>
      <c r="F22" s="154">
        <v>6</v>
      </c>
      <c r="G22" s="118">
        <v>76</v>
      </c>
      <c r="H22" s="154">
        <f t="shared" si="0"/>
        <v>53.521126760563384</v>
      </c>
      <c r="I22" s="154">
        <v>78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7">
        <v>132</v>
      </c>
      <c r="R22" s="157"/>
      <c r="S22" s="157">
        <v>95166860</v>
      </c>
      <c r="T22" s="45">
        <f t="shared" si="4"/>
        <v>3961</v>
      </c>
      <c r="U22" s="46">
        <f t="shared" si="5"/>
        <v>95.063999999999993</v>
      </c>
      <c r="V22" s="46">
        <f t="shared" si="6"/>
        <v>3.9609999999999999</v>
      </c>
      <c r="W22" s="96">
        <v>7.2</v>
      </c>
      <c r="X22" s="96">
        <f t="shared" si="1"/>
        <v>7.2</v>
      </c>
      <c r="Y22" s="97" t="s">
        <v>169</v>
      </c>
      <c r="Z22" s="158">
        <v>1046</v>
      </c>
      <c r="AA22" s="158">
        <v>0</v>
      </c>
      <c r="AB22" s="158">
        <v>0</v>
      </c>
      <c r="AC22" s="158">
        <v>1185</v>
      </c>
      <c r="AD22" s="158">
        <v>1187</v>
      </c>
      <c r="AE22" s="158">
        <v>1185</v>
      </c>
      <c r="AF22" s="47" t="s">
        <v>90</v>
      </c>
      <c r="AG22" s="47" t="s">
        <v>90</v>
      </c>
      <c r="AH22" s="98" t="s">
        <v>90</v>
      </c>
      <c r="AI22" s="103">
        <v>15916388</v>
      </c>
      <c r="AJ22" s="45">
        <f t="shared" si="7"/>
        <v>1199</v>
      </c>
      <c r="AK22" s="48">
        <f t="shared" si="8"/>
        <v>302.70133804594798</v>
      </c>
      <c r="AL22" s="155">
        <v>1</v>
      </c>
      <c r="AM22" s="155">
        <v>0</v>
      </c>
      <c r="AN22" s="155">
        <v>0</v>
      </c>
      <c r="AO22" s="155">
        <v>1</v>
      </c>
      <c r="AP22" s="155">
        <v>1</v>
      </c>
      <c r="AQ22" s="155">
        <v>1</v>
      </c>
      <c r="AR22" s="155">
        <v>0</v>
      </c>
      <c r="AS22" s="158"/>
      <c r="AT22" s="158">
        <f t="shared" si="9"/>
        <v>0</v>
      </c>
      <c r="AU22" s="119">
        <v>1</v>
      </c>
      <c r="AV22" s="50" t="s">
        <v>125</v>
      </c>
      <c r="BB22" s="136" t="s">
        <v>157</v>
      </c>
    </row>
    <row r="23" spans="1:54" x14ac:dyDescent="0.35">
      <c r="A23" s="357">
        <v>43241</v>
      </c>
      <c r="B23" s="40">
        <v>2.4166666666666701</v>
      </c>
      <c r="C23" s="40">
        <v>0.45833333333333298</v>
      </c>
      <c r="D23" s="156">
        <v>3</v>
      </c>
      <c r="E23" s="154">
        <f t="shared" si="2"/>
        <v>2.1126760563380285</v>
      </c>
      <c r="F23" s="154">
        <v>5</v>
      </c>
      <c r="G23" s="118">
        <v>75</v>
      </c>
      <c r="H23" s="154">
        <f t="shared" si="0"/>
        <v>52.816901408450704</v>
      </c>
      <c r="I23" s="154">
        <v>77</v>
      </c>
      <c r="J23" s="41" t="s">
        <v>88</v>
      </c>
      <c r="K23" s="41">
        <f t="shared" si="3"/>
        <v>51.408450704225352</v>
      </c>
      <c r="L23" s="42">
        <f t="shared" si="10"/>
        <v>52.816901408450704</v>
      </c>
      <c r="M23" s="41">
        <f t="shared" si="11"/>
        <v>54.236901408450706</v>
      </c>
      <c r="N23" s="43">
        <v>19</v>
      </c>
      <c r="O23" s="44" t="s">
        <v>100</v>
      </c>
      <c r="P23" s="44">
        <v>17.7</v>
      </c>
      <c r="Q23" s="157">
        <v>131</v>
      </c>
      <c r="R23" s="157"/>
      <c r="S23" s="157">
        <v>95170652</v>
      </c>
      <c r="T23" s="45">
        <f t="shared" si="4"/>
        <v>3792</v>
      </c>
      <c r="U23" s="46">
        <f t="shared" si="5"/>
        <v>91.007999999999996</v>
      </c>
      <c r="V23" s="46">
        <f t="shared" si="6"/>
        <v>3.7919999999999998</v>
      </c>
      <c r="W23" s="96">
        <v>6.5</v>
      </c>
      <c r="X23" s="96">
        <f>W23</f>
        <v>6.5</v>
      </c>
      <c r="Y23" s="97" t="s">
        <v>169</v>
      </c>
      <c r="Z23" s="158">
        <v>1027</v>
      </c>
      <c r="AA23" s="158">
        <v>0</v>
      </c>
      <c r="AB23" s="158">
        <v>0</v>
      </c>
      <c r="AC23" s="158">
        <v>1185</v>
      </c>
      <c r="AD23" s="158">
        <v>1187</v>
      </c>
      <c r="AE23" s="158">
        <v>1185</v>
      </c>
      <c r="AF23" s="47" t="s">
        <v>90</v>
      </c>
      <c r="AG23" s="47" t="s">
        <v>90</v>
      </c>
      <c r="AH23" s="98" t="s">
        <v>90</v>
      </c>
      <c r="AI23" s="103">
        <v>15917577</v>
      </c>
      <c r="AJ23" s="45">
        <f t="shared" si="7"/>
        <v>1189</v>
      </c>
      <c r="AK23" s="48">
        <f t="shared" si="8"/>
        <v>313.55485232067514</v>
      </c>
      <c r="AL23" s="155">
        <v>1</v>
      </c>
      <c r="AM23" s="155">
        <v>0</v>
      </c>
      <c r="AN23" s="155">
        <v>0</v>
      </c>
      <c r="AO23" s="155">
        <v>1</v>
      </c>
      <c r="AP23" s="155">
        <v>1</v>
      </c>
      <c r="AQ23" s="155">
        <v>1</v>
      </c>
      <c r="AR23" s="155">
        <v>0</v>
      </c>
      <c r="AS23" s="158"/>
      <c r="AT23" s="158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357">
        <v>43241</v>
      </c>
      <c r="B24" s="40">
        <v>2.4583333333333299</v>
      </c>
      <c r="C24" s="40">
        <v>0.5</v>
      </c>
      <c r="D24" s="156">
        <v>3</v>
      </c>
      <c r="E24" s="154">
        <f t="shared" si="2"/>
        <v>2.1126760563380285</v>
      </c>
      <c r="F24" s="154">
        <v>5</v>
      </c>
      <c r="G24" s="118">
        <v>75</v>
      </c>
      <c r="H24" s="154">
        <f t="shared" si="0"/>
        <v>52.816901408450704</v>
      </c>
      <c r="I24" s="154">
        <v>77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7">
        <v>128</v>
      </c>
      <c r="R24" s="157"/>
      <c r="S24" s="157">
        <v>95174394</v>
      </c>
      <c r="T24" s="45">
        <f t="shared" si="4"/>
        <v>3742</v>
      </c>
      <c r="U24" s="46">
        <f>T24*24/1000</f>
        <v>89.808000000000007</v>
      </c>
      <c r="V24" s="46">
        <f t="shared" si="6"/>
        <v>3.742</v>
      </c>
      <c r="W24" s="96">
        <v>6</v>
      </c>
      <c r="X24" s="96">
        <f t="shared" si="1"/>
        <v>6</v>
      </c>
      <c r="Y24" s="97" t="s">
        <v>169</v>
      </c>
      <c r="Z24" s="158">
        <v>1027</v>
      </c>
      <c r="AA24" s="158">
        <v>0</v>
      </c>
      <c r="AB24" s="158">
        <v>0</v>
      </c>
      <c r="AC24" s="158">
        <v>1185</v>
      </c>
      <c r="AD24" s="158">
        <v>1187</v>
      </c>
      <c r="AE24" s="158">
        <v>1185</v>
      </c>
      <c r="AF24" s="47" t="s">
        <v>90</v>
      </c>
      <c r="AG24" s="47" t="s">
        <v>90</v>
      </c>
      <c r="AH24" s="98" t="s">
        <v>90</v>
      </c>
      <c r="AI24" s="103">
        <v>15918738</v>
      </c>
      <c r="AJ24" s="45">
        <f t="shared" si="7"/>
        <v>1161</v>
      </c>
      <c r="AK24" s="48">
        <f t="shared" si="8"/>
        <v>310.26189203634419</v>
      </c>
      <c r="AL24" s="155">
        <v>1</v>
      </c>
      <c r="AM24" s="155">
        <v>0</v>
      </c>
      <c r="AN24" s="155">
        <v>0</v>
      </c>
      <c r="AO24" s="155">
        <v>1</v>
      </c>
      <c r="AP24" s="155">
        <v>1</v>
      </c>
      <c r="AQ24" s="155">
        <v>1</v>
      </c>
      <c r="AR24" s="155">
        <v>0</v>
      </c>
      <c r="AS24" s="158"/>
      <c r="AT24" s="158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357">
        <v>43241</v>
      </c>
      <c r="B25" s="40">
        <v>2.5</v>
      </c>
      <c r="C25" s="40">
        <v>0.54166666666666696</v>
      </c>
      <c r="D25" s="156">
        <v>3</v>
      </c>
      <c r="E25" s="154">
        <f t="shared" si="2"/>
        <v>2.1126760563380285</v>
      </c>
      <c r="F25" s="154">
        <v>4</v>
      </c>
      <c r="G25" s="118">
        <v>75</v>
      </c>
      <c r="H25" s="154">
        <f t="shared" si="0"/>
        <v>52.816901408450704</v>
      </c>
      <c r="I25" s="154">
        <v>76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7">
        <v>127</v>
      </c>
      <c r="R25" s="157"/>
      <c r="S25" s="157">
        <v>95178164</v>
      </c>
      <c r="T25" s="45">
        <f t="shared" si="4"/>
        <v>3770</v>
      </c>
      <c r="U25" s="46">
        <f>T25*24/1000</f>
        <v>90.48</v>
      </c>
      <c r="V25" s="46">
        <f t="shared" si="6"/>
        <v>3.77</v>
      </c>
      <c r="W25" s="96">
        <v>5.4</v>
      </c>
      <c r="X25" s="96">
        <f t="shared" si="1"/>
        <v>5.4</v>
      </c>
      <c r="Y25" s="97" t="s">
        <v>169</v>
      </c>
      <c r="Z25" s="158">
        <v>1027</v>
      </c>
      <c r="AA25" s="158">
        <v>0</v>
      </c>
      <c r="AB25" s="158">
        <v>0</v>
      </c>
      <c r="AC25" s="158">
        <v>1185</v>
      </c>
      <c r="AD25" s="158">
        <v>1187</v>
      </c>
      <c r="AE25" s="158">
        <v>1185</v>
      </c>
      <c r="AF25" s="47" t="s">
        <v>90</v>
      </c>
      <c r="AG25" s="47" t="s">
        <v>90</v>
      </c>
      <c r="AH25" s="98" t="s">
        <v>90</v>
      </c>
      <c r="AI25" s="103">
        <v>15919909</v>
      </c>
      <c r="AJ25" s="45">
        <f t="shared" si="7"/>
        <v>1171</v>
      </c>
      <c r="AK25" s="48">
        <f t="shared" si="8"/>
        <v>310.61007957559684</v>
      </c>
      <c r="AL25" s="155">
        <v>1</v>
      </c>
      <c r="AM25" s="155">
        <v>0</v>
      </c>
      <c r="AN25" s="155">
        <v>0</v>
      </c>
      <c r="AO25" s="155">
        <v>1</v>
      </c>
      <c r="AP25" s="155">
        <v>1</v>
      </c>
      <c r="AQ25" s="155">
        <v>1</v>
      </c>
      <c r="AR25" s="155">
        <v>0</v>
      </c>
      <c r="AS25" s="158"/>
      <c r="AT25" s="158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57">
        <v>43241</v>
      </c>
      <c r="B26" s="40">
        <v>2.5416666666666701</v>
      </c>
      <c r="C26" s="40">
        <v>0.58333333333333404</v>
      </c>
      <c r="D26" s="156">
        <v>3</v>
      </c>
      <c r="E26" s="154">
        <f t="shared" si="2"/>
        <v>2.1126760563380285</v>
      </c>
      <c r="F26" s="154">
        <v>4</v>
      </c>
      <c r="G26" s="118">
        <v>75</v>
      </c>
      <c r="H26" s="154">
        <f>G26/1.42</f>
        <v>52.816901408450704</v>
      </c>
      <c r="I26" s="154">
        <v>75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7">
        <v>127</v>
      </c>
      <c r="R26" s="157"/>
      <c r="S26" s="157">
        <v>95182025</v>
      </c>
      <c r="T26" s="45">
        <f t="shared" si="4"/>
        <v>3861</v>
      </c>
      <c r="U26" s="46">
        <f t="shared" si="5"/>
        <v>92.664000000000001</v>
      </c>
      <c r="V26" s="46">
        <f t="shared" si="6"/>
        <v>3.8610000000000002</v>
      </c>
      <c r="W26" s="96">
        <v>5</v>
      </c>
      <c r="X26" s="96">
        <f t="shared" si="1"/>
        <v>5</v>
      </c>
      <c r="Y26" s="97" t="s">
        <v>169</v>
      </c>
      <c r="Z26" s="158">
        <v>1027</v>
      </c>
      <c r="AA26" s="158">
        <v>0</v>
      </c>
      <c r="AB26" s="158">
        <v>0</v>
      </c>
      <c r="AC26" s="158">
        <v>1185</v>
      </c>
      <c r="AD26" s="158">
        <v>1187</v>
      </c>
      <c r="AE26" s="158">
        <v>1185</v>
      </c>
      <c r="AF26" s="47" t="s">
        <v>90</v>
      </c>
      <c r="AG26" s="47" t="s">
        <v>90</v>
      </c>
      <c r="AH26" s="98" t="s">
        <v>90</v>
      </c>
      <c r="AI26" s="103">
        <v>15921041</v>
      </c>
      <c r="AJ26" s="45">
        <f t="shared" si="7"/>
        <v>1132</v>
      </c>
      <c r="AK26" s="48">
        <f t="shared" si="8"/>
        <v>293.18829318829319</v>
      </c>
      <c r="AL26" s="155">
        <v>1</v>
      </c>
      <c r="AM26" s="155">
        <v>0</v>
      </c>
      <c r="AN26" s="155">
        <v>0</v>
      </c>
      <c r="AO26" s="155">
        <v>1</v>
      </c>
      <c r="AP26" s="155">
        <v>1</v>
      </c>
      <c r="AQ26" s="155">
        <v>1</v>
      </c>
      <c r="AR26" s="155">
        <v>0</v>
      </c>
      <c r="AS26" s="158"/>
      <c r="AT26" s="158">
        <f t="shared" si="9"/>
        <v>0</v>
      </c>
      <c r="AU26" s="119">
        <v>1.07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57">
        <v>43241</v>
      </c>
      <c r="B27" s="40">
        <v>2.5833333333333299</v>
      </c>
      <c r="C27" s="40">
        <v>0.625</v>
      </c>
      <c r="D27" s="156">
        <v>3</v>
      </c>
      <c r="E27" s="154">
        <f t="shared" si="2"/>
        <v>2.1126760563380285</v>
      </c>
      <c r="F27" s="154">
        <v>3</v>
      </c>
      <c r="G27" s="118">
        <v>76</v>
      </c>
      <c r="H27" s="154">
        <f>G27/1.42</f>
        <v>53.521126760563384</v>
      </c>
      <c r="I27" s="154">
        <v>75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7">
        <v>130</v>
      </c>
      <c r="R27" s="157"/>
      <c r="S27" s="157">
        <v>95186319</v>
      </c>
      <c r="T27" s="45">
        <f t="shared" si="4"/>
        <v>4294</v>
      </c>
      <c r="U27" s="46">
        <f t="shared" si="5"/>
        <v>103.056</v>
      </c>
      <c r="V27" s="46">
        <f t="shared" si="6"/>
        <v>4.2939999999999996</v>
      </c>
      <c r="W27" s="96">
        <v>4.5</v>
      </c>
      <c r="X27" s="96">
        <f t="shared" si="1"/>
        <v>4.5</v>
      </c>
      <c r="Y27" s="97" t="s">
        <v>169</v>
      </c>
      <c r="Z27" s="158">
        <v>1025</v>
      </c>
      <c r="AA27" s="158">
        <v>0</v>
      </c>
      <c r="AB27" s="158">
        <v>0</v>
      </c>
      <c r="AC27" s="158">
        <v>1185</v>
      </c>
      <c r="AD27" s="158">
        <v>1186</v>
      </c>
      <c r="AE27" s="158">
        <v>1185</v>
      </c>
      <c r="AF27" s="47" t="s">
        <v>90</v>
      </c>
      <c r="AG27" s="47" t="s">
        <v>90</v>
      </c>
      <c r="AH27" s="98" t="s">
        <v>90</v>
      </c>
      <c r="AI27" s="103">
        <v>15922202</v>
      </c>
      <c r="AJ27" s="45">
        <f t="shared" si="7"/>
        <v>1161</v>
      </c>
      <c r="AK27" s="48">
        <f t="shared" si="8"/>
        <v>270.37727061015374</v>
      </c>
      <c r="AL27" s="155">
        <v>1</v>
      </c>
      <c r="AM27" s="155">
        <v>0</v>
      </c>
      <c r="AN27" s="155">
        <v>0</v>
      </c>
      <c r="AO27" s="155">
        <v>1</v>
      </c>
      <c r="AP27" s="155">
        <v>1</v>
      </c>
      <c r="AQ27" s="155">
        <v>1</v>
      </c>
      <c r="AR27" s="155">
        <v>0</v>
      </c>
      <c r="AS27" s="158"/>
      <c r="AT27" s="158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57">
        <v>43241</v>
      </c>
      <c r="B28" s="40">
        <v>2.625</v>
      </c>
      <c r="C28" s="40">
        <v>0.66666666666666696</v>
      </c>
      <c r="D28" s="156">
        <v>3</v>
      </c>
      <c r="E28" s="154">
        <f t="shared" si="2"/>
        <v>2.1126760563380285</v>
      </c>
      <c r="F28" s="154">
        <v>3</v>
      </c>
      <c r="G28" s="118">
        <v>76</v>
      </c>
      <c r="H28" s="154">
        <f t="shared" si="0"/>
        <v>53.521126760563384</v>
      </c>
      <c r="I28" s="154">
        <v>75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7">
        <v>129</v>
      </c>
      <c r="R28" s="157"/>
      <c r="S28" s="157">
        <v>95191076</v>
      </c>
      <c r="T28" s="45">
        <f t="shared" si="4"/>
        <v>4757</v>
      </c>
      <c r="U28" s="46">
        <f t="shared" si="5"/>
        <v>114.16800000000001</v>
      </c>
      <c r="V28" s="46">
        <f t="shared" si="6"/>
        <v>4.7569999999999997</v>
      </c>
      <c r="W28" s="96">
        <v>4.0999999999999996</v>
      </c>
      <c r="X28" s="96">
        <f t="shared" si="1"/>
        <v>4.0999999999999996</v>
      </c>
      <c r="Y28" s="97" t="s">
        <v>169</v>
      </c>
      <c r="Z28" s="158">
        <v>1026</v>
      </c>
      <c r="AA28" s="158">
        <v>0</v>
      </c>
      <c r="AB28" s="158">
        <v>0</v>
      </c>
      <c r="AC28" s="158">
        <v>1185</v>
      </c>
      <c r="AD28" s="158">
        <v>1188</v>
      </c>
      <c r="AE28" s="158">
        <v>1185</v>
      </c>
      <c r="AF28" s="47" t="s">
        <v>90</v>
      </c>
      <c r="AG28" s="47" t="s">
        <v>90</v>
      </c>
      <c r="AH28" s="98" t="s">
        <v>90</v>
      </c>
      <c r="AI28" s="103">
        <v>15923360</v>
      </c>
      <c r="AJ28" s="45">
        <f>IF(ISBLANK(AI28),"-",AI28-AI27)</f>
        <v>1158</v>
      </c>
      <c r="AK28" s="48">
        <f t="shared" si="8"/>
        <v>243.43073365566536</v>
      </c>
      <c r="AL28" s="155">
        <v>1</v>
      </c>
      <c r="AM28" s="155">
        <v>0</v>
      </c>
      <c r="AN28" s="155">
        <v>0</v>
      </c>
      <c r="AO28" s="155">
        <v>1</v>
      </c>
      <c r="AP28" s="155">
        <v>1</v>
      </c>
      <c r="AQ28" s="155">
        <v>1</v>
      </c>
      <c r="AR28" s="155">
        <v>0</v>
      </c>
      <c r="AS28" s="158"/>
      <c r="AT28" s="158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357">
        <v>43241</v>
      </c>
      <c r="B29" s="40">
        <v>2.6666666666666701</v>
      </c>
      <c r="C29" s="40">
        <v>0.70833333333333404</v>
      </c>
      <c r="D29" s="156">
        <v>3</v>
      </c>
      <c r="E29" s="154">
        <f t="shared" si="2"/>
        <v>2.1126760563380285</v>
      </c>
      <c r="F29" s="154">
        <v>2</v>
      </c>
      <c r="G29" s="118">
        <v>75</v>
      </c>
      <c r="H29" s="154">
        <f t="shared" si="0"/>
        <v>52.816901408450704</v>
      </c>
      <c r="I29" s="154">
        <v>74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7">
        <v>128</v>
      </c>
      <c r="R29" s="157"/>
      <c r="S29" s="157">
        <v>95195693</v>
      </c>
      <c r="T29" s="45">
        <f t="shared" si="4"/>
        <v>4617</v>
      </c>
      <c r="U29" s="46">
        <f t="shared" si="5"/>
        <v>110.80800000000001</v>
      </c>
      <c r="V29" s="46">
        <f t="shared" si="6"/>
        <v>4.617</v>
      </c>
      <c r="W29" s="96">
        <v>3.5</v>
      </c>
      <c r="X29" s="96">
        <f t="shared" si="1"/>
        <v>3.5</v>
      </c>
      <c r="Y29" s="97" t="s">
        <v>169</v>
      </c>
      <c r="Z29" s="158">
        <v>1026</v>
      </c>
      <c r="AA29" s="158">
        <v>0</v>
      </c>
      <c r="AB29" s="158">
        <v>0</v>
      </c>
      <c r="AC29" s="158">
        <v>1185</v>
      </c>
      <c r="AD29" s="158">
        <v>1187</v>
      </c>
      <c r="AE29" s="158">
        <v>1185</v>
      </c>
      <c r="AF29" s="47" t="s">
        <v>90</v>
      </c>
      <c r="AG29" s="47" t="s">
        <v>90</v>
      </c>
      <c r="AH29" s="98" t="s">
        <v>90</v>
      </c>
      <c r="AI29" s="103">
        <v>15924492</v>
      </c>
      <c r="AJ29" s="45">
        <f t="shared" si="7"/>
        <v>1132</v>
      </c>
      <c r="AK29" s="48">
        <f>AJ28/V29</f>
        <v>250.81221572449644</v>
      </c>
      <c r="AL29" s="155">
        <v>1</v>
      </c>
      <c r="AM29" s="155">
        <v>0</v>
      </c>
      <c r="AN29" s="155">
        <v>0</v>
      </c>
      <c r="AO29" s="155">
        <v>1</v>
      </c>
      <c r="AP29" s="155">
        <v>1</v>
      </c>
      <c r="AQ29" s="155">
        <v>1</v>
      </c>
      <c r="AR29" s="155">
        <v>0</v>
      </c>
      <c r="AS29" s="158"/>
      <c r="AT29" s="158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357">
        <v>43241</v>
      </c>
      <c r="B30" s="40">
        <v>2.7083333333333299</v>
      </c>
      <c r="C30" s="40">
        <v>0.750000000000002</v>
      </c>
      <c r="D30" s="156">
        <v>3</v>
      </c>
      <c r="E30" s="154">
        <f t="shared" si="2"/>
        <v>2.1126760563380285</v>
      </c>
      <c r="F30" s="154">
        <v>1</v>
      </c>
      <c r="G30" s="118">
        <v>74</v>
      </c>
      <c r="H30" s="154">
        <f t="shared" si="0"/>
        <v>52.112676056338032</v>
      </c>
      <c r="I30" s="154">
        <v>72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7">
        <v>129</v>
      </c>
      <c r="R30" s="157"/>
      <c r="S30" s="157">
        <v>95200266</v>
      </c>
      <c r="T30" s="45">
        <f t="shared" si="4"/>
        <v>4573</v>
      </c>
      <c r="U30" s="46">
        <f t="shared" si="5"/>
        <v>109.752</v>
      </c>
      <c r="V30" s="46">
        <f t="shared" si="6"/>
        <v>4.5730000000000004</v>
      </c>
      <c r="W30" s="96">
        <v>3.1</v>
      </c>
      <c r="X30" s="96">
        <f t="shared" si="1"/>
        <v>3.1</v>
      </c>
      <c r="Y30" s="97" t="s">
        <v>169</v>
      </c>
      <c r="Z30" s="158">
        <v>1025</v>
      </c>
      <c r="AA30" s="158">
        <v>0</v>
      </c>
      <c r="AB30" s="158">
        <v>0</v>
      </c>
      <c r="AC30" s="158">
        <v>1185</v>
      </c>
      <c r="AD30" s="158">
        <v>1187</v>
      </c>
      <c r="AE30" s="158">
        <v>1185</v>
      </c>
      <c r="AF30" s="47" t="s">
        <v>90</v>
      </c>
      <c r="AG30" s="47" t="s">
        <v>90</v>
      </c>
      <c r="AH30" s="98" t="s">
        <v>90</v>
      </c>
      <c r="AI30" s="103">
        <v>15925688</v>
      </c>
      <c r="AJ30" s="45">
        <f t="shared" si="7"/>
        <v>1196</v>
      </c>
      <c r="AK30" s="48">
        <f>AJ29/V30</f>
        <v>247.53990815657116</v>
      </c>
      <c r="AL30" s="155">
        <v>1</v>
      </c>
      <c r="AM30" s="155">
        <v>0</v>
      </c>
      <c r="AN30" s="155">
        <v>0</v>
      </c>
      <c r="AO30" s="155">
        <v>1</v>
      </c>
      <c r="AP30" s="155">
        <v>1</v>
      </c>
      <c r="AQ30" s="155">
        <v>1</v>
      </c>
      <c r="AR30" s="155">
        <v>0</v>
      </c>
      <c r="AS30" s="158"/>
      <c r="AT30" s="158">
        <f t="shared" si="9"/>
        <v>0</v>
      </c>
      <c r="AU30" s="159">
        <v>1.01</v>
      </c>
      <c r="AV30" s="50" t="s">
        <v>124</v>
      </c>
      <c r="AY30" s="55" t="s">
        <v>114</v>
      </c>
      <c r="AZ30" s="55">
        <v>101.325</v>
      </c>
      <c r="BB30" s="74" t="s">
        <v>143</v>
      </c>
    </row>
    <row r="31" spans="1:54" x14ac:dyDescent="0.35">
      <c r="A31" s="357">
        <v>43241</v>
      </c>
      <c r="B31" s="40">
        <v>2.75</v>
      </c>
      <c r="C31" s="40">
        <v>0.79166666666666896</v>
      </c>
      <c r="D31" s="156">
        <v>3</v>
      </c>
      <c r="E31" s="154">
        <f t="shared" si="2"/>
        <v>2.1126760563380285</v>
      </c>
      <c r="F31" s="154">
        <v>0</v>
      </c>
      <c r="G31" s="118">
        <v>74</v>
      </c>
      <c r="H31" s="154">
        <f t="shared" si="0"/>
        <v>52.112676056338032</v>
      </c>
      <c r="I31" s="154">
        <v>72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7">
        <v>129</v>
      </c>
      <c r="R31" s="157"/>
      <c r="S31" s="157">
        <v>95204602</v>
      </c>
      <c r="T31" s="45">
        <f t="shared" si="4"/>
        <v>4336</v>
      </c>
      <c r="U31" s="46">
        <f t="shared" si="5"/>
        <v>104.06399999999999</v>
      </c>
      <c r="V31" s="46">
        <f t="shared" si="6"/>
        <v>4.3360000000000003</v>
      </c>
      <c r="W31" s="96">
        <v>2.7</v>
      </c>
      <c r="X31" s="96">
        <f t="shared" si="1"/>
        <v>2.7</v>
      </c>
      <c r="Y31" s="97" t="s">
        <v>169</v>
      </c>
      <c r="Z31" s="158">
        <v>1026</v>
      </c>
      <c r="AA31" s="158">
        <v>0</v>
      </c>
      <c r="AB31" s="158">
        <v>0</v>
      </c>
      <c r="AC31" s="158">
        <v>1185</v>
      </c>
      <c r="AD31" s="158">
        <v>1187</v>
      </c>
      <c r="AE31" s="158">
        <v>1185</v>
      </c>
      <c r="AF31" s="47" t="s">
        <v>90</v>
      </c>
      <c r="AG31" s="47" t="s">
        <v>90</v>
      </c>
      <c r="AH31" s="98" t="s">
        <v>90</v>
      </c>
      <c r="AI31" s="103">
        <v>15926856</v>
      </c>
      <c r="AJ31" s="45">
        <f t="shared" si="7"/>
        <v>1168</v>
      </c>
      <c r="AK31" s="48">
        <f t="shared" si="8"/>
        <v>269.37269372693726</v>
      </c>
      <c r="AL31" s="155">
        <v>1</v>
      </c>
      <c r="AM31" s="155">
        <v>0</v>
      </c>
      <c r="AN31" s="155">
        <v>0</v>
      </c>
      <c r="AO31" s="155">
        <v>1</v>
      </c>
      <c r="AP31" s="155">
        <v>1</v>
      </c>
      <c r="AQ31" s="155">
        <v>1</v>
      </c>
      <c r="AR31" s="155">
        <v>0</v>
      </c>
      <c r="AS31" s="158"/>
      <c r="AT31" s="158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357">
        <v>43241</v>
      </c>
      <c r="B32" s="40">
        <v>2.7916666666666701</v>
      </c>
      <c r="C32" s="40">
        <v>0.83333333333333703</v>
      </c>
      <c r="D32" s="156">
        <v>3</v>
      </c>
      <c r="E32" s="154">
        <f t="shared" si="2"/>
        <v>2.1126760563380285</v>
      </c>
      <c r="F32" s="154">
        <v>-2</v>
      </c>
      <c r="G32" s="118">
        <v>74</v>
      </c>
      <c r="H32" s="154">
        <f t="shared" si="0"/>
        <v>52.112676056338032</v>
      </c>
      <c r="I32" s="154">
        <v>71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7">
        <v>128</v>
      </c>
      <c r="R32" s="157"/>
      <c r="S32" s="157">
        <v>95209170</v>
      </c>
      <c r="T32" s="45">
        <f t="shared" si="4"/>
        <v>4568</v>
      </c>
      <c r="U32" s="46">
        <f t="shared" si="5"/>
        <v>109.63200000000001</v>
      </c>
      <c r="V32" s="46">
        <f t="shared" si="6"/>
        <v>4.5679999999999996</v>
      </c>
      <c r="W32" s="96">
        <v>2.2999999999999998</v>
      </c>
      <c r="X32" s="96">
        <f t="shared" si="1"/>
        <v>2.2999999999999998</v>
      </c>
      <c r="Y32" s="97" t="s">
        <v>169</v>
      </c>
      <c r="Z32" s="158">
        <v>1025</v>
      </c>
      <c r="AA32" s="158">
        <v>0</v>
      </c>
      <c r="AB32" s="158">
        <v>0</v>
      </c>
      <c r="AC32" s="158">
        <v>1185</v>
      </c>
      <c r="AD32" s="158">
        <v>1187</v>
      </c>
      <c r="AE32" s="158">
        <v>1185</v>
      </c>
      <c r="AF32" s="47" t="s">
        <v>90</v>
      </c>
      <c r="AG32" s="47" t="s">
        <v>90</v>
      </c>
      <c r="AH32" s="98" t="s">
        <v>90</v>
      </c>
      <c r="AI32" s="103">
        <v>15928011</v>
      </c>
      <c r="AJ32" s="45">
        <f t="shared" si="7"/>
        <v>1155</v>
      </c>
      <c r="AK32" s="48">
        <f t="shared" si="8"/>
        <v>252.84588441331002</v>
      </c>
      <c r="AL32" s="155">
        <v>1</v>
      </c>
      <c r="AM32" s="155">
        <v>0</v>
      </c>
      <c r="AN32" s="155">
        <v>0</v>
      </c>
      <c r="AO32" s="155">
        <v>1</v>
      </c>
      <c r="AP32" s="155">
        <v>1</v>
      </c>
      <c r="AQ32" s="155">
        <v>1</v>
      </c>
      <c r="AR32" s="155">
        <v>0</v>
      </c>
      <c r="AS32" s="158"/>
      <c r="AT32" s="158">
        <v>0</v>
      </c>
      <c r="AU32" s="49"/>
      <c r="AV32" s="50" t="s">
        <v>124</v>
      </c>
      <c r="AY32" s="308" t="s">
        <v>115</v>
      </c>
      <c r="AZ32" s="308"/>
      <c r="BB32" s="74" t="s">
        <v>156</v>
      </c>
    </row>
    <row r="33" spans="1:54" x14ac:dyDescent="0.35">
      <c r="A33" s="357">
        <v>43241</v>
      </c>
      <c r="B33" s="40">
        <v>2.8333333333333299</v>
      </c>
      <c r="C33" s="40">
        <v>0.875</v>
      </c>
      <c r="D33" s="156">
        <v>3</v>
      </c>
      <c r="E33" s="154">
        <f t="shared" si="2"/>
        <v>2.1126760563380285</v>
      </c>
      <c r="F33" s="154">
        <v>-3</v>
      </c>
      <c r="G33" s="118">
        <v>74</v>
      </c>
      <c r="H33" s="154">
        <f t="shared" si="0"/>
        <v>52.112676056338032</v>
      </c>
      <c r="I33" s="154">
        <v>70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7">
        <v>128</v>
      </c>
      <c r="R33" s="157"/>
      <c r="S33" s="157">
        <v>95213791</v>
      </c>
      <c r="T33" s="45">
        <f t="shared" si="4"/>
        <v>4621</v>
      </c>
      <c r="U33" s="46">
        <f t="shared" si="5"/>
        <v>110.904</v>
      </c>
      <c r="V33" s="46">
        <f t="shared" si="6"/>
        <v>4.6210000000000004</v>
      </c>
      <c r="W33" s="96">
        <v>2</v>
      </c>
      <c r="X33" s="96">
        <f t="shared" si="1"/>
        <v>2</v>
      </c>
      <c r="Y33" s="97" t="s">
        <v>169</v>
      </c>
      <c r="Z33" s="158">
        <v>1026</v>
      </c>
      <c r="AA33" s="158">
        <v>0</v>
      </c>
      <c r="AB33" s="158">
        <v>0</v>
      </c>
      <c r="AC33" s="158">
        <v>1185</v>
      </c>
      <c r="AD33" s="158">
        <v>1187</v>
      </c>
      <c r="AE33" s="158">
        <v>1185</v>
      </c>
      <c r="AF33" s="47" t="s">
        <v>90</v>
      </c>
      <c r="AG33" s="47" t="s">
        <v>90</v>
      </c>
      <c r="AH33" s="98" t="s">
        <v>90</v>
      </c>
      <c r="AI33" s="103">
        <v>15929179</v>
      </c>
      <c r="AJ33" s="45">
        <f t="shared" si="7"/>
        <v>1168</v>
      </c>
      <c r="AK33" s="48">
        <f t="shared" si="8"/>
        <v>252.75914304263145</v>
      </c>
      <c r="AL33" s="155">
        <v>1</v>
      </c>
      <c r="AM33" s="155">
        <v>0</v>
      </c>
      <c r="AN33" s="155">
        <v>0</v>
      </c>
      <c r="AO33" s="155">
        <v>1</v>
      </c>
      <c r="AP33" s="155">
        <v>1</v>
      </c>
      <c r="AQ33" s="155">
        <v>1</v>
      </c>
      <c r="AR33" s="155">
        <v>0</v>
      </c>
      <c r="AS33" s="158"/>
      <c r="AT33" s="158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57">
        <v>43241</v>
      </c>
      <c r="B34" s="40">
        <v>2.875</v>
      </c>
      <c r="C34" s="40">
        <v>0.91666666666667096</v>
      </c>
      <c r="D34" s="156">
        <v>3</v>
      </c>
      <c r="E34" s="154">
        <f t="shared" si="2"/>
        <v>2.1126760563380285</v>
      </c>
      <c r="F34" s="154">
        <v>-4</v>
      </c>
      <c r="G34" s="118">
        <v>74</v>
      </c>
      <c r="H34" s="154">
        <f t="shared" si="0"/>
        <v>52.112676056338032</v>
      </c>
      <c r="I34" s="154">
        <v>72</v>
      </c>
      <c r="J34" s="41" t="s">
        <v>88</v>
      </c>
      <c r="K34" s="41">
        <f t="shared" si="3"/>
        <v>48.591549295774648</v>
      </c>
      <c r="L34" s="42">
        <f t="shared" si="13"/>
        <v>50</v>
      </c>
      <c r="M34" s="41">
        <f t="shared" si="12"/>
        <v>54.225352112676056</v>
      </c>
      <c r="N34" s="43">
        <v>14</v>
      </c>
      <c r="O34" s="44" t="s">
        <v>116</v>
      </c>
      <c r="P34" s="44">
        <v>12.6</v>
      </c>
      <c r="Q34" s="157">
        <v>127</v>
      </c>
      <c r="R34" s="157"/>
      <c r="S34" s="157">
        <v>95218583</v>
      </c>
      <c r="T34" s="45">
        <f t="shared" si="4"/>
        <v>4792</v>
      </c>
      <c r="U34" s="46">
        <f t="shared" si="5"/>
        <v>115.008</v>
      </c>
      <c r="V34" s="46">
        <f t="shared" si="6"/>
        <v>4.7919999999999998</v>
      </c>
      <c r="W34" s="96">
        <v>1.6</v>
      </c>
      <c r="X34" s="96">
        <f t="shared" si="1"/>
        <v>1.6</v>
      </c>
      <c r="Y34" s="97" t="s">
        <v>169</v>
      </c>
      <c r="Z34" s="158">
        <v>1014</v>
      </c>
      <c r="AA34" s="158">
        <v>0</v>
      </c>
      <c r="AB34" s="158">
        <v>0</v>
      </c>
      <c r="AC34" s="158">
        <v>1185</v>
      </c>
      <c r="AD34" s="158">
        <v>1187</v>
      </c>
      <c r="AE34" s="158">
        <v>1185</v>
      </c>
      <c r="AF34" s="47" t="s">
        <v>90</v>
      </c>
      <c r="AG34" s="47" t="s">
        <v>90</v>
      </c>
      <c r="AH34" s="98" t="s">
        <v>90</v>
      </c>
      <c r="AI34" s="103">
        <v>15930292</v>
      </c>
      <c r="AJ34" s="45">
        <f t="shared" si="7"/>
        <v>1113</v>
      </c>
      <c r="AK34" s="48">
        <f t="shared" si="8"/>
        <v>232.26210350584307</v>
      </c>
      <c r="AL34" s="155">
        <v>1</v>
      </c>
      <c r="AM34" s="155">
        <v>0</v>
      </c>
      <c r="AN34" s="155">
        <v>0</v>
      </c>
      <c r="AO34" s="155">
        <v>1</v>
      </c>
      <c r="AP34" s="155">
        <v>1</v>
      </c>
      <c r="AQ34" s="155">
        <v>1</v>
      </c>
      <c r="AR34" s="155">
        <v>0</v>
      </c>
      <c r="AS34" s="158"/>
      <c r="AT34" s="158">
        <f>AS34-AS33</f>
        <v>0</v>
      </c>
      <c r="AU34" s="119">
        <v>1.1200000000000001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357">
        <v>43241</v>
      </c>
      <c r="B35" s="40">
        <v>2.9166666666666701</v>
      </c>
      <c r="C35" s="40">
        <v>0.95833333333333803</v>
      </c>
      <c r="D35" s="156">
        <v>3</v>
      </c>
      <c r="E35" s="154">
        <f t="shared" si="2"/>
        <v>2.1126760563380285</v>
      </c>
      <c r="F35" s="154">
        <v>-4</v>
      </c>
      <c r="G35" s="118">
        <v>73</v>
      </c>
      <c r="H35" s="154">
        <f t="shared" si="0"/>
        <v>51.408450704225352</v>
      </c>
      <c r="I35" s="154">
        <v>71</v>
      </c>
      <c r="J35" s="41" t="s">
        <v>88</v>
      </c>
      <c r="K35" s="41">
        <f>L35-(2/1.42)</f>
        <v>46.478873239436624</v>
      </c>
      <c r="L35" s="42">
        <f>(G35-5)/1.42</f>
        <v>47.887323943661976</v>
      </c>
      <c r="M35" s="41">
        <f t="shared" si="12"/>
        <v>52.112676056338032</v>
      </c>
      <c r="N35" s="43">
        <v>14</v>
      </c>
      <c r="O35" s="44" t="s">
        <v>116</v>
      </c>
      <c r="P35" s="44">
        <v>11.9</v>
      </c>
      <c r="Q35" s="157">
        <v>134</v>
      </c>
      <c r="R35" s="157"/>
      <c r="S35" s="157">
        <v>95223297</v>
      </c>
      <c r="T35" s="45">
        <f t="shared" si="4"/>
        <v>4714</v>
      </c>
      <c r="U35" s="46">
        <f t="shared" si="5"/>
        <v>113.136</v>
      </c>
      <c r="V35" s="46">
        <f t="shared" si="6"/>
        <v>4.7140000000000004</v>
      </c>
      <c r="W35" s="96">
        <v>1.8</v>
      </c>
      <c r="X35" s="96">
        <f t="shared" si="1"/>
        <v>1.8</v>
      </c>
      <c r="Y35" s="97" t="s">
        <v>138</v>
      </c>
      <c r="Z35" s="158">
        <v>0</v>
      </c>
      <c r="AA35" s="158">
        <v>0</v>
      </c>
      <c r="AB35" s="158">
        <v>0</v>
      </c>
      <c r="AC35" s="158">
        <v>1185</v>
      </c>
      <c r="AD35" s="158">
        <v>1187</v>
      </c>
      <c r="AE35" s="158">
        <v>1185</v>
      </c>
      <c r="AF35" s="47" t="s">
        <v>90</v>
      </c>
      <c r="AG35" s="47" t="s">
        <v>90</v>
      </c>
      <c r="AH35" s="98" t="s">
        <v>90</v>
      </c>
      <c r="AI35" s="103">
        <v>15931380</v>
      </c>
      <c r="AJ35" s="45">
        <f t="shared" si="7"/>
        <v>1088</v>
      </c>
      <c r="AK35" s="48">
        <f t="shared" si="8"/>
        <v>230.80186677980481</v>
      </c>
      <c r="AL35" s="155">
        <v>0</v>
      </c>
      <c r="AM35" s="155">
        <v>0</v>
      </c>
      <c r="AN35" s="155">
        <v>0</v>
      </c>
      <c r="AO35" s="155">
        <v>1</v>
      </c>
      <c r="AP35" s="155">
        <v>1</v>
      </c>
      <c r="AQ35" s="155">
        <v>1</v>
      </c>
      <c r="AR35" s="155">
        <v>0.3</v>
      </c>
      <c r="AS35" s="158"/>
      <c r="AT35" s="158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357">
        <v>43241</v>
      </c>
      <c r="B36" s="40">
        <v>2.9583333333333299</v>
      </c>
      <c r="C36" s="40">
        <v>1</v>
      </c>
      <c r="D36" s="156">
        <v>3</v>
      </c>
      <c r="E36" s="154">
        <f t="shared" si="2"/>
        <v>2.1126760563380285</v>
      </c>
      <c r="F36" s="154">
        <v>-2</v>
      </c>
      <c r="G36" s="118">
        <v>74</v>
      </c>
      <c r="H36" s="154">
        <f t="shared" si="0"/>
        <v>52.112676056338032</v>
      </c>
      <c r="I36" s="154">
        <v>72</v>
      </c>
      <c r="J36" s="41" t="s">
        <v>88</v>
      </c>
      <c r="K36" s="41">
        <f t="shared" si="3"/>
        <v>47.183098591549296</v>
      </c>
      <c r="L36" s="42">
        <f>(G36-5)/1.42</f>
        <v>48.591549295774648</v>
      </c>
      <c r="M36" s="41">
        <f t="shared" si="12"/>
        <v>52.816901408450704</v>
      </c>
      <c r="N36" s="43">
        <v>14</v>
      </c>
      <c r="O36" s="44" t="s">
        <v>116</v>
      </c>
      <c r="P36" s="58">
        <v>11.5</v>
      </c>
      <c r="Q36" s="157">
        <v>137</v>
      </c>
      <c r="R36" s="157"/>
      <c r="S36" s="157">
        <v>95227412</v>
      </c>
      <c r="T36" s="45">
        <f t="shared" si="4"/>
        <v>4115</v>
      </c>
      <c r="U36" s="46">
        <f t="shared" si="5"/>
        <v>98.76</v>
      </c>
      <c r="V36" s="46">
        <f t="shared" si="6"/>
        <v>4.1150000000000002</v>
      </c>
      <c r="W36" s="96">
        <v>2.6</v>
      </c>
      <c r="X36" s="96">
        <f t="shared" si="1"/>
        <v>2.6</v>
      </c>
      <c r="Y36" s="97" t="s">
        <v>138</v>
      </c>
      <c r="Z36" s="158">
        <v>0</v>
      </c>
      <c r="AA36" s="158">
        <v>0</v>
      </c>
      <c r="AB36" s="158">
        <v>0</v>
      </c>
      <c r="AC36" s="158">
        <v>1185</v>
      </c>
      <c r="AD36" s="158">
        <v>1187</v>
      </c>
      <c r="AE36" s="158">
        <v>1185</v>
      </c>
      <c r="AF36" s="47" t="s">
        <v>90</v>
      </c>
      <c r="AG36" s="47" t="s">
        <v>90</v>
      </c>
      <c r="AH36" s="98" t="s">
        <v>90</v>
      </c>
      <c r="AI36" s="103">
        <v>15932482</v>
      </c>
      <c r="AJ36" s="45">
        <f t="shared" si="7"/>
        <v>1102</v>
      </c>
      <c r="AK36" s="48">
        <f t="shared" si="8"/>
        <v>267.80072904009717</v>
      </c>
      <c r="AL36" s="155">
        <v>0</v>
      </c>
      <c r="AM36" s="155">
        <v>0</v>
      </c>
      <c r="AN36" s="155">
        <v>0</v>
      </c>
      <c r="AO36" s="155">
        <v>1</v>
      </c>
      <c r="AP36" s="155">
        <v>1</v>
      </c>
      <c r="AQ36" s="155">
        <v>1</v>
      </c>
      <c r="AR36" s="155">
        <v>0.3</v>
      </c>
      <c r="AS36" s="158"/>
      <c r="AT36" s="158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73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09" t="s">
        <v>118</v>
      </c>
      <c r="O37" s="310"/>
      <c r="P37" s="311"/>
      <c r="Q37" s="101"/>
      <c r="R37" s="101"/>
      <c r="S37" s="101"/>
      <c r="T37" s="60">
        <f>SUM(T13:T36)</f>
        <v>104969</v>
      </c>
      <c r="U37" s="46">
        <f t="shared" si="5"/>
        <v>2519.2559999999999</v>
      </c>
      <c r="V37" s="46">
        <f t="shared" si="6"/>
        <v>104.96899999999999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27541</v>
      </c>
      <c r="AK37" s="61">
        <f>$AJ$37/$V37</f>
        <v>262.37270051157964</v>
      </c>
      <c r="AL37" s="155"/>
      <c r="AM37" s="155"/>
      <c r="AN37" s="155"/>
      <c r="AO37" s="155"/>
      <c r="AP37" s="155"/>
      <c r="AQ37" s="155"/>
      <c r="AR37" s="62"/>
      <c r="AS37" s="63">
        <f>AS36-AS11</f>
        <v>0</v>
      </c>
      <c r="AT37" s="64">
        <f>SUM(AT13:AT36)</f>
        <v>0</v>
      </c>
      <c r="AU37" s="65">
        <f>AVERAGE(AU13:AU36)</f>
        <v>1.0466666666666666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7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8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8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4"/>
      <c r="D47" s="164"/>
      <c r="E47" s="164"/>
      <c r="F47" s="164"/>
      <c r="G47" s="164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71" t="s">
        <v>246</v>
      </c>
      <c r="C48" s="172"/>
      <c r="D48" s="172"/>
      <c r="E48" s="172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70"/>
      <c r="D49" s="170"/>
      <c r="E49" s="170"/>
      <c r="F49" s="161"/>
      <c r="G49" s="161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163</v>
      </c>
      <c r="C50" s="143"/>
      <c r="D50" s="143"/>
      <c r="E50" s="143"/>
      <c r="F50" s="130"/>
      <c r="G50" s="130"/>
      <c r="H50" s="160"/>
      <c r="I50" s="160"/>
      <c r="J50" s="160"/>
      <c r="K50" s="160"/>
      <c r="L50" s="160"/>
      <c r="M50" s="160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210</v>
      </c>
      <c r="B51" s="115" t="s">
        <v>182</v>
      </c>
      <c r="C51" s="143"/>
      <c r="D51" s="143"/>
      <c r="E51" s="143"/>
      <c r="F51" s="130"/>
      <c r="G51" s="130"/>
      <c r="H51" s="160"/>
      <c r="I51" s="160"/>
      <c r="J51" s="160"/>
      <c r="K51" s="160"/>
      <c r="L51" s="160"/>
      <c r="M51" s="160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247</v>
      </c>
      <c r="C52" s="120"/>
      <c r="D52" s="115"/>
      <c r="E52" s="115"/>
      <c r="F52" s="115"/>
      <c r="G52" s="115"/>
      <c r="H52" s="160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70"/>
      <c r="D53" s="170"/>
      <c r="E53" s="170"/>
      <c r="F53" s="170"/>
      <c r="G53" s="115"/>
      <c r="H53" s="115"/>
      <c r="I53" s="115"/>
      <c r="J53" s="115"/>
      <c r="K53" s="115"/>
      <c r="L53" s="115"/>
      <c r="M53" s="115"/>
      <c r="N53" s="163"/>
      <c r="O53" s="163"/>
      <c r="P53" s="163"/>
      <c r="Q53" s="163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32" t="s">
        <v>170</v>
      </c>
      <c r="C54" s="153"/>
      <c r="D54" s="170"/>
      <c r="E54" s="170"/>
      <c r="F54" s="170"/>
      <c r="G54" s="170"/>
      <c r="H54" s="170"/>
      <c r="I54" s="170"/>
      <c r="J54" s="169"/>
      <c r="K54" s="166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70"/>
      <c r="E55" s="153"/>
      <c r="F55" s="153"/>
      <c r="G55" s="153"/>
      <c r="H55" s="153"/>
      <c r="I55" s="153"/>
      <c r="J55" s="169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172</v>
      </c>
      <c r="C56" s="115"/>
      <c r="D56" s="170"/>
      <c r="E56" s="153"/>
      <c r="F56" s="153"/>
      <c r="G56" s="153"/>
      <c r="H56" s="153"/>
      <c r="I56" s="153"/>
      <c r="J56" s="153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53" t="s">
        <v>216</v>
      </c>
      <c r="C57" s="170"/>
      <c r="D57" s="170"/>
      <c r="E57" s="153"/>
      <c r="F57" s="153"/>
      <c r="G57" s="153"/>
      <c r="H57" s="153"/>
      <c r="I57" s="153"/>
      <c r="J57" s="153"/>
      <c r="K57" s="166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174</v>
      </c>
      <c r="C58" s="170"/>
      <c r="D58" s="170"/>
      <c r="E58" s="115"/>
      <c r="F58" s="115"/>
      <c r="G58" s="115"/>
      <c r="H58" s="115"/>
      <c r="I58" s="153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62" t="s">
        <v>195</v>
      </c>
      <c r="C59" s="170"/>
      <c r="D59" s="170"/>
      <c r="E59" s="153"/>
      <c r="F59" s="153"/>
      <c r="G59" s="153"/>
      <c r="H59" s="153"/>
      <c r="I59" s="153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15"/>
      <c r="C60" s="170"/>
      <c r="D60" s="223"/>
      <c r="E60" s="223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15"/>
      <c r="C61" s="153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32"/>
      <c r="C62" s="115"/>
      <c r="D62" s="100"/>
      <c r="E62" s="100"/>
      <c r="F62" s="115"/>
      <c r="G62" s="115"/>
      <c r="H62" s="92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6"/>
      <c r="E63" s="166"/>
      <c r="F63" s="166"/>
      <c r="G63" s="166"/>
      <c r="H63" s="166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53"/>
      <c r="C64" s="115"/>
      <c r="D64" s="100"/>
      <c r="E64" s="100"/>
      <c r="F64" s="115"/>
      <c r="G64" s="115"/>
      <c r="H64" s="92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6"/>
      <c r="E65" s="166"/>
      <c r="F65" s="166"/>
      <c r="G65" s="166"/>
      <c r="H65" s="166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AV65" s="86"/>
      <c r="AW65" s="86"/>
      <c r="AX65" s="86"/>
      <c r="AY65" s="86"/>
      <c r="AZ65" s="86"/>
      <c r="BA65" s="86"/>
      <c r="BB65" s="86"/>
    </row>
    <row r="66" spans="2:54" x14ac:dyDescent="0.35">
      <c r="B66" s="162"/>
      <c r="C66" s="115"/>
      <c r="D66" s="166"/>
      <c r="E66" s="166"/>
      <c r="F66" s="166"/>
      <c r="G66" s="166"/>
      <c r="H66" s="166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6"/>
      <c r="E67" s="166"/>
      <c r="F67" s="166"/>
      <c r="G67" s="166"/>
      <c r="H67" s="166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H13:I36 E13:F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Q13:Q36 S13:S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B60:B61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R5:W5" name="Range1_16_1_1_1_1_1_1_2_2_2_2_2_2_2_2_2_2_2_2_2_2_2_2_2_2_2_2_2_2_2_1_2_2_2_2_2_2_2_2_2_2_3_2_2_2_2_2_2_2_2_2_2_1_1_1_1_2_2_1_1_1_1_1_1_1_1_1_1_3_1_3_2_1"/>
    <protectedRange sqref="R3:W3" name="Range1_16_1_1_1_1_1_1_2_2_2_2_2_2_2_2_2_2_2_2_2_2_2_2_2_2_2_2_2_2_2_1_2_2_2_2_2_2_2_2_2_2_3_2_2_2_2_2_2_2_2_2_2_1_1_1_1_2_2_1_1_1_1_1_1_1_1_1_1_1_1_1_1_3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4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6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7"/>
    <protectedRange sqref="R4:W4" name="Range1_16_1_1_1_1_1_1_2_2_2_2_2_2_2_2_2_2_2_2_2_2_2_2_2_2_2_2_2_2_2_1_2_2_2_2_2_2_2_2_2_2_3_2_2_2_2_2_2_2_2_2_2_1_1_1_1_2_2_1_1_1_1_1_1_1_1_1_1_1_1_1_1_2_1_2_1_1_1_1_1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186" priority="5" operator="containsText" text="N/A">
      <formula>NOT(ISERROR(SEARCH("N/A",Z13)))</formula>
    </cfRule>
    <cfRule type="cellIs" dxfId="185" priority="17" operator="equal">
      <formula>0</formula>
    </cfRule>
  </conditionalFormatting>
  <conditionalFormatting sqref="Z13:AG36">
    <cfRule type="cellIs" dxfId="184" priority="16" operator="greaterThanOrEqual">
      <formula>1185</formula>
    </cfRule>
  </conditionalFormatting>
  <conditionalFormatting sqref="Z13:AG36">
    <cfRule type="cellIs" dxfId="183" priority="15" operator="between">
      <formula>0.1</formula>
      <formula>1184</formula>
    </cfRule>
  </conditionalFormatting>
  <conditionalFormatting sqref="Z8:Z9 AT13:AT36 AL37:AQ37 AL13:AR36">
    <cfRule type="cellIs" dxfId="182" priority="14" operator="equal">
      <formula>0</formula>
    </cfRule>
  </conditionalFormatting>
  <conditionalFormatting sqref="Z8:Z9 AT13:AT36 AL37:AQ37 AL13:AR36">
    <cfRule type="cellIs" dxfId="181" priority="13" operator="greaterThan">
      <formula>1179</formula>
    </cfRule>
  </conditionalFormatting>
  <conditionalFormatting sqref="Z8:Z9 AT13:AT36 AL37:AQ37 AL13:AR36">
    <cfRule type="cellIs" dxfId="180" priority="12" operator="greaterThan">
      <formula>99</formula>
    </cfRule>
  </conditionalFormatting>
  <conditionalFormatting sqref="Z8:Z9 AT13:AT36 AL37:AQ37 AL13:AR36">
    <cfRule type="cellIs" dxfId="179" priority="11" operator="greaterThan">
      <formula>0.99</formula>
    </cfRule>
  </conditionalFormatting>
  <conditionalFormatting sqref="AD8:AD9">
    <cfRule type="cellIs" dxfId="178" priority="10" operator="equal">
      <formula>0</formula>
    </cfRule>
  </conditionalFormatting>
  <conditionalFormatting sqref="AD8:AD9">
    <cfRule type="cellIs" dxfId="177" priority="9" operator="greaterThan">
      <formula>1179</formula>
    </cfRule>
  </conditionalFormatting>
  <conditionalFormatting sqref="AD8:AD9">
    <cfRule type="cellIs" dxfId="176" priority="8" operator="greaterThan">
      <formula>99</formula>
    </cfRule>
  </conditionalFormatting>
  <conditionalFormatting sqref="AD8:AD9">
    <cfRule type="cellIs" dxfId="175" priority="7" operator="greaterThan">
      <formula>0.99</formula>
    </cfRule>
  </conditionalFormatting>
  <conditionalFormatting sqref="AK13:AK36">
    <cfRule type="cellIs" dxfId="174" priority="6" operator="greaterThan">
      <formula>$AK$8</formula>
    </cfRule>
  </conditionalFormatting>
  <conditionalFormatting sqref="AS13:AS36">
    <cfRule type="containsText" dxfId="173" priority="1" operator="containsText" text="N/A">
      <formula>NOT(ISERROR(SEARCH("N/A",AS13)))</formula>
    </cfRule>
    <cfRule type="cellIs" dxfId="172" priority="4" operator="equal">
      <formula>0</formula>
    </cfRule>
  </conditionalFormatting>
  <conditionalFormatting sqref="AS13:AS36">
    <cfRule type="cellIs" dxfId="171" priority="3" operator="greaterThanOrEqual">
      <formula>1185</formula>
    </cfRule>
  </conditionalFormatting>
  <conditionalFormatting sqref="AS13:AS36">
    <cfRule type="cellIs" dxfId="170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400-000000000000}">
      <formula1>$BB$11:$BB$42</formula1>
    </dataValidation>
    <dataValidation type="list" allowBlank="1" showInputMessage="1" showErrorMessage="1" sqref="AY33:AZ33" xr:uid="{00000000-0002-0000-1400-000001000000}">
      <formula1>$AY$26:$AY$30</formula1>
    </dataValidation>
    <dataValidation type="list" allowBlank="1" showInputMessage="1" showErrorMessage="1" sqref="AS8:AT9 P11:P12 N11:N12 D8:E9 Q8:V9" xr:uid="{00000000-0002-0000-1400-000002000000}">
      <formula1>#REF!</formula1>
    </dataValidation>
    <dataValidation type="list" allowBlank="1" showInputMessage="1" showErrorMessage="1" sqref="J13:J36" xr:uid="{00000000-0002-0000-1400-000003000000}">
      <formula1>$AY$11:$AY$21</formula1>
    </dataValidation>
  </dataValidations>
  <hyperlinks>
    <hyperlink ref="J10:J11" location="'1'!AH8" display="Plant Status" xr:uid="{00000000-0004-0000-1400-000000000000}"/>
  </hyperlinks>
  <pageMargins left="0.7" right="0.7" top="0.75" bottom="0.75" header="0.3" footer="0.3"/>
  <pageSetup paperSize="9" orientation="portrait" horizontalDpi="4294967293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>
    <tabColor rgb="FF7030A0"/>
  </sheetPr>
  <dimension ref="A2:BB88"/>
  <sheetViews>
    <sheetView topLeftCell="A31" zoomScaleNormal="100" workbookViewId="0">
      <selection activeCell="F12" sqref="F12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47" t="s">
        <v>145</v>
      </c>
      <c r="S3" s="348"/>
      <c r="T3" s="348"/>
      <c r="U3" s="348"/>
      <c r="V3" s="348"/>
      <c r="W3" s="34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47" t="s">
        <v>134</v>
      </c>
      <c r="S4" s="348"/>
      <c r="T4" s="348"/>
      <c r="U4" s="348"/>
      <c r="V4" s="348"/>
      <c r="W4" s="34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47" t="s">
        <v>158</v>
      </c>
      <c r="S5" s="348"/>
      <c r="T5" s="348"/>
      <c r="U5" s="348"/>
      <c r="V5" s="348"/>
      <c r="W5" s="34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50" t="s">
        <v>6</v>
      </c>
      <c r="C6" s="351"/>
      <c r="D6" s="352" t="s">
        <v>7</v>
      </c>
      <c r="E6" s="353"/>
      <c r="F6" s="353"/>
      <c r="G6" s="353"/>
      <c r="H6" s="353"/>
      <c r="I6" s="353"/>
      <c r="J6" s="354"/>
      <c r="K6" s="87"/>
      <c r="L6" s="87"/>
      <c r="M6" s="270"/>
      <c r="N6" s="355">
        <v>41686</v>
      </c>
      <c r="O6" s="356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37" t="s">
        <v>8</v>
      </c>
      <c r="C7" s="338"/>
      <c r="D7" s="337" t="s">
        <v>9</v>
      </c>
      <c r="E7" s="339"/>
      <c r="F7" s="339"/>
      <c r="G7" s="339"/>
      <c r="H7" s="339"/>
      <c r="I7" s="338"/>
      <c r="J7" s="260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60" t="s">
        <v>14</v>
      </c>
      <c r="R7" s="337" t="s">
        <v>15</v>
      </c>
      <c r="S7" s="339"/>
      <c r="T7" s="339"/>
      <c r="U7" s="339"/>
      <c r="V7" s="338"/>
      <c r="W7" s="337" t="s">
        <v>16</v>
      </c>
      <c r="X7" s="338"/>
      <c r="Y7" s="99" t="s">
        <v>17</v>
      </c>
      <c r="Z7" s="337" t="s">
        <v>18</v>
      </c>
      <c r="AA7" s="338"/>
      <c r="AB7" s="337" t="s">
        <v>19</v>
      </c>
      <c r="AC7" s="338"/>
      <c r="AD7" s="337" t="s">
        <v>20</v>
      </c>
      <c r="AE7" s="338"/>
      <c r="AF7" s="337" t="s">
        <v>21</v>
      </c>
      <c r="AG7" s="338"/>
      <c r="AH7" s="99" t="s">
        <v>22</v>
      </c>
      <c r="AI7" s="99" t="s">
        <v>23</v>
      </c>
      <c r="AJ7" s="99" t="s">
        <v>24</v>
      </c>
      <c r="AK7" s="99" t="s">
        <v>25</v>
      </c>
      <c r="AL7" s="337" t="s">
        <v>26</v>
      </c>
      <c r="AM7" s="339"/>
      <c r="AN7" s="339"/>
      <c r="AO7" s="339"/>
      <c r="AP7" s="339"/>
      <c r="AQ7" s="338"/>
      <c r="AR7" s="337" t="s">
        <v>27</v>
      </c>
      <c r="AS7" s="339"/>
      <c r="AT7" s="33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40">
        <v>43242</v>
      </c>
      <c r="C8" s="341"/>
      <c r="D8" s="342" t="s">
        <v>29</v>
      </c>
      <c r="E8" s="343"/>
      <c r="F8" s="343"/>
      <c r="G8" s="343"/>
      <c r="H8" s="343"/>
      <c r="I8" s="344"/>
      <c r="J8" s="28"/>
      <c r="K8" s="342" t="s">
        <v>29</v>
      </c>
      <c r="L8" s="343"/>
      <c r="M8" s="34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42" t="s">
        <v>33</v>
      </c>
      <c r="X8" s="344"/>
      <c r="Y8" s="30" t="s">
        <v>34</v>
      </c>
      <c r="Z8" s="326">
        <v>0</v>
      </c>
      <c r="AA8" s="327"/>
      <c r="AB8" s="345" t="s">
        <v>35</v>
      </c>
      <c r="AC8" s="346"/>
      <c r="AD8" s="326">
        <v>1185</v>
      </c>
      <c r="AE8" s="327"/>
      <c r="AF8" s="328">
        <v>800</v>
      </c>
      <c r="AG8" s="329"/>
      <c r="AH8" s="28"/>
      <c r="AI8" s="30">
        <f>AI36-AI11</f>
        <v>27558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1"/>
      <c r="C9" s="262"/>
      <c r="D9" s="263"/>
      <c r="E9" s="264"/>
      <c r="F9" s="264"/>
      <c r="G9" s="264"/>
      <c r="H9" s="264"/>
      <c r="I9" s="265"/>
      <c r="J9" s="121"/>
      <c r="K9" s="263"/>
      <c r="L9" s="264"/>
      <c r="M9" s="265"/>
      <c r="N9" s="29"/>
      <c r="O9" s="29"/>
      <c r="P9" s="29"/>
      <c r="Q9" s="121"/>
      <c r="R9" s="121"/>
      <c r="S9" s="121"/>
      <c r="T9" s="122"/>
      <c r="U9" s="123"/>
      <c r="V9" s="124"/>
      <c r="W9" s="263"/>
      <c r="X9" s="265"/>
      <c r="Y9" s="30"/>
      <c r="Z9" s="266"/>
      <c r="AA9" s="125"/>
      <c r="AB9" s="126"/>
      <c r="AC9" s="126"/>
      <c r="AD9" s="125"/>
      <c r="AE9" s="125"/>
      <c r="AF9" s="127"/>
      <c r="AG9" s="267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30" t="s">
        <v>39</v>
      </c>
      <c r="C10" s="331"/>
      <c r="D10" s="330" t="s">
        <v>40</v>
      </c>
      <c r="E10" s="332"/>
      <c r="F10" s="331"/>
      <c r="G10" s="330" t="s">
        <v>41</v>
      </c>
      <c r="H10" s="332"/>
      <c r="I10" s="331"/>
      <c r="J10" s="333" t="s">
        <v>42</v>
      </c>
      <c r="K10" s="330" t="s">
        <v>43</v>
      </c>
      <c r="L10" s="332"/>
      <c r="M10" s="331"/>
      <c r="N10" s="99" t="s">
        <v>44</v>
      </c>
      <c r="O10" s="335" t="s">
        <v>45</v>
      </c>
      <c r="P10" s="33" t="s">
        <v>46</v>
      </c>
      <c r="Q10" s="324" t="s">
        <v>47</v>
      </c>
      <c r="R10" s="324" t="s">
        <v>48</v>
      </c>
      <c r="S10" s="34" t="s">
        <v>49</v>
      </c>
      <c r="T10" s="312" t="s">
        <v>50</v>
      </c>
      <c r="U10" s="313"/>
      <c r="V10" s="314"/>
      <c r="W10" s="271" t="s">
        <v>51</v>
      </c>
      <c r="X10" s="271" t="s">
        <v>52</v>
      </c>
      <c r="Y10" s="318" t="s">
        <v>53</v>
      </c>
      <c r="Z10" s="319" t="s">
        <v>54</v>
      </c>
      <c r="AA10" s="320"/>
      <c r="AB10" s="320"/>
      <c r="AC10" s="320"/>
      <c r="AD10" s="320"/>
      <c r="AE10" s="320"/>
      <c r="AF10" s="320"/>
      <c r="AG10" s="321"/>
      <c r="AH10" s="269" t="s">
        <v>55</v>
      </c>
      <c r="AI10" s="269" t="s">
        <v>56</v>
      </c>
      <c r="AJ10" s="307" t="s">
        <v>57</v>
      </c>
      <c r="AK10" s="322" t="s">
        <v>58</v>
      </c>
      <c r="AL10" s="271" t="s">
        <v>59</v>
      </c>
      <c r="AM10" s="271" t="s">
        <v>60</v>
      </c>
      <c r="AN10" s="271" t="s">
        <v>61</v>
      </c>
      <c r="AO10" s="271" t="s">
        <v>62</v>
      </c>
      <c r="AP10" s="271" t="s">
        <v>63</v>
      </c>
      <c r="AQ10" s="271" t="s">
        <v>123</v>
      </c>
      <c r="AR10" s="271" t="s">
        <v>64</v>
      </c>
      <c r="AS10" s="271" t="s">
        <v>65</v>
      </c>
      <c r="AT10" s="324" t="s">
        <v>66</v>
      </c>
      <c r="AU10" s="271" t="s">
        <v>67</v>
      </c>
      <c r="AV10" s="30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71" t="s">
        <v>72</v>
      </c>
      <c r="C11" s="271" t="s">
        <v>73</v>
      </c>
      <c r="D11" s="271" t="s">
        <v>74</v>
      </c>
      <c r="E11" s="271" t="s">
        <v>75</v>
      </c>
      <c r="F11" s="271" t="s">
        <v>126</v>
      </c>
      <c r="G11" s="271" t="s">
        <v>74</v>
      </c>
      <c r="H11" s="271" t="s">
        <v>75</v>
      </c>
      <c r="I11" s="271" t="s">
        <v>126</v>
      </c>
      <c r="J11" s="334"/>
      <c r="K11" s="271" t="s">
        <v>75</v>
      </c>
      <c r="L11" s="271" t="s">
        <v>75</v>
      </c>
      <c r="M11" s="271" t="s">
        <v>75</v>
      </c>
      <c r="N11" s="28" t="s">
        <v>29</v>
      </c>
      <c r="O11" s="336"/>
      <c r="P11" s="28" t="s">
        <v>29</v>
      </c>
      <c r="Q11" s="325"/>
      <c r="R11" s="325"/>
      <c r="S11" s="1">
        <f>'MAY 21'!S36</f>
        <v>95227412</v>
      </c>
      <c r="T11" s="315"/>
      <c r="U11" s="316"/>
      <c r="V11" s="317"/>
      <c r="W11" s="271" t="s">
        <v>75</v>
      </c>
      <c r="X11" s="271" t="s">
        <v>75</v>
      </c>
      <c r="Y11" s="31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'MAY 21'!AI36</f>
        <v>15932482</v>
      </c>
      <c r="AJ11" s="307"/>
      <c r="AK11" s="323"/>
      <c r="AL11" s="271" t="s">
        <v>84</v>
      </c>
      <c r="AM11" s="271" t="s">
        <v>84</v>
      </c>
      <c r="AN11" s="271" t="s">
        <v>84</v>
      </c>
      <c r="AO11" s="271" t="s">
        <v>84</v>
      </c>
      <c r="AP11" s="271" t="s">
        <v>84</v>
      </c>
      <c r="AQ11" s="271" t="s">
        <v>84</v>
      </c>
      <c r="AR11" s="271" t="s">
        <v>84</v>
      </c>
      <c r="AS11" s="1"/>
      <c r="AT11" s="325"/>
      <c r="AU11" s="268" t="s">
        <v>85</v>
      </c>
      <c r="AV11" s="307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283</v>
      </c>
      <c r="B12" s="305" t="s">
        <v>284</v>
      </c>
      <c r="C12" s="305" t="s">
        <v>285</v>
      </c>
      <c r="D12" s="305" t="s">
        <v>286</v>
      </c>
      <c r="E12" s="305" t="s">
        <v>287</v>
      </c>
      <c r="F12" s="305" t="s">
        <v>288</v>
      </c>
      <c r="G12" s="305" t="s">
        <v>289</v>
      </c>
      <c r="H12" s="305" t="s">
        <v>290</v>
      </c>
      <c r="I12" s="305" t="s">
        <v>291</v>
      </c>
      <c r="J12" s="297" t="s">
        <v>292</v>
      </c>
      <c r="K12" s="305" t="s">
        <v>293</v>
      </c>
      <c r="L12" s="305" t="s">
        <v>294</v>
      </c>
      <c r="M12" s="305" t="s">
        <v>295</v>
      </c>
      <c r="N12" s="28" t="s">
        <v>296</v>
      </c>
      <c r="O12" s="298" t="s">
        <v>297</v>
      </c>
      <c r="P12" s="28" t="s">
        <v>298</v>
      </c>
      <c r="Q12" s="300" t="s">
        <v>299</v>
      </c>
      <c r="R12" s="300" t="s">
        <v>300</v>
      </c>
      <c r="S12" s="1" t="s">
        <v>301</v>
      </c>
      <c r="T12" s="302" t="s">
        <v>302</v>
      </c>
      <c r="U12" s="303" t="s">
        <v>303</v>
      </c>
      <c r="V12" s="304" t="s">
        <v>304</v>
      </c>
      <c r="W12" s="305" t="s">
        <v>305</v>
      </c>
      <c r="X12" s="305" t="s">
        <v>306</v>
      </c>
      <c r="Y12" s="305" t="s">
        <v>307</v>
      </c>
      <c r="Z12" s="37" t="s">
        <v>308</v>
      </c>
      <c r="AA12" s="37" t="s">
        <v>309</v>
      </c>
      <c r="AB12" s="37" t="s">
        <v>310</v>
      </c>
      <c r="AC12" s="37" t="s">
        <v>311</v>
      </c>
      <c r="AD12" s="37" t="s">
        <v>312</v>
      </c>
      <c r="AE12" s="37" t="s">
        <v>313</v>
      </c>
      <c r="AF12" s="37" t="s">
        <v>314</v>
      </c>
      <c r="AG12" s="37" t="s">
        <v>315</v>
      </c>
      <c r="AH12" s="38" t="s">
        <v>316</v>
      </c>
      <c r="AI12" s="1" t="s">
        <v>317</v>
      </c>
      <c r="AJ12" s="301" t="s">
        <v>318</v>
      </c>
      <c r="AK12" s="306" t="s">
        <v>319</v>
      </c>
      <c r="AL12" s="305" t="s">
        <v>320</v>
      </c>
      <c r="AM12" s="305" t="s">
        <v>321</v>
      </c>
      <c r="AN12" s="305" t="s">
        <v>322</v>
      </c>
      <c r="AO12" s="305" t="s">
        <v>323</v>
      </c>
      <c r="AP12" s="305" t="s">
        <v>324</v>
      </c>
      <c r="AQ12" s="305" t="s">
        <v>325</v>
      </c>
      <c r="AR12" s="305" t="s">
        <v>326</v>
      </c>
      <c r="AS12" s="1" t="s">
        <v>327</v>
      </c>
      <c r="AT12" s="300" t="s">
        <v>328</v>
      </c>
      <c r="AU12" s="299" t="s">
        <v>329</v>
      </c>
      <c r="AV12" s="301"/>
      <c r="AY12" s="39"/>
      <c r="AZ12" s="39"/>
      <c r="BB12" s="136"/>
    </row>
    <row r="13" spans="1:54" x14ac:dyDescent="0.35">
      <c r="A13" s="357">
        <v>43242</v>
      </c>
      <c r="B13" s="40">
        <v>2</v>
      </c>
      <c r="C13" s="40">
        <v>4.1666666666666664E-2</v>
      </c>
      <c r="D13" s="156">
        <v>3</v>
      </c>
      <c r="E13" s="154">
        <f>D13/1.42</f>
        <v>2.1126760563380285</v>
      </c>
      <c r="F13" s="154">
        <v>1</v>
      </c>
      <c r="G13" s="118">
        <v>72</v>
      </c>
      <c r="H13" s="154">
        <f t="shared" ref="H13:H36" si="0">G13/1.42</f>
        <v>50.70422535211268</v>
      </c>
      <c r="I13" s="154">
        <v>72</v>
      </c>
      <c r="J13" s="41" t="s">
        <v>88</v>
      </c>
      <c r="K13" s="41">
        <f>L13-(2/1.42)</f>
        <v>45.774647887323944</v>
      </c>
      <c r="L13" s="42">
        <f>(G13-5)/1.42</f>
        <v>47.183098591549296</v>
      </c>
      <c r="M13" s="41">
        <f>L13+(6/1.42)</f>
        <v>51.408450704225352</v>
      </c>
      <c r="N13" s="43">
        <v>14</v>
      </c>
      <c r="O13" s="44" t="s">
        <v>89</v>
      </c>
      <c r="P13" s="44">
        <v>11.4</v>
      </c>
      <c r="Q13" s="157">
        <v>139</v>
      </c>
      <c r="R13" s="157"/>
      <c r="S13" s="157">
        <v>95231563</v>
      </c>
      <c r="T13" s="45">
        <f>IF(ISBLANK(S13),"-",S13-S11)</f>
        <v>4151</v>
      </c>
      <c r="U13" s="46">
        <f>T13*24/1000</f>
        <v>99.623999999999995</v>
      </c>
      <c r="V13" s="46">
        <f>T13/1000</f>
        <v>4.1509999999999998</v>
      </c>
      <c r="W13" s="96">
        <v>3.9</v>
      </c>
      <c r="X13" s="96">
        <f t="shared" ref="X13:X36" si="1">W13</f>
        <v>3.9</v>
      </c>
      <c r="Y13" s="97" t="s">
        <v>138</v>
      </c>
      <c r="Z13" s="158">
        <v>0</v>
      </c>
      <c r="AA13" s="158">
        <v>0</v>
      </c>
      <c r="AB13" s="158">
        <v>0</v>
      </c>
      <c r="AC13" s="158">
        <v>1185</v>
      </c>
      <c r="AD13" s="158">
        <v>1187</v>
      </c>
      <c r="AE13" s="158">
        <v>1185</v>
      </c>
      <c r="AF13" s="47" t="s">
        <v>90</v>
      </c>
      <c r="AG13" s="47" t="s">
        <v>90</v>
      </c>
      <c r="AH13" s="98" t="s">
        <v>90</v>
      </c>
      <c r="AI13" s="103">
        <v>15933599</v>
      </c>
      <c r="AJ13" s="45">
        <f>IF(ISBLANK(AI13),"-",AI13-AI11)</f>
        <v>1117</v>
      </c>
      <c r="AK13" s="48">
        <f>AJ13/V13</f>
        <v>269.09178511202123</v>
      </c>
      <c r="AL13" s="155">
        <v>0</v>
      </c>
      <c r="AM13" s="155">
        <v>0</v>
      </c>
      <c r="AN13" s="155">
        <v>0</v>
      </c>
      <c r="AO13" s="155">
        <v>1</v>
      </c>
      <c r="AP13" s="155">
        <v>1</v>
      </c>
      <c r="AQ13" s="155">
        <v>1</v>
      </c>
      <c r="AR13" s="155">
        <v>0.8</v>
      </c>
      <c r="AS13" s="158"/>
      <c r="AT13" s="158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357">
        <v>43242</v>
      </c>
      <c r="B14" s="40">
        <v>2.0416666666666701</v>
      </c>
      <c r="C14" s="40">
        <v>8.3333333333333329E-2</v>
      </c>
      <c r="D14" s="156">
        <v>3</v>
      </c>
      <c r="E14" s="154">
        <f t="shared" ref="E14:E36" si="2">D14/1.42</f>
        <v>2.1126760563380285</v>
      </c>
      <c r="F14" s="154">
        <v>2</v>
      </c>
      <c r="G14" s="118">
        <v>73</v>
      </c>
      <c r="H14" s="154">
        <f t="shared" si="0"/>
        <v>51.408450704225352</v>
      </c>
      <c r="I14" s="154">
        <v>72</v>
      </c>
      <c r="J14" s="41" t="s">
        <v>88</v>
      </c>
      <c r="K14" s="41">
        <f t="shared" ref="K14:K36" si="3">L14-(2/1.42)</f>
        <v>46.478873239436624</v>
      </c>
      <c r="L14" s="42">
        <f>(G14-5)/1.42</f>
        <v>47.887323943661976</v>
      </c>
      <c r="M14" s="41">
        <f>L14+(6/1.42)</f>
        <v>52.112676056338032</v>
      </c>
      <c r="N14" s="43">
        <v>14</v>
      </c>
      <c r="O14" s="44" t="s">
        <v>89</v>
      </c>
      <c r="P14" s="44">
        <v>11.2</v>
      </c>
      <c r="Q14" s="157">
        <v>140</v>
      </c>
      <c r="R14" s="157"/>
      <c r="S14" s="157">
        <v>95235679</v>
      </c>
      <c r="T14" s="45">
        <f t="shared" ref="T14:T36" si="4">IF(ISBLANK(S14),"-",S14-S13)</f>
        <v>4116</v>
      </c>
      <c r="U14" s="46">
        <f t="shared" ref="U14:U37" si="5">T14*24/1000</f>
        <v>98.784000000000006</v>
      </c>
      <c r="V14" s="46">
        <f t="shared" ref="V14:V37" si="6">T14/1000</f>
        <v>4.1159999999999997</v>
      </c>
      <c r="W14" s="96">
        <v>5</v>
      </c>
      <c r="X14" s="96">
        <f t="shared" si="1"/>
        <v>5</v>
      </c>
      <c r="Y14" s="97" t="s">
        <v>138</v>
      </c>
      <c r="Z14" s="158">
        <v>0</v>
      </c>
      <c r="AA14" s="158">
        <v>0</v>
      </c>
      <c r="AB14" s="158">
        <v>0</v>
      </c>
      <c r="AC14" s="158">
        <v>1185</v>
      </c>
      <c r="AD14" s="158">
        <v>1187</v>
      </c>
      <c r="AE14" s="158">
        <v>1185</v>
      </c>
      <c r="AF14" s="47" t="s">
        <v>90</v>
      </c>
      <c r="AG14" s="47" t="s">
        <v>90</v>
      </c>
      <c r="AH14" s="98" t="s">
        <v>90</v>
      </c>
      <c r="AI14" s="103">
        <v>15934703</v>
      </c>
      <c r="AJ14" s="45">
        <f t="shared" ref="AJ14:AJ36" si="7">IF(ISBLANK(AI14),"-",AI14-AI13)</f>
        <v>1104</v>
      </c>
      <c r="AK14" s="48">
        <f t="shared" ref="AK14:AK36" si="8">AJ14/V14</f>
        <v>268.22157434402334</v>
      </c>
      <c r="AL14" s="155">
        <v>0</v>
      </c>
      <c r="AM14" s="155">
        <v>0</v>
      </c>
      <c r="AN14" s="155">
        <v>0</v>
      </c>
      <c r="AO14" s="155">
        <v>1</v>
      </c>
      <c r="AP14" s="155">
        <v>1</v>
      </c>
      <c r="AQ14" s="155">
        <v>1</v>
      </c>
      <c r="AR14" s="155">
        <v>0.8</v>
      </c>
      <c r="AS14" s="158"/>
      <c r="AT14" s="158">
        <f t="shared" ref="AT14:AT35" si="9">AS14-AS13</f>
        <v>0</v>
      </c>
      <c r="AU14" s="119">
        <v>0.96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57">
        <v>43242</v>
      </c>
      <c r="B15" s="40">
        <v>2.0833333333333299</v>
      </c>
      <c r="C15" s="40">
        <v>0.125</v>
      </c>
      <c r="D15" s="156">
        <v>3</v>
      </c>
      <c r="E15" s="154">
        <f t="shared" si="2"/>
        <v>2.1126760563380285</v>
      </c>
      <c r="F15" s="154">
        <v>4</v>
      </c>
      <c r="G15" s="118">
        <v>73</v>
      </c>
      <c r="H15" s="154">
        <f t="shared" si="0"/>
        <v>51.408450704225352</v>
      </c>
      <c r="I15" s="154">
        <v>72</v>
      </c>
      <c r="J15" s="41" t="s">
        <v>88</v>
      </c>
      <c r="K15" s="41">
        <f t="shared" si="3"/>
        <v>46.478873239436624</v>
      </c>
      <c r="L15" s="42">
        <f>(G15-5)/1.42</f>
        <v>47.887323943661976</v>
      </c>
      <c r="M15" s="41">
        <f>L15+(6/1.42)</f>
        <v>52.112676056338032</v>
      </c>
      <c r="N15" s="43">
        <v>14</v>
      </c>
      <c r="O15" s="44" t="s">
        <v>89</v>
      </c>
      <c r="P15" s="44">
        <v>11.2</v>
      </c>
      <c r="Q15" s="157">
        <v>142</v>
      </c>
      <c r="R15" s="157"/>
      <c r="S15" s="157">
        <v>95239716</v>
      </c>
      <c r="T15" s="45">
        <f>IF(ISBLANK(S15),"-",S15-S14)</f>
        <v>4037</v>
      </c>
      <c r="U15" s="46">
        <f t="shared" si="5"/>
        <v>96.888000000000005</v>
      </c>
      <c r="V15" s="46">
        <f t="shared" si="6"/>
        <v>4.0369999999999999</v>
      </c>
      <c r="W15" s="96">
        <v>6.5</v>
      </c>
      <c r="X15" s="96">
        <f t="shared" si="1"/>
        <v>6.5</v>
      </c>
      <c r="Y15" s="97" t="s">
        <v>138</v>
      </c>
      <c r="Z15" s="158">
        <v>0</v>
      </c>
      <c r="AA15" s="158">
        <v>0</v>
      </c>
      <c r="AB15" s="158">
        <v>0</v>
      </c>
      <c r="AC15" s="158">
        <v>1185</v>
      </c>
      <c r="AD15" s="158">
        <v>1187</v>
      </c>
      <c r="AE15" s="158">
        <v>1185</v>
      </c>
      <c r="AF15" s="47" t="s">
        <v>90</v>
      </c>
      <c r="AG15" s="47" t="s">
        <v>90</v>
      </c>
      <c r="AH15" s="98" t="s">
        <v>90</v>
      </c>
      <c r="AI15" s="103">
        <v>15935789</v>
      </c>
      <c r="AJ15" s="45">
        <f t="shared" si="7"/>
        <v>1086</v>
      </c>
      <c r="AK15" s="48">
        <f t="shared" si="8"/>
        <v>269.01164230864504</v>
      </c>
      <c r="AL15" s="155">
        <v>0</v>
      </c>
      <c r="AM15" s="155">
        <v>0</v>
      </c>
      <c r="AN15" s="155">
        <v>0</v>
      </c>
      <c r="AO15" s="155">
        <v>1</v>
      </c>
      <c r="AP15" s="155">
        <v>1</v>
      </c>
      <c r="AQ15" s="155">
        <v>1</v>
      </c>
      <c r="AR15" s="155">
        <v>0.8</v>
      </c>
      <c r="AS15" s="158"/>
      <c r="AT15" s="158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357">
        <v>43242</v>
      </c>
      <c r="B16" s="40">
        <v>2.125</v>
      </c>
      <c r="C16" s="40">
        <v>0.16666666666666699</v>
      </c>
      <c r="D16" s="156">
        <v>3</v>
      </c>
      <c r="E16" s="154">
        <f t="shared" si="2"/>
        <v>2.1126760563380285</v>
      </c>
      <c r="F16" s="154">
        <v>6</v>
      </c>
      <c r="G16" s="118">
        <v>70</v>
      </c>
      <c r="H16" s="154">
        <f t="shared" si="0"/>
        <v>49.295774647887328</v>
      </c>
      <c r="I16" s="154">
        <v>69</v>
      </c>
      <c r="J16" s="41" t="s">
        <v>88</v>
      </c>
      <c r="K16" s="41">
        <f t="shared" si="3"/>
        <v>44.366197183098592</v>
      </c>
      <c r="L16" s="42">
        <f>(G16-5)/1.42</f>
        <v>45.774647887323944</v>
      </c>
      <c r="M16" s="41">
        <f>L16+(6/1.42)</f>
        <v>50</v>
      </c>
      <c r="N16" s="43">
        <v>14</v>
      </c>
      <c r="O16" s="44" t="s">
        <v>89</v>
      </c>
      <c r="P16" s="44">
        <v>12.8</v>
      </c>
      <c r="Q16" s="157">
        <v>145</v>
      </c>
      <c r="R16" s="157"/>
      <c r="S16" s="157">
        <v>95243849</v>
      </c>
      <c r="T16" s="45">
        <f t="shared" si="4"/>
        <v>4133</v>
      </c>
      <c r="U16" s="46">
        <f t="shared" si="5"/>
        <v>99.191999999999993</v>
      </c>
      <c r="V16" s="46">
        <f t="shared" si="6"/>
        <v>4.133</v>
      </c>
      <c r="W16" s="96">
        <v>8</v>
      </c>
      <c r="X16" s="96">
        <f t="shared" si="1"/>
        <v>8</v>
      </c>
      <c r="Y16" s="97" t="s">
        <v>138</v>
      </c>
      <c r="Z16" s="158">
        <v>0</v>
      </c>
      <c r="AA16" s="158">
        <v>0</v>
      </c>
      <c r="AB16" s="158">
        <v>0</v>
      </c>
      <c r="AC16" s="158">
        <v>1185</v>
      </c>
      <c r="AD16" s="158">
        <v>1187</v>
      </c>
      <c r="AE16" s="158">
        <v>1185</v>
      </c>
      <c r="AF16" s="47" t="s">
        <v>90</v>
      </c>
      <c r="AG16" s="47" t="s">
        <v>90</v>
      </c>
      <c r="AH16" s="98" t="s">
        <v>90</v>
      </c>
      <c r="AI16" s="103">
        <v>15936904</v>
      </c>
      <c r="AJ16" s="45">
        <f t="shared" si="7"/>
        <v>1115</v>
      </c>
      <c r="AK16" s="48">
        <f t="shared" si="8"/>
        <v>269.7798209533027</v>
      </c>
      <c r="AL16" s="155">
        <v>0</v>
      </c>
      <c r="AM16" s="155">
        <v>0</v>
      </c>
      <c r="AN16" s="155">
        <v>0</v>
      </c>
      <c r="AO16" s="155">
        <v>1</v>
      </c>
      <c r="AP16" s="155">
        <v>1</v>
      </c>
      <c r="AQ16" s="155">
        <v>1</v>
      </c>
      <c r="AR16" s="155">
        <v>0.8</v>
      </c>
      <c r="AS16" s="158"/>
      <c r="AT16" s="158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357">
        <v>43242</v>
      </c>
      <c r="B17" s="40">
        <v>2.1666666666666701</v>
      </c>
      <c r="C17" s="40">
        <v>0.20833333333333301</v>
      </c>
      <c r="D17" s="156">
        <v>3</v>
      </c>
      <c r="E17" s="154">
        <f t="shared" si="2"/>
        <v>2.1126760563380285</v>
      </c>
      <c r="F17" s="154">
        <v>7</v>
      </c>
      <c r="G17" s="118">
        <v>81</v>
      </c>
      <c r="H17" s="154">
        <f t="shared" si="0"/>
        <v>57.04225352112676</v>
      </c>
      <c r="I17" s="154">
        <v>80</v>
      </c>
      <c r="J17" s="41" t="s">
        <v>88</v>
      </c>
      <c r="K17" s="41">
        <f t="shared" si="3"/>
        <v>52.112676056338032</v>
      </c>
      <c r="L17" s="42">
        <f>(G17-5)/1.42</f>
        <v>53.521126760563384</v>
      </c>
      <c r="M17" s="41">
        <f>L17+(6/1.42)</f>
        <v>57.74647887323944</v>
      </c>
      <c r="N17" s="43">
        <v>18</v>
      </c>
      <c r="O17" s="44" t="s">
        <v>89</v>
      </c>
      <c r="P17" s="44">
        <v>13.1</v>
      </c>
      <c r="Q17" s="157">
        <v>128</v>
      </c>
      <c r="R17" s="157"/>
      <c r="S17" s="157">
        <v>95248261</v>
      </c>
      <c r="T17" s="45">
        <f t="shared" si="4"/>
        <v>4412</v>
      </c>
      <c r="U17" s="46">
        <f t="shared" si="5"/>
        <v>105.88800000000001</v>
      </c>
      <c r="V17" s="46">
        <f t="shared" si="6"/>
        <v>4.4119999999999999</v>
      </c>
      <c r="W17" s="96">
        <v>9.5</v>
      </c>
      <c r="X17" s="96">
        <f t="shared" si="1"/>
        <v>9.5</v>
      </c>
      <c r="Y17" s="97" t="s">
        <v>138</v>
      </c>
      <c r="Z17" s="158">
        <v>0</v>
      </c>
      <c r="AA17" s="158">
        <v>0</v>
      </c>
      <c r="AB17" s="158">
        <v>0</v>
      </c>
      <c r="AC17" s="158">
        <v>1185</v>
      </c>
      <c r="AD17" s="158">
        <v>1187</v>
      </c>
      <c r="AE17" s="158">
        <v>1185</v>
      </c>
      <c r="AF17" s="47" t="s">
        <v>90</v>
      </c>
      <c r="AG17" s="47" t="s">
        <v>90</v>
      </c>
      <c r="AH17" s="98" t="s">
        <v>90</v>
      </c>
      <c r="AI17" s="103">
        <v>15938007</v>
      </c>
      <c r="AJ17" s="45">
        <f t="shared" si="7"/>
        <v>1103</v>
      </c>
      <c r="AK17" s="48">
        <f t="shared" si="8"/>
        <v>250</v>
      </c>
      <c r="AL17" s="155">
        <v>0</v>
      </c>
      <c r="AM17" s="155">
        <v>0</v>
      </c>
      <c r="AN17" s="155">
        <v>0</v>
      </c>
      <c r="AO17" s="155">
        <v>1</v>
      </c>
      <c r="AP17" s="155">
        <v>1</v>
      </c>
      <c r="AQ17" s="155">
        <v>1</v>
      </c>
      <c r="AR17" s="155">
        <v>0</v>
      </c>
      <c r="AS17" s="158"/>
      <c r="AT17" s="158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57">
        <v>43242</v>
      </c>
      <c r="B18" s="40">
        <v>2.2083333333333299</v>
      </c>
      <c r="C18" s="40">
        <v>0.25</v>
      </c>
      <c r="D18" s="156">
        <v>3</v>
      </c>
      <c r="E18" s="154">
        <f t="shared" si="2"/>
        <v>2.1126760563380285</v>
      </c>
      <c r="F18" s="154">
        <v>7</v>
      </c>
      <c r="G18" s="118">
        <v>76</v>
      </c>
      <c r="H18" s="154">
        <f t="shared" si="0"/>
        <v>53.521126760563384</v>
      </c>
      <c r="I18" s="154">
        <v>80</v>
      </c>
      <c r="J18" s="41" t="s">
        <v>88</v>
      </c>
      <c r="K18" s="41">
        <f t="shared" si="3"/>
        <v>52.112676056338032</v>
      </c>
      <c r="L18" s="42">
        <f t="shared" ref="L18:L27" si="10">G18/1.42</f>
        <v>53.521126760563384</v>
      </c>
      <c r="M18" s="41">
        <f>L18+1.42</f>
        <v>54.941126760563385</v>
      </c>
      <c r="N18" s="43">
        <v>19</v>
      </c>
      <c r="O18" s="44" t="s">
        <v>100</v>
      </c>
      <c r="P18" s="44">
        <v>13.1</v>
      </c>
      <c r="Q18" s="157">
        <v>139</v>
      </c>
      <c r="R18" s="157"/>
      <c r="S18" s="157">
        <v>95253086</v>
      </c>
      <c r="T18" s="45">
        <f t="shared" si="4"/>
        <v>4825</v>
      </c>
      <c r="U18" s="46">
        <f t="shared" si="5"/>
        <v>115.8</v>
      </c>
      <c r="V18" s="46">
        <f t="shared" si="6"/>
        <v>4.8250000000000002</v>
      </c>
      <c r="W18" s="96">
        <v>9.5</v>
      </c>
      <c r="X18" s="96">
        <f t="shared" si="1"/>
        <v>9.5</v>
      </c>
      <c r="Y18" s="97" t="s">
        <v>138</v>
      </c>
      <c r="Z18" s="158">
        <v>0</v>
      </c>
      <c r="AA18" s="158">
        <v>0</v>
      </c>
      <c r="AB18" s="158">
        <v>0</v>
      </c>
      <c r="AC18" s="158">
        <v>1185</v>
      </c>
      <c r="AD18" s="158">
        <v>1187</v>
      </c>
      <c r="AE18" s="158">
        <v>1185</v>
      </c>
      <c r="AF18" s="47" t="s">
        <v>90</v>
      </c>
      <c r="AG18" s="47" t="s">
        <v>90</v>
      </c>
      <c r="AH18" s="98" t="s">
        <v>90</v>
      </c>
      <c r="AI18" s="103">
        <v>15939182</v>
      </c>
      <c r="AJ18" s="45">
        <f t="shared" si="7"/>
        <v>1175</v>
      </c>
      <c r="AK18" s="48">
        <f t="shared" si="8"/>
        <v>243.52331606217615</v>
      </c>
      <c r="AL18" s="155">
        <v>0</v>
      </c>
      <c r="AM18" s="155">
        <v>0</v>
      </c>
      <c r="AN18" s="155">
        <v>0</v>
      </c>
      <c r="AO18" s="155">
        <v>1</v>
      </c>
      <c r="AP18" s="155">
        <v>1</v>
      </c>
      <c r="AQ18" s="155">
        <v>1</v>
      </c>
      <c r="AR18" s="155">
        <v>0</v>
      </c>
      <c r="AS18" s="158"/>
      <c r="AT18" s="158">
        <f t="shared" si="9"/>
        <v>0</v>
      </c>
      <c r="AU18" s="119">
        <v>1.04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57">
        <v>43242</v>
      </c>
      <c r="B19" s="40">
        <v>2.25</v>
      </c>
      <c r="C19" s="40">
        <v>0.29166666666666669</v>
      </c>
      <c r="D19" s="156">
        <v>3</v>
      </c>
      <c r="E19" s="154">
        <f t="shared" si="2"/>
        <v>2.1126760563380285</v>
      </c>
      <c r="F19" s="154">
        <v>6</v>
      </c>
      <c r="G19" s="118">
        <v>78</v>
      </c>
      <c r="H19" s="154">
        <f t="shared" si="0"/>
        <v>54.929577464788736</v>
      </c>
      <c r="I19" s="154">
        <v>78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7">
        <v>132</v>
      </c>
      <c r="R19" s="157"/>
      <c r="S19" s="157">
        <v>95258766</v>
      </c>
      <c r="T19" s="45">
        <f t="shared" si="4"/>
        <v>5680</v>
      </c>
      <c r="U19" s="46">
        <f t="shared" si="5"/>
        <v>136.32</v>
      </c>
      <c r="V19" s="46">
        <f t="shared" si="6"/>
        <v>5.68</v>
      </c>
      <c r="W19" s="96">
        <v>9.1</v>
      </c>
      <c r="X19" s="96">
        <f t="shared" si="1"/>
        <v>9.1</v>
      </c>
      <c r="Y19" s="97" t="s">
        <v>169</v>
      </c>
      <c r="Z19" s="158">
        <v>0</v>
      </c>
      <c r="AA19" s="158">
        <v>1027</v>
      </c>
      <c r="AB19" s="158">
        <v>0</v>
      </c>
      <c r="AC19" s="158">
        <v>1185</v>
      </c>
      <c r="AD19" s="158">
        <v>1187</v>
      </c>
      <c r="AE19" s="158">
        <v>1185</v>
      </c>
      <c r="AF19" s="47" t="s">
        <v>90</v>
      </c>
      <c r="AG19" s="47" t="s">
        <v>90</v>
      </c>
      <c r="AH19" s="98" t="s">
        <v>90</v>
      </c>
      <c r="AI19" s="103">
        <v>15940450</v>
      </c>
      <c r="AJ19" s="45">
        <f t="shared" si="7"/>
        <v>1268</v>
      </c>
      <c r="AK19" s="48">
        <f t="shared" si="8"/>
        <v>223.23943661971833</v>
      </c>
      <c r="AL19" s="155">
        <v>0</v>
      </c>
      <c r="AM19" s="155">
        <v>1</v>
      </c>
      <c r="AN19" s="155">
        <v>0</v>
      </c>
      <c r="AO19" s="155">
        <v>1</v>
      </c>
      <c r="AP19" s="155">
        <v>1</v>
      </c>
      <c r="AQ19" s="155">
        <v>1</v>
      </c>
      <c r="AR19" s="155">
        <v>0</v>
      </c>
      <c r="AS19" s="158"/>
      <c r="AT19" s="158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57">
        <v>43242</v>
      </c>
      <c r="B20" s="40">
        <v>2.2916666666666701</v>
      </c>
      <c r="C20" s="40">
        <v>0.33333333333333298</v>
      </c>
      <c r="D20" s="156">
        <v>3</v>
      </c>
      <c r="E20" s="154">
        <f t="shared" si="2"/>
        <v>2.1126760563380285</v>
      </c>
      <c r="F20" s="154">
        <v>6</v>
      </c>
      <c r="G20" s="118">
        <v>77</v>
      </c>
      <c r="H20" s="154">
        <f t="shared" si="0"/>
        <v>54.225352112676056</v>
      </c>
      <c r="I20" s="154">
        <v>78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7">
        <v>130</v>
      </c>
      <c r="R20" s="157"/>
      <c r="S20" s="157">
        <v>95262808</v>
      </c>
      <c r="T20" s="45">
        <f t="shared" si="4"/>
        <v>4042</v>
      </c>
      <c r="U20" s="46">
        <f>T20*24/1000</f>
        <v>97.007999999999996</v>
      </c>
      <c r="V20" s="46">
        <f t="shared" si="6"/>
        <v>4.0419999999999998</v>
      </c>
      <c r="W20" s="96">
        <v>8.6</v>
      </c>
      <c r="X20" s="96">
        <f t="shared" si="1"/>
        <v>8.6</v>
      </c>
      <c r="Y20" s="97" t="s">
        <v>169</v>
      </c>
      <c r="Z20" s="158">
        <v>0</v>
      </c>
      <c r="AA20" s="158">
        <v>1028</v>
      </c>
      <c r="AB20" s="158">
        <v>0</v>
      </c>
      <c r="AC20" s="158">
        <v>1185</v>
      </c>
      <c r="AD20" s="158">
        <v>1187</v>
      </c>
      <c r="AE20" s="158">
        <v>1185</v>
      </c>
      <c r="AF20" s="47" t="s">
        <v>90</v>
      </c>
      <c r="AG20" s="47" t="s">
        <v>90</v>
      </c>
      <c r="AH20" s="98" t="s">
        <v>90</v>
      </c>
      <c r="AI20" s="103">
        <v>15941498</v>
      </c>
      <c r="AJ20" s="45">
        <f t="shared" si="7"/>
        <v>1048</v>
      </c>
      <c r="AK20" s="48">
        <f t="shared" si="8"/>
        <v>259.27758535378524</v>
      </c>
      <c r="AL20" s="155">
        <v>0</v>
      </c>
      <c r="AM20" s="155">
        <v>1</v>
      </c>
      <c r="AN20" s="155">
        <v>0</v>
      </c>
      <c r="AO20" s="155">
        <v>1</v>
      </c>
      <c r="AP20" s="155">
        <v>1</v>
      </c>
      <c r="AQ20" s="155">
        <v>1</v>
      </c>
      <c r="AR20" s="155">
        <v>0</v>
      </c>
      <c r="AS20" s="158"/>
      <c r="AT20" s="158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357">
        <v>43242</v>
      </c>
      <c r="B21" s="40">
        <v>2.3333333333333299</v>
      </c>
      <c r="C21" s="40">
        <v>0.375</v>
      </c>
      <c r="D21" s="156">
        <v>3</v>
      </c>
      <c r="E21" s="154">
        <f t="shared" si="2"/>
        <v>2.1126760563380285</v>
      </c>
      <c r="F21" s="154">
        <v>5</v>
      </c>
      <c r="G21" s="118">
        <v>76</v>
      </c>
      <c r="H21" s="154">
        <f t="shared" si="0"/>
        <v>53.521126760563384</v>
      </c>
      <c r="I21" s="154">
        <v>78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7">
        <v>131</v>
      </c>
      <c r="R21" s="157"/>
      <c r="S21" s="157">
        <v>95267386</v>
      </c>
      <c r="T21" s="45">
        <f t="shared" si="4"/>
        <v>4578</v>
      </c>
      <c r="U21" s="46">
        <f t="shared" si="5"/>
        <v>109.872</v>
      </c>
      <c r="V21" s="46">
        <f t="shared" si="6"/>
        <v>4.5780000000000003</v>
      </c>
      <c r="W21" s="96">
        <v>8</v>
      </c>
      <c r="X21" s="96">
        <f t="shared" si="1"/>
        <v>8</v>
      </c>
      <c r="Y21" s="97" t="s">
        <v>169</v>
      </c>
      <c r="Z21" s="158">
        <v>0</v>
      </c>
      <c r="AA21" s="158">
        <v>1027</v>
      </c>
      <c r="AB21" s="158">
        <v>0</v>
      </c>
      <c r="AC21" s="158">
        <v>1185</v>
      </c>
      <c r="AD21" s="158">
        <v>1187</v>
      </c>
      <c r="AE21" s="158">
        <v>1185</v>
      </c>
      <c r="AF21" s="47" t="s">
        <v>90</v>
      </c>
      <c r="AG21" s="47" t="s">
        <v>90</v>
      </c>
      <c r="AH21" s="98" t="s">
        <v>90</v>
      </c>
      <c r="AI21" s="103">
        <v>15942654</v>
      </c>
      <c r="AJ21" s="45">
        <f t="shared" si="7"/>
        <v>1156</v>
      </c>
      <c r="AK21" s="48">
        <f t="shared" si="8"/>
        <v>252.51201397990388</v>
      </c>
      <c r="AL21" s="155">
        <v>0</v>
      </c>
      <c r="AM21" s="155">
        <v>1</v>
      </c>
      <c r="AN21" s="155">
        <v>0</v>
      </c>
      <c r="AO21" s="155">
        <v>1</v>
      </c>
      <c r="AP21" s="155">
        <v>1</v>
      </c>
      <c r="AQ21" s="155">
        <v>1</v>
      </c>
      <c r="AR21" s="155">
        <v>0</v>
      </c>
      <c r="AS21" s="158"/>
      <c r="AT21" s="158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205</v>
      </c>
    </row>
    <row r="22" spans="1:54" x14ac:dyDescent="0.35">
      <c r="A22" s="357">
        <v>43242</v>
      </c>
      <c r="B22" s="40">
        <v>2.375</v>
      </c>
      <c r="C22" s="40">
        <v>0.41666666666666669</v>
      </c>
      <c r="D22" s="156">
        <v>3</v>
      </c>
      <c r="E22" s="154">
        <f t="shared" si="2"/>
        <v>2.1126760563380285</v>
      </c>
      <c r="F22" s="154">
        <v>5</v>
      </c>
      <c r="G22" s="118">
        <v>76</v>
      </c>
      <c r="H22" s="154">
        <f t="shared" si="0"/>
        <v>53.521126760563384</v>
      </c>
      <c r="I22" s="154">
        <v>76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7">
        <v>132</v>
      </c>
      <c r="R22" s="157"/>
      <c r="S22" s="157">
        <v>95271302</v>
      </c>
      <c r="T22" s="45">
        <f t="shared" si="4"/>
        <v>3916</v>
      </c>
      <c r="U22" s="46">
        <f t="shared" si="5"/>
        <v>93.983999999999995</v>
      </c>
      <c r="V22" s="46">
        <f t="shared" si="6"/>
        <v>3.9159999999999999</v>
      </c>
      <c r="W22" s="96">
        <v>7.2</v>
      </c>
      <c r="X22" s="96">
        <f t="shared" si="1"/>
        <v>7.2</v>
      </c>
      <c r="Y22" s="97" t="s">
        <v>169</v>
      </c>
      <c r="Z22" s="158">
        <v>0</v>
      </c>
      <c r="AA22" s="158">
        <v>1027</v>
      </c>
      <c r="AB22" s="158">
        <v>0</v>
      </c>
      <c r="AC22" s="158">
        <v>1185</v>
      </c>
      <c r="AD22" s="158">
        <v>1187</v>
      </c>
      <c r="AE22" s="158">
        <v>1185</v>
      </c>
      <c r="AF22" s="47" t="s">
        <v>90</v>
      </c>
      <c r="AG22" s="47" t="s">
        <v>90</v>
      </c>
      <c r="AH22" s="98" t="s">
        <v>90</v>
      </c>
      <c r="AI22" s="103">
        <v>15943868</v>
      </c>
      <c r="AJ22" s="45">
        <f t="shared" si="7"/>
        <v>1214</v>
      </c>
      <c r="AK22" s="48">
        <f t="shared" si="8"/>
        <v>310.01021450459655</v>
      </c>
      <c r="AL22" s="155">
        <v>0</v>
      </c>
      <c r="AM22" s="155">
        <v>1</v>
      </c>
      <c r="AN22" s="155">
        <v>0</v>
      </c>
      <c r="AO22" s="155">
        <v>1</v>
      </c>
      <c r="AP22" s="155">
        <v>1</v>
      </c>
      <c r="AQ22" s="155">
        <v>1</v>
      </c>
      <c r="AR22" s="155">
        <v>0</v>
      </c>
      <c r="AS22" s="158"/>
      <c r="AT22" s="158">
        <f t="shared" si="9"/>
        <v>0</v>
      </c>
      <c r="AU22" s="119">
        <v>1.08</v>
      </c>
      <c r="AV22" s="50" t="s">
        <v>125</v>
      </c>
      <c r="BB22" s="136" t="s">
        <v>157</v>
      </c>
    </row>
    <row r="23" spans="1:54" x14ac:dyDescent="0.35">
      <c r="A23" s="357">
        <v>43242</v>
      </c>
      <c r="B23" s="40">
        <v>2.4166666666666701</v>
      </c>
      <c r="C23" s="40">
        <v>0.45833333333333298</v>
      </c>
      <c r="D23" s="156">
        <v>3</v>
      </c>
      <c r="E23" s="154">
        <f t="shared" si="2"/>
        <v>2.1126760563380285</v>
      </c>
      <c r="F23" s="154">
        <v>4</v>
      </c>
      <c r="G23" s="118">
        <v>75</v>
      </c>
      <c r="H23" s="154">
        <f t="shared" si="0"/>
        <v>52.816901408450704</v>
      </c>
      <c r="I23" s="154">
        <v>72</v>
      </c>
      <c r="J23" s="41" t="s">
        <v>88</v>
      </c>
      <c r="K23" s="41">
        <f t="shared" si="3"/>
        <v>51.408450704225352</v>
      </c>
      <c r="L23" s="42">
        <f t="shared" si="10"/>
        <v>52.816901408450704</v>
      </c>
      <c r="M23" s="41">
        <f t="shared" si="11"/>
        <v>54.236901408450706</v>
      </c>
      <c r="N23" s="43">
        <v>19</v>
      </c>
      <c r="O23" s="44" t="s">
        <v>100</v>
      </c>
      <c r="P23" s="44">
        <v>17.7</v>
      </c>
      <c r="Q23" s="157">
        <v>130</v>
      </c>
      <c r="R23" s="157"/>
      <c r="S23" s="157">
        <v>95275134</v>
      </c>
      <c r="T23" s="45">
        <f t="shared" si="4"/>
        <v>3832</v>
      </c>
      <c r="U23" s="46">
        <f t="shared" si="5"/>
        <v>91.968000000000004</v>
      </c>
      <c r="V23" s="46">
        <f t="shared" si="6"/>
        <v>3.8319999999999999</v>
      </c>
      <c r="W23" s="96">
        <v>6.4</v>
      </c>
      <c r="X23" s="96">
        <f>W23</f>
        <v>6.4</v>
      </c>
      <c r="Y23" s="97" t="s">
        <v>169</v>
      </c>
      <c r="Z23" s="158">
        <v>0</v>
      </c>
      <c r="AA23" s="158">
        <v>1026</v>
      </c>
      <c r="AB23" s="158">
        <v>0</v>
      </c>
      <c r="AC23" s="158">
        <v>1185</v>
      </c>
      <c r="AD23" s="158">
        <v>1187</v>
      </c>
      <c r="AE23" s="158">
        <v>1185</v>
      </c>
      <c r="AF23" s="47" t="s">
        <v>90</v>
      </c>
      <c r="AG23" s="47" t="s">
        <v>90</v>
      </c>
      <c r="AH23" s="98" t="s">
        <v>90</v>
      </c>
      <c r="AI23" s="103">
        <v>15945074</v>
      </c>
      <c r="AJ23" s="45">
        <f t="shared" si="7"/>
        <v>1206</v>
      </c>
      <c r="AK23" s="48">
        <f t="shared" si="8"/>
        <v>314.71816283924846</v>
      </c>
      <c r="AL23" s="155">
        <v>0</v>
      </c>
      <c r="AM23" s="155">
        <v>1</v>
      </c>
      <c r="AN23" s="155">
        <v>0</v>
      </c>
      <c r="AO23" s="155">
        <v>1</v>
      </c>
      <c r="AP23" s="155">
        <v>1</v>
      </c>
      <c r="AQ23" s="155">
        <v>1</v>
      </c>
      <c r="AR23" s="155">
        <v>0</v>
      </c>
      <c r="AS23" s="158"/>
      <c r="AT23" s="158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357">
        <v>43242</v>
      </c>
      <c r="B24" s="40">
        <v>2.4583333333333299</v>
      </c>
      <c r="C24" s="40">
        <v>0.5</v>
      </c>
      <c r="D24" s="156">
        <v>3</v>
      </c>
      <c r="E24" s="154">
        <f t="shared" si="2"/>
        <v>2.1126760563380285</v>
      </c>
      <c r="F24" s="154">
        <v>4</v>
      </c>
      <c r="G24" s="118">
        <v>75</v>
      </c>
      <c r="H24" s="154">
        <f t="shared" si="0"/>
        <v>52.816901408450704</v>
      </c>
      <c r="I24" s="154">
        <v>72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7">
        <v>127</v>
      </c>
      <c r="R24" s="157"/>
      <c r="S24" s="157">
        <v>95278816</v>
      </c>
      <c r="T24" s="45">
        <f t="shared" si="4"/>
        <v>3682</v>
      </c>
      <c r="U24" s="46">
        <f>T24*24/1000</f>
        <v>88.367999999999995</v>
      </c>
      <c r="V24" s="46">
        <f t="shared" si="6"/>
        <v>3.6819999999999999</v>
      </c>
      <c r="W24" s="96">
        <v>6.2</v>
      </c>
      <c r="X24" s="96">
        <f t="shared" si="1"/>
        <v>6.2</v>
      </c>
      <c r="Y24" s="97" t="s">
        <v>169</v>
      </c>
      <c r="Z24" s="158">
        <v>0</v>
      </c>
      <c r="AA24" s="158">
        <v>1047</v>
      </c>
      <c r="AB24" s="158">
        <v>0</v>
      </c>
      <c r="AC24" s="158">
        <v>1185</v>
      </c>
      <c r="AD24" s="158">
        <v>1187</v>
      </c>
      <c r="AE24" s="158">
        <v>1185</v>
      </c>
      <c r="AF24" s="47" t="s">
        <v>90</v>
      </c>
      <c r="AG24" s="47" t="s">
        <v>90</v>
      </c>
      <c r="AH24" s="98" t="s">
        <v>90</v>
      </c>
      <c r="AI24" s="103">
        <v>15946214</v>
      </c>
      <c r="AJ24" s="45">
        <f t="shared" si="7"/>
        <v>1140</v>
      </c>
      <c r="AK24" s="48">
        <f t="shared" si="8"/>
        <v>309.61434003259097</v>
      </c>
      <c r="AL24" s="155">
        <v>0</v>
      </c>
      <c r="AM24" s="155">
        <v>1</v>
      </c>
      <c r="AN24" s="155">
        <v>0</v>
      </c>
      <c r="AO24" s="155">
        <v>1</v>
      </c>
      <c r="AP24" s="155">
        <v>1</v>
      </c>
      <c r="AQ24" s="155">
        <v>1</v>
      </c>
      <c r="AR24" s="155">
        <v>0</v>
      </c>
      <c r="AS24" s="158"/>
      <c r="AT24" s="158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357">
        <v>43242</v>
      </c>
      <c r="B25" s="40">
        <v>2.5</v>
      </c>
      <c r="C25" s="40">
        <v>0.54166666666666696</v>
      </c>
      <c r="D25" s="156">
        <v>3</v>
      </c>
      <c r="E25" s="154">
        <f t="shared" si="2"/>
        <v>2.1126760563380285</v>
      </c>
      <c r="F25" s="154">
        <v>3</v>
      </c>
      <c r="G25" s="118">
        <v>75</v>
      </c>
      <c r="H25" s="154">
        <f t="shared" si="0"/>
        <v>52.816901408450704</v>
      </c>
      <c r="I25" s="154">
        <v>72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7">
        <v>126</v>
      </c>
      <c r="R25" s="157"/>
      <c r="S25" s="157">
        <v>95283394</v>
      </c>
      <c r="T25" s="45">
        <f t="shared" si="4"/>
        <v>4578</v>
      </c>
      <c r="U25" s="46">
        <f>T25*24/1000</f>
        <v>109.872</v>
      </c>
      <c r="V25" s="46">
        <f t="shared" si="6"/>
        <v>4.5780000000000003</v>
      </c>
      <c r="W25" s="96">
        <v>5.4</v>
      </c>
      <c r="X25" s="96">
        <f t="shared" si="1"/>
        <v>5.4</v>
      </c>
      <c r="Y25" s="97" t="s">
        <v>169</v>
      </c>
      <c r="Z25" s="158">
        <v>0</v>
      </c>
      <c r="AA25" s="158">
        <v>1046</v>
      </c>
      <c r="AB25" s="158">
        <v>0</v>
      </c>
      <c r="AC25" s="158">
        <v>1185</v>
      </c>
      <c r="AD25" s="158">
        <v>1187</v>
      </c>
      <c r="AE25" s="158">
        <v>1185</v>
      </c>
      <c r="AF25" s="47" t="s">
        <v>90</v>
      </c>
      <c r="AG25" s="47" t="s">
        <v>90</v>
      </c>
      <c r="AH25" s="98" t="s">
        <v>90</v>
      </c>
      <c r="AI25" s="103">
        <v>15947511</v>
      </c>
      <c r="AJ25" s="45">
        <f t="shared" si="7"/>
        <v>1297</v>
      </c>
      <c r="AK25" s="48">
        <f t="shared" si="8"/>
        <v>283.31148973350804</v>
      </c>
      <c r="AL25" s="155">
        <v>0</v>
      </c>
      <c r="AM25" s="155">
        <v>1</v>
      </c>
      <c r="AN25" s="155">
        <v>0</v>
      </c>
      <c r="AO25" s="155">
        <v>1</v>
      </c>
      <c r="AP25" s="155">
        <v>1</v>
      </c>
      <c r="AQ25" s="155">
        <v>1</v>
      </c>
      <c r="AR25" s="155">
        <v>0</v>
      </c>
      <c r="AS25" s="158"/>
      <c r="AT25" s="158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57">
        <v>43242</v>
      </c>
      <c r="B26" s="40">
        <v>2.5416666666666701</v>
      </c>
      <c r="C26" s="40">
        <v>0.58333333333333404</v>
      </c>
      <c r="D26" s="156">
        <v>3</v>
      </c>
      <c r="E26" s="154">
        <f t="shared" si="2"/>
        <v>2.1126760563380285</v>
      </c>
      <c r="F26" s="154">
        <v>3</v>
      </c>
      <c r="G26" s="118">
        <v>74</v>
      </c>
      <c r="H26" s="154">
        <f t="shared" si="0"/>
        <v>52.112676056338032</v>
      </c>
      <c r="I26" s="154">
        <v>72</v>
      </c>
      <c r="J26" s="41" t="s">
        <v>88</v>
      </c>
      <c r="K26" s="41">
        <f t="shared" si="3"/>
        <v>50.70422535211268</v>
      </c>
      <c r="L26" s="42">
        <f t="shared" si="10"/>
        <v>52.112676056338032</v>
      </c>
      <c r="M26" s="41">
        <f t="shared" ref="M26:M36" si="12">L26+(6/1.42)</f>
        <v>56.338028169014088</v>
      </c>
      <c r="N26" s="43">
        <v>18</v>
      </c>
      <c r="O26" s="44" t="s">
        <v>100</v>
      </c>
      <c r="P26" s="44">
        <v>17.3</v>
      </c>
      <c r="Q26" s="157">
        <v>127</v>
      </c>
      <c r="R26" s="157"/>
      <c r="S26" s="157">
        <v>95286904</v>
      </c>
      <c r="T26" s="45">
        <f t="shared" si="4"/>
        <v>3510</v>
      </c>
      <c r="U26" s="46">
        <f t="shared" si="5"/>
        <v>84.24</v>
      </c>
      <c r="V26" s="46">
        <f t="shared" si="6"/>
        <v>3.51</v>
      </c>
      <c r="W26" s="96">
        <v>4.9000000000000004</v>
      </c>
      <c r="X26" s="96">
        <f t="shared" si="1"/>
        <v>4.9000000000000004</v>
      </c>
      <c r="Y26" s="97" t="s">
        <v>169</v>
      </c>
      <c r="Z26" s="158">
        <v>0</v>
      </c>
      <c r="AA26" s="158">
        <v>1027</v>
      </c>
      <c r="AB26" s="158">
        <v>0</v>
      </c>
      <c r="AC26" s="158">
        <v>1185</v>
      </c>
      <c r="AD26" s="158">
        <v>1187</v>
      </c>
      <c r="AE26" s="158">
        <v>1185</v>
      </c>
      <c r="AF26" s="47" t="s">
        <v>90</v>
      </c>
      <c r="AG26" s="47" t="s">
        <v>90</v>
      </c>
      <c r="AH26" s="98" t="s">
        <v>90</v>
      </c>
      <c r="AI26" s="103">
        <v>15948521</v>
      </c>
      <c r="AJ26" s="45">
        <f t="shared" si="7"/>
        <v>1010</v>
      </c>
      <c r="AK26" s="48">
        <f t="shared" si="8"/>
        <v>287.74928774928776</v>
      </c>
      <c r="AL26" s="155">
        <v>0</v>
      </c>
      <c r="AM26" s="155">
        <v>1</v>
      </c>
      <c r="AN26" s="155">
        <v>0</v>
      </c>
      <c r="AO26" s="155">
        <v>1</v>
      </c>
      <c r="AP26" s="155">
        <v>1</v>
      </c>
      <c r="AQ26" s="155">
        <v>1</v>
      </c>
      <c r="AR26" s="155">
        <v>0</v>
      </c>
      <c r="AS26" s="158"/>
      <c r="AT26" s="158">
        <f t="shared" si="9"/>
        <v>0</v>
      </c>
      <c r="AU26" s="119">
        <v>1.05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57">
        <v>43242</v>
      </c>
      <c r="B27" s="40">
        <v>2.5833333333333299</v>
      </c>
      <c r="C27" s="40">
        <v>0.625</v>
      </c>
      <c r="D27" s="156">
        <v>3</v>
      </c>
      <c r="E27" s="154">
        <f t="shared" si="2"/>
        <v>2.1126760563380285</v>
      </c>
      <c r="F27" s="154">
        <v>2</v>
      </c>
      <c r="G27" s="118">
        <v>75</v>
      </c>
      <c r="H27" s="154">
        <f>G27/1.42</f>
        <v>52.816901408450704</v>
      </c>
      <c r="I27" s="154">
        <v>73</v>
      </c>
      <c r="J27" s="41" t="s">
        <v>88</v>
      </c>
      <c r="K27" s="41">
        <f t="shared" si="3"/>
        <v>51.408450704225352</v>
      </c>
      <c r="L27" s="42">
        <f t="shared" si="10"/>
        <v>52.816901408450704</v>
      </c>
      <c r="M27" s="41">
        <f t="shared" si="12"/>
        <v>57.04225352112676</v>
      </c>
      <c r="N27" s="43">
        <v>18</v>
      </c>
      <c r="O27" s="44" t="s">
        <v>100</v>
      </c>
      <c r="P27" s="44">
        <v>16.899999999999999</v>
      </c>
      <c r="Q27" s="157">
        <v>129</v>
      </c>
      <c r="R27" s="157"/>
      <c r="S27" s="157">
        <v>95291087</v>
      </c>
      <c r="T27" s="45">
        <f t="shared" si="4"/>
        <v>4183</v>
      </c>
      <c r="U27" s="46">
        <f t="shared" si="5"/>
        <v>100.392</v>
      </c>
      <c r="V27" s="46">
        <f t="shared" si="6"/>
        <v>4.1829999999999998</v>
      </c>
      <c r="W27" s="96">
        <v>4.4000000000000004</v>
      </c>
      <c r="X27" s="96">
        <f t="shared" si="1"/>
        <v>4.4000000000000004</v>
      </c>
      <c r="Y27" s="97" t="s">
        <v>169</v>
      </c>
      <c r="Z27" s="158">
        <v>0</v>
      </c>
      <c r="AA27" s="158">
        <v>1026</v>
      </c>
      <c r="AB27" s="158">
        <v>0</v>
      </c>
      <c r="AC27" s="158">
        <v>1185</v>
      </c>
      <c r="AD27" s="158">
        <v>1187</v>
      </c>
      <c r="AE27" s="158">
        <v>1185</v>
      </c>
      <c r="AF27" s="47" t="s">
        <v>90</v>
      </c>
      <c r="AG27" s="47" t="s">
        <v>90</v>
      </c>
      <c r="AH27" s="98" t="s">
        <v>90</v>
      </c>
      <c r="AI27" s="103">
        <v>15949715</v>
      </c>
      <c r="AJ27" s="45">
        <f t="shared" si="7"/>
        <v>1194</v>
      </c>
      <c r="AK27" s="48">
        <f t="shared" si="8"/>
        <v>285.44107100167344</v>
      </c>
      <c r="AL27" s="155">
        <v>0</v>
      </c>
      <c r="AM27" s="155">
        <v>1</v>
      </c>
      <c r="AN27" s="155">
        <v>0</v>
      </c>
      <c r="AO27" s="155">
        <v>1</v>
      </c>
      <c r="AP27" s="155">
        <v>1</v>
      </c>
      <c r="AQ27" s="155">
        <v>1</v>
      </c>
      <c r="AR27" s="155">
        <v>0</v>
      </c>
      <c r="AS27" s="158"/>
      <c r="AT27" s="158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57">
        <v>43242</v>
      </c>
      <c r="B28" s="40">
        <v>2.625</v>
      </c>
      <c r="C28" s="40">
        <v>0.66666666666666696</v>
      </c>
      <c r="D28" s="156">
        <v>3</v>
      </c>
      <c r="E28" s="154">
        <f t="shared" si="2"/>
        <v>2.1126760563380285</v>
      </c>
      <c r="F28" s="154">
        <v>2</v>
      </c>
      <c r="G28" s="118">
        <v>75</v>
      </c>
      <c r="H28" s="154">
        <f t="shared" si="0"/>
        <v>52.816901408450704</v>
      </c>
      <c r="I28" s="154">
        <v>73</v>
      </c>
      <c r="J28" s="41" t="s">
        <v>88</v>
      </c>
      <c r="K28" s="41">
        <f t="shared" si="3"/>
        <v>49.295774647887328</v>
      </c>
      <c r="L28" s="42">
        <f>(G28-3)/1.42</f>
        <v>50.70422535211268</v>
      </c>
      <c r="M28" s="41">
        <f t="shared" si="12"/>
        <v>54.929577464788736</v>
      </c>
      <c r="N28" s="43">
        <v>18</v>
      </c>
      <c r="O28" s="44" t="s">
        <v>100</v>
      </c>
      <c r="P28" s="44">
        <v>16.7</v>
      </c>
      <c r="Q28" s="157">
        <v>131</v>
      </c>
      <c r="R28" s="157"/>
      <c r="S28" s="157">
        <v>95295464</v>
      </c>
      <c r="T28" s="45">
        <f t="shared" si="4"/>
        <v>4377</v>
      </c>
      <c r="U28" s="46">
        <f t="shared" si="5"/>
        <v>105.048</v>
      </c>
      <c r="V28" s="46">
        <f t="shared" si="6"/>
        <v>4.3769999999999998</v>
      </c>
      <c r="W28" s="96">
        <v>3.9</v>
      </c>
      <c r="X28" s="96">
        <f t="shared" si="1"/>
        <v>3.9</v>
      </c>
      <c r="Y28" s="97" t="s">
        <v>169</v>
      </c>
      <c r="Z28" s="158">
        <v>0</v>
      </c>
      <c r="AA28" s="158">
        <v>1025</v>
      </c>
      <c r="AB28" s="158">
        <v>0</v>
      </c>
      <c r="AC28" s="158">
        <v>1185</v>
      </c>
      <c r="AD28" s="158">
        <v>1187</v>
      </c>
      <c r="AE28" s="158">
        <v>1185</v>
      </c>
      <c r="AF28" s="47" t="s">
        <v>90</v>
      </c>
      <c r="AG28" s="47" t="s">
        <v>90</v>
      </c>
      <c r="AH28" s="98" t="s">
        <v>90</v>
      </c>
      <c r="AI28" s="103">
        <v>15950885</v>
      </c>
      <c r="AJ28" s="45">
        <f>IF(ISBLANK(AI28),"-",AI28-AI27)</f>
        <v>1170</v>
      </c>
      <c r="AK28" s="48">
        <f t="shared" si="8"/>
        <v>267.30637422892391</v>
      </c>
      <c r="AL28" s="155">
        <v>0</v>
      </c>
      <c r="AM28" s="155">
        <v>1</v>
      </c>
      <c r="AN28" s="155">
        <v>0</v>
      </c>
      <c r="AO28" s="155">
        <v>1</v>
      </c>
      <c r="AP28" s="155">
        <v>1</v>
      </c>
      <c r="AQ28" s="155">
        <v>1</v>
      </c>
      <c r="AR28" s="155">
        <v>0</v>
      </c>
      <c r="AS28" s="158"/>
      <c r="AT28" s="158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357">
        <v>43242</v>
      </c>
      <c r="B29" s="40">
        <v>2.6666666666666701</v>
      </c>
      <c r="C29" s="40">
        <v>0.70833333333333404</v>
      </c>
      <c r="D29" s="156">
        <v>3</v>
      </c>
      <c r="E29" s="154">
        <f t="shared" si="2"/>
        <v>2.1126760563380285</v>
      </c>
      <c r="F29" s="154">
        <v>1</v>
      </c>
      <c r="G29" s="118">
        <v>75</v>
      </c>
      <c r="H29" s="154">
        <f t="shared" si="0"/>
        <v>52.816901408450704</v>
      </c>
      <c r="I29" s="154">
        <v>73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7">
        <v>129</v>
      </c>
      <c r="R29" s="157"/>
      <c r="S29" s="157">
        <v>95300225</v>
      </c>
      <c r="T29" s="45">
        <f t="shared" si="4"/>
        <v>4761</v>
      </c>
      <c r="U29" s="46">
        <f t="shared" si="5"/>
        <v>114.264</v>
      </c>
      <c r="V29" s="46">
        <f t="shared" si="6"/>
        <v>4.7610000000000001</v>
      </c>
      <c r="W29" s="96">
        <v>3.4</v>
      </c>
      <c r="X29" s="96">
        <f t="shared" si="1"/>
        <v>3.4</v>
      </c>
      <c r="Y29" s="97" t="s">
        <v>169</v>
      </c>
      <c r="Z29" s="158">
        <v>0</v>
      </c>
      <c r="AA29" s="158">
        <v>1026</v>
      </c>
      <c r="AB29" s="158">
        <v>0</v>
      </c>
      <c r="AC29" s="158">
        <v>1185</v>
      </c>
      <c r="AD29" s="158">
        <v>1187</v>
      </c>
      <c r="AE29" s="158">
        <v>1185</v>
      </c>
      <c r="AF29" s="47" t="s">
        <v>90</v>
      </c>
      <c r="AG29" s="47" t="s">
        <v>90</v>
      </c>
      <c r="AH29" s="98" t="s">
        <v>90</v>
      </c>
      <c r="AI29" s="103">
        <v>15952045</v>
      </c>
      <c r="AJ29" s="45">
        <f t="shared" si="7"/>
        <v>1160</v>
      </c>
      <c r="AK29" s="48">
        <f>AJ28/V29</f>
        <v>245.74669187145557</v>
      </c>
      <c r="AL29" s="155">
        <v>0</v>
      </c>
      <c r="AM29" s="155">
        <v>1</v>
      </c>
      <c r="AN29" s="155">
        <v>0</v>
      </c>
      <c r="AO29" s="155">
        <v>1</v>
      </c>
      <c r="AP29" s="155">
        <v>1</v>
      </c>
      <c r="AQ29" s="155">
        <v>1</v>
      </c>
      <c r="AR29" s="155">
        <v>0</v>
      </c>
      <c r="AS29" s="158"/>
      <c r="AT29" s="158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357">
        <v>43242</v>
      </c>
      <c r="B30" s="40">
        <v>2.7083333333333299</v>
      </c>
      <c r="C30" s="40">
        <v>0.750000000000002</v>
      </c>
      <c r="D30" s="156">
        <v>3</v>
      </c>
      <c r="E30" s="154">
        <f t="shared" si="2"/>
        <v>2.1126760563380285</v>
      </c>
      <c r="F30" s="154">
        <v>1</v>
      </c>
      <c r="G30" s="118">
        <v>75</v>
      </c>
      <c r="H30" s="154">
        <f t="shared" si="0"/>
        <v>52.816901408450704</v>
      </c>
      <c r="I30" s="154">
        <v>73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7">
        <v>130</v>
      </c>
      <c r="R30" s="157"/>
      <c r="S30" s="157">
        <v>95305284</v>
      </c>
      <c r="T30" s="45">
        <f t="shared" si="4"/>
        <v>5059</v>
      </c>
      <c r="U30" s="46">
        <f t="shared" si="5"/>
        <v>121.416</v>
      </c>
      <c r="V30" s="46">
        <f t="shared" si="6"/>
        <v>5.0590000000000002</v>
      </c>
      <c r="W30" s="96">
        <v>3</v>
      </c>
      <c r="X30" s="96">
        <f t="shared" si="1"/>
        <v>3</v>
      </c>
      <c r="Y30" s="97" t="s">
        <v>169</v>
      </c>
      <c r="Z30" s="158">
        <v>0</v>
      </c>
      <c r="AA30" s="158">
        <v>1026</v>
      </c>
      <c r="AB30" s="158">
        <v>0</v>
      </c>
      <c r="AC30" s="158">
        <v>1185</v>
      </c>
      <c r="AD30" s="158">
        <v>1187</v>
      </c>
      <c r="AE30" s="158">
        <v>1185</v>
      </c>
      <c r="AF30" s="47" t="s">
        <v>90</v>
      </c>
      <c r="AG30" s="47" t="s">
        <v>90</v>
      </c>
      <c r="AH30" s="98" t="s">
        <v>90</v>
      </c>
      <c r="AI30" s="103">
        <v>15953210</v>
      </c>
      <c r="AJ30" s="45">
        <f t="shared" si="7"/>
        <v>1165</v>
      </c>
      <c r="AK30" s="48">
        <f>AJ29/V30</f>
        <v>229.29432694208342</v>
      </c>
      <c r="AL30" s="155">
        <v>0</v>
      </c>
      <c r="AM30" s="155">
        <v>1</v>
      </c>
      <c r="AN30" s="155">
        <v>0</v>
      </c>
      <c r="AO30" s="155">
        <v>1</v>
      </c>
      <c r="AP30" s="155">
        <v>1</v>
      </c>
      <c r="AQ30" s="155">
        <v>1</v>
      </c>
      <c r="AR30" s="155">
        <v>0</v>
      </c>
      <c r="AS30" s="158"/>
      <c r="AT30" s="158">
        <f t="shared" si="9"/>
        <v>0</v>
      </c>
      <c r="AU30" s="159">
        <v>1.01</v>
      </c>
      <c r="AV30" s="50" t="s">
        <v>124</v>
      </c>
      <c r="AY30" s="55" t="s">
        <v>114</v>
      </c>
      <c r="AZ30" s="55">
        <v>101.325</v>
      </c>
      <c r="BB30" s="74" t="s">
        <v>143</v>
      </c>
    </row>
    <row r="31" spans="1:54" x14ac:dyDescent="0.35">
      <c r="A31" s="357">
        <v>43242</v>
      </c>
      <c r="B31" s="40">
        <v>2.75</v>
      </c>
      <c r="C31" s="40">
        <v>0.79166666666666896</v>
      </c>
      <c r="D31" s="156">
        <v>3</v>
      </c>
      <c r="E31" s="154">
        <f t="shared" si="2"/>
        <v>2.1126760563380285</v>
      </c>
      <c r="F31" s="154">
        <v>-1</v>
      </c>
      <c r="G31" s="118">
        <v>74</v>
      </c>
      <c r="H31" s="154">
        <f t="shared" si="0"/>
        <v>52.112676056338032</v>
      </c>
      <c r="I31" s="154">
        <v>71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7">
        <v>130</v>
      </c>
      <c r="R31" s="157"/>
      <c r="S31" s="157">
        <v>95310128</v>
      </c>
      <c r="T31" s="45">
        <f t="shared" si="4"/>
        <v>4844</v>
      </c>
      <c r="U31" s="46">
        <f t="shared" si="5"/>
        <v>116.256</v>
      </c>
      <c r="V31" s="46">
        <f t="shared" si="6"/>
        <v>4.8440000000000003</v>
      </c>
      <c r="W31" s="96">
        <v>2.6</v>
      </c>
      <c r="X31" s="96">
        <f t="shared" si="1"/>
        <v>2.6</v>
      </c>
      <c r="Y31" s="97" t="s">
        <v>169</v>
      </c>
      <c r="Z31" s="158">
        <v>0</v>
      </c>
      <c r="AA31" s="158">
        <v>1025</v>
      </c>
      <c r="AB31" s="158">
        <v>0</v>
      </c>
      <c r="AC31" s="158">
        <v>1185</v>
      </c>
      <c r="AD31" s="158">
        <v>1187</v>
      </c>
      <c r="AE31" s="158">
        <v>1185</v>
      </c>
      <c r="AF31" s="47" t="s">
        <v>90</v>
      </c>
      <c r="AG31" s="47" t="s">
        <v>90</v>
      </c>
      <c r="AH31" s="98" t="s">
        <v>90</v>
      </c>
      <c r="AI31" s="103">
        <v>15954377</v>
      </c>
      <c r="AJ31" s="45">
        <f t="shared" si="7"/>
        <v>1167</v>
      </c>
      <c r="AK31" s="48">
        <f t="shared" si="8"/>
        <v>240.91659785301403</v>
      </c>
      <c r="AL31" s="155">
        <v>0</v>
      </c>
      <c r="AM31" s="155">
        <v>1</v>
      </c>
      <c r="AN31" s="155">
        <v>0</v>
      </c>
      <c r="AO31" s="155">
        <v>1</v>
      </c>
      <c r="AP31" s="155">
        <v>1</v>
      </c>
      <c r="AQ31" s="155">
        <v>1</v>
      </c>
      <c r="AR31" s="155">
        <v>0</v>
      </c>
      <c r="AS31" s="158"/>
      <c r="AT31" s="158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357">
        <v>43242</v>
      </c>
      <c r="B32" s="40">
        <v>2.7916666666666701</v>
      </c>
      <c r="C32" s="40">
        <v>0.83333333333333703</v>
      </c>
      <c r="D32" s="156">
        <v>3</v>
      </c>
      <c r="E32" s="154">
        <f t="shared" si="2"/>
        <v>2.1126760563380285</v>
      </c>
      <c r="F32" s="154">
        <v>-2</v>
      </c>
      <c r="G32" s="118">
        <v>74</v>
      </c>
      <c r="H32" s="154">
        <f t="shared" si="0"/>
        <v>52.112676056338032</v>
      </c>
      <c r="I32" s="154">
        <v>71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7">
        <v>127</v>
      </c>
      <c r="R32" s="157"/>
      <c r="S32" s="157">
        <v>95315030</v>
      </c>
      <c r="T32" s="45">
        <f t="shared" si="4"/>
        <v>4902</v>
      </c>
      <c r="U32" s="46">
        <f t="shared" si="5"/>
        <v>117.648</v>
      </c>
      <c r="V32" s="46">
        <f t="shared" si="6"/>
        <v>4.9020000000000001</v>
      </c>
      <c r="W32" s="96">
        <v>2.2000000000000002</v>
      </c>
      <c r="X32" s="96">
        <f t="shared" si="1"/>
        <v>2.2000000000000002</v>
      </c>
      <c r="Y32" s="97" t="s">
        <v>169</v>
      </c>
      <c r="Z32" s="158">
        <v>0</v>
      </c>
      <c r="AA32" s="158">
        <v>1036</v>
      </c>
      <c r="AB32" s="158">
        <v>0</v>
      </c>
      <c r="AC32" s="158">
        <v>1185</v>
      </c>
      <c r="AD32" s="158">
        <v>1187</v>
      </c>
      <c r="AE32" s="158">
        <v>1185</v>
      </c>
      <c r="AF32" s="47" t="s">
        <v>90</v>
      </c>
      <c r="AG32" s="47" t="s">
        <v>90</v>
      </c>
      <c r="AH32" s="98" t="s">
        <v>90</v>
      </c>
      <c r="AI32" s="103">
        <v>15955534</v>
      </c>
      <c r="AJ32" s="45">
        <f t="shared" si="7"/>
        <v>1157</v>
      </c>
      <c r="AK32" s="48">
        <f t="shared" si="8"/>
        <v>236.02611179110568</v>
      </c>
      <c r="AL32" s="155">
        <v>0</v>
      </c>
      <c r="AM32" s="155">
        <v>1</v>
      </c>
      <c r="AN32" s="155">
        <v>0</v>
      </c>
      <c r="AO32" s="155">
        <v>1</v>
      </c>
      <c r="AP32" s="155">
        <v>1</v>
      </c>
      <c r="AQ32" s="155">
        <v>1</v>
      </c>
      <c r="AR32" s="155">
        <v>0</v>
      </c>
      <c r="AS32" s="158"/>
      <c r="AT32" s="158">
        <v>0</v>
      </c>
      <c r="AU32" s="49"/>
      <c r="AV32" s="50" t="s">
        <v>124</v>
      </c>
      <c r="AY32" s="308" t="s">
        <v>115</v>
      </c>
      <c r="AZ32" s="308"/>
      <c r="BB32" s="74" t="s">
        <v>156</v>
      </c>
    </row>
    <row r="33" spans="1:54" x14ac:dyDescent="0.35">
      <c r="A33" s="357">
        <v>43242</v>
      </c>
      <c r="B33" s="40">
        <v>2.8333333333333299</v>
      </c>
      <c r="C33" s="40">
        <v>0.875</v>
      </c>
      <c r="D33" s="156">
        <v>3</v>
      </c>
      <c r="E33" s="154">
        <f t="shared" si="2"/>
        <v>2.1126760563380285</v>
      </c>
      <c r="F33" s="154">
        <v>-2</v>
      </c>
      <c r="G33" s="118">
        <v>74</v>
      </c>
      <c r="H33" s="154">
        <f t="shared" si="0"/>
        <v>52.112676056338032</v>
      </c>
      <c r="I33" s="154">
        <v>71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7">
        <v>127</v>
      </c>
      <c r="R33" s="157"/>
      <c r="S33" s="157">
        <v>95319787</v>
      </c>
      <c r="T33" s="45">
        <f t="shared" si="4"/>
        <v>4757</v>
      </c>
      <c r="U33" s="46">
        <f t="shared" si="5"/>
        <v>114.16800000000001</v>
      </c>
      <c r="V33" s="46">
        <f t="shared" si="6"/>
        <v>4.7569999999999997</v>
      </c>
      <c r="W33" s="96">
        <v>1.8</v>
      </c>
      <c r="X33" s="96">
        <f t="shared" si="1"/>
        <v>1.8</v>
      </c>
      <c r="Y33" s="97" t="s">
        <v>169</v>
      </c>
      <c r="Z33" s="158">
        <v>0</v>
      </c>
      <c r="AA33" s="158">
        <v>1036</v>
      </c>
      <c r="AB33" s="158">
        <v>0</v>
      </c>
      <c r="AC33" s="158">
        <v>1185</v>
      </c>
      <c r="AD33" s="158">
        <v>1187</v>
      </c>
      <c r="AE33" s="158">
        <v>1185</v>
      </c>
      <c r="AF33" s="47" t="s">
        <v>90</v>
      </c>
      <c r="AG33" s="47" t="s">
        <v>90</v>
      </c>
      <c r="AH33" s="98" t="s">
        <v>90</v>
      </c>
      <c r="AI33" s="103">
        <v>15956693</v>
      </c>
      <c r="AJ33" s="45">
        <f t="shared" si="7"/>
        <v>1159</v>
      </c>
      <c r="AK33" s="48">
        <f t="shared" si="8"/>
        <v>243.64095017868405</v>
      </c>
      <c r="AL33" s="155">
        <v>0</v>
      </c>
      <c r="AM33" s="155">
        <v>1</v>
      </c>
      <c r="AN33" s="155">
        <v>0</v>
      </c>
      <c r="AO33" s="155">
        <v>1</v>
      </c>
      <c r="AP33" s="155">
        <v>1</v>
      </c>
      <c r="AQ33" s="155">
        <v>1</v>
      </c>
      <c r="AR33" s="155">
        <v>0</v>
      </c>
      <c r="AS33" s="158"/>
      <c r="AT33" s="158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57">
        <v>43242</v>
      </c>
      <c r="B34" s="40">
        <v>2.875</v>
      </c>
      <c r="C34" s="40">
        <v>0.91666666666667096</v>
      </c>
      <c r="D34" s="156">
        <v>3</v>
      </c>
      <c r="E34" s="154">
        <f t="shared" si="2"/>
        <v>2.1126760563380285</v>
      </c>
      <c r="F34" s="154">
        <v>0</v>
      </c>
      <c r="G34" s="118">
        <v>76</v>
      </c>
      <c r="H34" s="154">
        <f t="shared" si="0"/>
        <v>53.521126760563384</v>
      </c>
      <c r="I34" s="154">
        <v>70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7">
        <v>131</v>
      </c>
      <c r="R34" s="157"/>
      <c r="S34" s="157">
        <v>95325411</v>
      </c>
      <c r="T34" s="45">
        <f t="shared" si="4"/>
        <v>5624</v>
      </c>
      <c r="U34" s="46">
        <f t="shared" si="5"/>
        <v>134.976</v>
      </c>
      <c r="V34" s="46">
        <f t="shared" si="6"/>
        <v>5.6239999999999997</v>
      </c>
      <c r="W34" s="96">
        <v>1.4</v>
      </c>
      <c r="X34" s="96">
        <f t="shared" si="1"/>
        <v>1.4</v>
      </c>
      <c r="Y34" s="97" t="s">
        <v>169</v>
      </c>
      <c r="Z34" s="158">
        <v>0</v>
      </c>
      <c r="AA34" s="158">
        <v>1036</v>
      </c>
      <c r="AB34" s="158">
        <v>0</v>
      </c>
      <c r="AC34" s="158">
        <v>1185</v>
      </c>
      <c r="AD34" s="158">
        <v>1187</v>
      </c>
      <c r="AE34" s="158">
        <v>1185</v>
      </c>
      <c r="AF34" s="47" t="s">
        <v>90</v>
      </c>
      <c r="AG34" s="47" t="s">
        <v>90</v>
      </c>
      <c r="AH34" s="98" t="s">
        <v>90</v>
      </c>
      <c r="AI34" s="103">
        <v>15957894</v>
      </c>
      <c r="AJ34" s="45">
        <f t="shared" si="7"/>
        <v>1201</v>
      </c>
      <c r="AK34" s="48">
        <f t="shared" si="8"/>
        <v>213.54907539118068</v>
      </c>
      <c r="AL34" s="155">
        <v>0</v>
      </c>
      <c r="AM34" s="155">
        <v>1</v>
      </c>
      <c r="AN34" s="155">
        <v>0</v>
      </c>
      <c r="AO34" s="155">
        <v>1</v>
      </c>
      <c r="AP34" s="155">
        <v>1</v>
      </c>
      <c r="AQ34" s="155">
        <v>1</v>
      </c>
      <c r="AR34" s="155">
        <v>0</v>
      </c>
      <c r="AS34" s="158"/>
      <c r="AT34" s="158">
        <f>AS34-AS33</f>
        <v>0</v>
      </c>
      <c r="AU34" s="119">
        <v>1.02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357">
        <v>43242</v>
      </c>
      <c r="B35" s="40">
        <v>2.9166666666666701</v>
      </c>
      <c r="C35" s="40">
        <v>0.95833333333333803</v>
      </c>
      <c r="D35" s="156">
        <v>3</v>
      </c>
      <c r="E35" s="154">
        <f t="shared" si="2"/>
        <v>2.1126760563380285</v>
      </c>
      <c r="F35" s="154">
        <v>1</v>
      </c>
      <c r="G35" s="118">
        <v>75</v>
      </c>
      <c r="H35" s="154">
        <f t="shared" si="0"/>
        <v>52.816901408450704</v>
      </c>
      <c r="I35" s="154">
        <v>72</v>
      </c>
      <c r="J35" s="41" t="s">
        <v>88</v>
      </c>
      <c r="K35" s="41">
        <f>L35-(2/1.42)</f>
        <v>47.887323943661976</v>
      </c>
      <c r="L35" s="42">
        <f>(G35-5)/1.42</f>
        <v>49.295774647887328</v>
      </c>
      <c r="M35" s="41">
        <f t="shared" si="12"/>
        <v>53.521126760563384</v>
      </c>
      <c r="N35" s="43">
        <v>14</v>
      </c>
      <c r="O35" s="44" t="s">
        <v>116</v>
      </c>
      <c r="P35" s="44">
        <v>11.9</v>
      </c>
      <c r="Q35" s="157">
        <v>131</v>
      </c>
      <c r="R35" s="157"/>
      <c r="S35" s="157">
        <v>95330191</v>
      </c>
      <c r="T35" s="45">
        <f t="shared" si="4"/>
        <v>4780</v>
      </c>
      <c r="U35" s="46">
        <f t="shared" si="5"/>
        <v>114.72</v>
      </c>
      <c r="V35" s="46">
        <f t="shared" si="6"/>
        <v>4.78</v>
      </c>
      <c r="W35" s="96">
        <v>1.6</v>
      </c>
      <c r="X35" s="96">
        <f t="shared" si="1"/>
        <v>1.6</v>
      </c>
      <c r="Y35" s="97" t="s">
        <v>138</v>
      </c>
      <c r="Z35" s="158">
        <v>0</v>
      </c>
      <c r="AA35" s="158">
        <v>0</v>
      </c>
      <c r="AB35" s="158">
        <v>0</v>
      </c>
      <c r="AC35" s="158">
        <v>1185</v>
      </c>
      <c r="AD35" s="158">
        <v>1187</v>
      </c>
      <c r="AE35" s="158">
        <v>1185</v>
      </c>
      <c r="AF35" s="47" t="s">
        <v>90</v>
      </c>
      <c r="AG35" s="47" t="s">
        <v>90</v>
      </c>
      <c r="AH35" s="98" t="s">
        <v>90</v>
      </c>
      <c r="AI35" s="103">
        <v>15958964</v>
      </c>
      <c r="AJ35" s="45">
        <f t="shared" si="7"/>
        <v>1070</v>
      </c>
      <c r="AK35" s="48">
        <f t="shared" si="8"/>
        <v>223.84937238493723</v>
      </c>
      <c r="AL35" s="155">
        <v>0</v>
      </c>
      <c r="AM35" s="155">
        <v>0</v>
      </c>
      <c r="AN35" s="155">
        <v>0</v>
      </c>
      <c r="AO35" s="155">
        <v>1</v>
      </c>
      <c r="AP35" s="155">
        <v>1</v>
      </c>
      <c r="AQ35" s="155">
        <v>1</v>
      </c>
      <c r="AR35" s="155">
        <v>0.3</v>
      </c>
      <c r="AS35" s="158"/>
      <c r="AT35" s="158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357">
        <v>43242</v>
      </c>
      <c r="B36" s="40">
        <v>2.9583333333333299</v>
      </c>
      <c r="C36" s="40">
        <v>1</v>
      </c>
      <c r="D36" s="156">
        <v>3</v>
      </c>
      <c r="E36" s="154">
        <f t="shared" si="2"/>
        <v>2.1126760563380285</v>
      </c>
      <c r="F36" s="154">
        <v>2</v>
      </c>
      <c r="G36" s="118">
        <v>75</v>
      </c>
      <c r="H36" s="154">
        <f t="shared" si="0"/>
        <v>52.816901408450704</v>
      </c>
      <c r="I36" s="154">
        <v>73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7">
        <v>134</v>
      </c>
      <c r="R36" s="157"/>
      <c r="S36" s="157">
        <v>95334769</v>
      </c>
      <c r="T36" s="45">
        <f t="shared" si="4"/>
        <v>4578</v>
      </c>
      <c r="U36" s="46">
        <f t="shared" si="5"/>
        <v>109.872</v>
      </c>
      <c r="V36" s="46">
        <f t="shared" si="6"/>
        <v>4.5780000000000003</v>
      </c>
      <c r="W36" s="96">
        <v>2</v>
      </c>
      <c r="X36" s="96">
        <f t="shared" si="1"/>
        <v>2</v>
      </c>
      <c r="Y36" s="97" t="s">
        <v>138</v>
      </c>
      <c r="Z36" s="158">
        <v>0</v>
      </c>
      <c r="AA36" s="158">
        <v>0</v>
      </c>
      <c r="AB36" s="158">
        <v>0</v>
      </c>
      <c r="AC36" s="158">
        <v>1185</v>
      </c>
      <c r="AD36" s="158">
        <v>1187</v>
      </c>
      <c r="AE36" s="158">
        <v>1185</v>
      </c>
      <c r="AF36" s="47" t="s">
        <v>90</v>
      </c>
      <c r="AG36" s="47" t="s">
        <v>90</v>
      </c>
      <c r="AH36" s="98" t="s">
        <v>90</v>
      </c>
      <c r="AI36" s="103">
        <v>15960040</v>
      </c>
      <c r="AJ36" s="45">
        <f t="shared" si="7"/>
        <v>1076</v>
      </c>
      <c r="AK36" s="48">
        <f t="shared" si="8"/>
        <v>235.0371341197029</v>
      </c>
      <c r="AL36" s="155">
        <v>0</v>
      </c>
      <c r="AM36" s="155">
        <v>0</v>
      </c>
      <c r="AN36" s="155">
        <v>0</v>
      </c>
      <c r="AO36" s="155">
        <v>1</v>
      </c>
      <c r="AP36" s="155">
        <v>1</v>
      </c>
      <c r="AQ36" s="155">
        <v>1</v>
      </c>
      <c r="AR36" s="155">
        <v>0.3</v>
      </c>
      <c r="AS36" s="158"/>
      <c r="AT36" s="158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73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09" t="s">
        <v>118</v>
      </c>
      <c r="O37" s="310"/>
      <c r="P37" s="311"/>
      <c r="Q37" s="101"/>
      <c r="R37" s="101"/>
      <c r="S37" s="101"/>
      <c r="T37" s="60">
        <f>SUM(T13:T36)</f>
        <v>107357</v>
      </c>
      <c r="U37" s="46">
        <f t="shared" si="5"/>
        <v>2576.5680000000002</v>
      </c>
      <c r="V37" s="46">
        <f t="shared" si="6"/>
        <v>107.357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27558</v>
      </c>
      <c r="AK37" s="61">
        <f>$AJ$37/$V37</f>
        <v>256.69495235522601</v>
      </c>
      <c r="AL37" s="155"/>
      <c r="AM37" s="155"/>
      <c r="AN37" s="155"/>
      <c r="AO37" s="155"/>
      <c r="AP37" s="155"/>
      <c r="AQ37" s="155"/>
      <c r="AR37" s="62"/>
      <c r="AS37" s="63">
        <f>AS36-AS11</f>
        <v>0</v>
      </c>
      <c r="AT37" s="64">
        <f>SUM(AT13:AT36)</f>
        <v>0</v>
      </c>
      <c r="AU37" s="65">
        <f>AVERAGE(AU13:AU36)</f>
        <v>1.0266666666666666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7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8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8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4"/>
      <c r="D47" s="164"/>
      <c r="E47" s="164"/>
      <c r="F47" s="164"/>
      <c r="G47" s="164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71" t="s">
        <v>248</v>
      </c>
      <c r="C48" s="172"/>
      <c r="D48" s="172"/>
      <c r="E48" s="172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70"/>
      <c r="D49" s="170"/>
      <c r="E49" s="170"/>
      <c r="F49" s="161"/>
      <c r="G49" s="161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15" t="s">
        <v>164</v>
      </c>
      <c r="C50" s="143"/>
      <c r="D50" s="143"/>
      <c r="E50" s="143"/>
      <c r="F50" s="130"/>
      <c r="G50" s="130"/>
      <c r="H50" s="160"/>
      <c r="I50" s="160"/>
      <c r="J50" s="160"/>
      <c r="K50" s="160"/>
      <c r="L50" s="160"/>
      <c r="M50" s="160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210</v>
      </c>
      <c r="B51" s="132" t="s">
        <v>163</v>
      </c>
      <c r="C51" s="143"/>
      <c r="D51" s="143"/>
      <c r="E51" s="143"/>
      <c r="F51" s="130"/>
      <c r="G51" s="130"/>
      <c r="H51" s="160"/>
      <c r="I51" s="160"/>
      <c r="J51" s="160"/>
      <c r="K51" s="160"/>
      <c r="L51" s="160"/>
      <c r="M51" s="160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53" t="s">
        <v>249</v>
      </c>
      <c r="C52" s="120"/>
      <c r="D52" s="115"/>
      <c r="E52" s="115"/>
      <c r="F52" s="115"/>
      <c r="G52" s="115"/>
      <c r="H52" s="160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15" t="s">
        <v>250</v>
      </c>
      <c r="C53" s="170"/>
      <c r="D53" s="170"/>
      <c r="E53" s="170"/>
      <c r="F53" s="170"/>
      <c r="G53" s="115"/>
      <c r="H53" s="115"/>
      <c r="I53" s="115"/>
      <c r="J53" s="115"/>
      <c r="K53" s="115"/>
      <c r="L53" s="115"/>
      <c r="M53" s="115"/>
      <c r="N53" s="163"/>
      <c r="O53" s="163"/>
      <c r="P53" s="163"/>
      <c r="Q53" s="163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32" t="s">
        <v>251</v>
      </c>
      <c r="C54" s="153"/>
      <c r="D54" s="170"/>
      <c r="E54" s="170"/>
      <c r="F54" s="170"/>
      <c r="G54" s="170"/>
      <c r="H54" s="170"/>
      <c r="I54" s="170"/>
      <c r="J54" s="169"/>
      <c r="K54" s="166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166</v>
      </c>
      <c r="C55" s="115"/>
      <c r="D55" s="170"/>
      <c r="E55" s="153"/>
      <c r="F55" s="153"/>
      <c r="G55" s="153"/>
      <c r="H55" s="153"/>
      <c r="I55" s="153"/>
      <c r="J55" s="169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170</v>
      </c>
      <c r="C56" s="115"/>
      <c r="D56" s="170"/>
      <c r="E56" s="153"/>
      <c r="F56" s="153"/>
      <c r="G56" s="153"/>
      <c r="H56" s="153"/>
      <c r="I56" s="153"/>
      <c r="J56" s="153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32" t="s">
        <v>171</v>
      </c>
      <c r="C57" s="170"/>
      <c r="D57" s="170"/>
      <c r="E57" s="153"/>
      <c r="F57" s="153"/>
      <c r="G57" s="153"/>
      <c r="H57" s="153"/>
      <c r="I57" s="153"/>
      <c r="J57" s="153"/>
      <c r="K57" s="166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172</v>
      </c>
      <c r="C58" s="170"/>
      <c r="D58" s="170"/>
      <c r="E58" s="115"/>
      <c r="F58" s="115"/>
      <c r="G58" s="115"/>
      <c r="H58" s="115"/>
      <c r="I58" s="153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3" t="s">
        <v>216</v>
      </c>
      <c r="C59" s="170"/>
      <c r="D59" s="170"/>
      <c r="E59" s="153"/>
      <c r="F59" s="153"/>
      <c r="G59" s="153"/>
      <c r="H59" s="153"/>
      <c r="I59" s="153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32" t="s">
        <v>174</v>
      </c>
      <c r="C60" s="170"/>
      <c r="D60" s="223"/>
      <c r="E60" s="223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62" t="s">
        <v>195</v>
      </c>
      <c r="C61" s="153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62" t="s">
        <v>252</v>
      </c>
      <c r="C62" s="115"/>
      <c r="D62" s="100"/>
      <c r="E62" s="100"/>
      <c r="F62" s="115"/>
      <c r="G62" s="115"/>
      <c r="H62" s="92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6"/>
      <c r="E63" s="166"/>
      <c r="F63" s="166"/>
      <c r="G63" s="166"/>
      <c r="H63" s="166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53"/>
      <c r="C64" s="115"/>
      <c r="D64" s="100"/>
      <c r="E64" s="100"/>
      <c r="F64" s="115"/>
      <c r="G64" s="115"/>
      <c r="H64" s="92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6"/>
      <c r="E65" s="166"/>
      <c r="F65" s="166"/>
      <c r="G65" s="166"/>
      <c r="H65" s="166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AV65" s="86"/>
      <c r="AW65" s="86"/>
      <c r="AX65" s="86"/>
      <c r="AY65" s="86"/>
      <c r="AZ65" s="86"/>
      <c r="BA65" s="86"/>
      <c r="BB65" s="86"/>
    </row>
    <row r="66" spans="2:54" x14ac:dyDescent="0.35">
      <c r="B66" s="162"/>
      <c r="C66" s="115"/>
      <c r="D66" s="166"/>
      <c r="E66" s="166"/>
      <c r="F66" s="166"/>
      <c r="G66" s="166"/>
      <c r="H66" s="166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6"/>
      <c r="E67" s="166"/>
      <c r="F67" s="166"/>
      <c r="G67" s="166"/>
      <c r="H67" s="166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Q13:Q36 S13:S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3" name="Range1_16_1_1_1_1_1_1_2_2_2_2_2_2_2_2_2_2_2_2_2_2_2_2_2_2_2_2_2_2_2_1_2_2_2_2_2_2_2_2_2_2_3_2_2_2_2_2_2_2_2_2_2_1_1_1_1_2_2_1_1_1_1_1_1_1_1_1_1_1_1_1_1_3_1"/>
    <protectedRange sqref="R4:W4" name="Range1_16_1_1_1_1_1_1_2_2_2_2_2_2_2_2_2_2_2_2_2_2_2_2_2_2_2_2_2_2_2_1_2_2_2_2_2_2_2_2_2_2_3_2_2_2_2_2_2_2_2_2_2_1_1_1_1_2_2_1_1_1_1_1_1_1_1_1_1_1_1_1_1_2_1_2_1_1_1_1_1"/>
    <protectedRange sqref="B50 B53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B54" name="Range2_12_5_1_1_1_2_1_1_1_1_1_1_1_1_1_1_1_2_1_1_1_1_1_1_1_1_1_1_1_1_1_1_1_1_1_1_1_1_1_1_2_1_1_1_1_1_1_1_1_1_1_1_2_1_1_1_1_2_1_1_1_1_1_1_1_1_1_1_1_2_1_1_1_1_1_1_1_1_1_1_1_1_1_1_3_1_1_1_1_2_1_1_1_1_1_1_1_2_1_1_1_1_1_1_1_1_1_1_1_1_1_1_1_1_1_1_1_1_1_1_1_1__5"/>
    <protectedRange sqref="R5:W5" name="Range1_16_1_1_1_1_1_1_2_2_2_2_2_2_2_2_2_2_2_2_2_2_2_2_2_2_2_2_2_2_2_1_2_2_2_2_2_2_2_2_2_2_3_2_2_2_2_2_2_2_2_2_2_1_1_1_1_2_2_1_1_1_1_1_1_1_1_1_1_3_1_3_2_1_2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169" priority="5" operator="containsText" text="N/A">
      <formula>NOT(ISERROR(SEARCH("N/A",Z13)))</formula>
    </cfRule>
    <cfRule type="cellIs" dxfId="168" priority="17" operator="equal">
      <formula>0</formula>
    </cfRule>
  </conditionalFormatting>
  <conditionalFormatting sqref="Z13:AG36">
    <cfRule type="cellIs" dxfId="167" priority="16" operator="greaterThanOrEqual">
      <formula>1185</formula>
    </cfRule>
  </conditionalFormatting>
  <conditionalFormatting sqref="Z13:AG36">
    <cfRule type="cellIs" dxfId="166" priority="15" operator="between">
      <formula>0.1</formula>
      <formula>1184</formula>
    </cfRule>
  </conditionalFormatting>
  <conditionalFormatting sqref="Z8:Z9 AT13:AT36 AL37:AQ37 AL13:AR36">
    <cfRule type="cellIs" dxfId="165" priority="14" operator="equal">
      <formula>0</formula>
    </cfRule>
  </conditionalFormatting>
  <conditionalFormatting sqref="Z8:Z9 AT13:AT36 AL37:AQ37 AL13:AR36">
    <cfRule type="cellIs" dxfId="164" priority="13" operator="greaterThan">
      <formula>1179</formula>
    </cfRule>
  </conditionalFormatting>
  <conditionalFormatting sqref="Z8:Z9 AT13:AT36 AL37:AQ37 AL13:AR36">
    <cfRule type="cellIs" dxfId="163" priority="12" operator="greaterThan">
      <formula>99</formula>
    </cfRule>
  </conditionalFormatting>
  <conditionalFormatting sqref="Z8:Z9 AT13:AT36 AL37:AQ37 AL13:AR36">
    <cfRule type="cellIs" dxfId="162" priority="11" operator="greaterThan">
      <formula>0.99</formula>
    </cfRule>
  </conditionalFormatting>
  <conditionalFormatting sqref="AD8:AD9">
    <cfRule type="cellIs" dxfId="161" priority="10" operator="equal">
      <formula>0</formula>
    </cfRule>
  </conditionalFormatting>
  <conditionalFormatting sqref="AD8:AD9">
    <cfRule type="cellIs" dxfId="160" priority="9" operator="greaterThan">
      <formula>1179</formula>
    </cfRule>
  </conditionalFormatting>
  <conditionalFormatting sqref="AD8:AD9">
    <cfRule type="cellIs" dxfId="159" priority="8" operator="greaterThan">
      <formula>99</formula>
    </cfRule>
  </conditionalFormatting>
  <conditionalFormatting sqref="AD8:AD9">
    <cfRule type="cellIs" dxfId="158" priority="7" operator="greaterThan">
      <formula>0.99</formula>
    </cfRule>
  </conditionalFormatting>
  <conditionalFormatting sqref="AK13:AK36">
    <cfRule type="cellIs" dxfId="157" priority="6" operator="greaterThan">
      <formula>$AK$8</formula>
    </cfRule>
  </conditionalFormatting>
  <conditionalFormatting sqref="AS13:AS36">
    <cfRule type="containsText" dxfId="156" priority="1" operator="containsText" text="N/A">
      <formula>NOT(ISERROR(SEARCH("N/A",AS13)))</formula>
    </cfRule>
    <cfRule type="cellIs" dxfId="155" priority="4" operator="equal">
      <formula>0</formula>
    </cfRule>
  </conditionalFormatting>
  <conditionalFormatting sqref="AS13:AS36">
    <cfRule type="cellIs" dxfId="154" priority="3" operator="greaterThanOrEqual">
      <formula>1185</formula>
    </cfRule>
  </conditionalFormatting>
  <conditionalFormatting sqref="AS13:AS36">
    <cfRule type="cellIs" dxfId="153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1500-000000000000}">
      <formula1>$AY$11:$AY$21</formula1>
    </dataValidation>
    <dataValidation type="list" allowBlank="1" showInputMessage="1" showErrorMessage="1" sqref="AS8:AT9 P11:P12 N11:N12 D8:E9 Q8:V9" xr:uid="{00000000-0002-0000-1500-000001000000}">
      <formula1>#REF!</formula1>
    </dataValidation>
    <dataValidation type="list" allowBlank="1" showInputMessage="1" showErrorMessage="1" sqref="AY33:AZ33" xr:uid="{00000000-0002-0000-1500-000002000000}">
      <formula1>$AY$26:$AY$30</formula1>
    </dataValidation>
    <dataValidation type="list" allowBlank="1" showInputMessage="1" showErrorMessage="1" sqref="R3:R5" xr:uid="{00000000-0002-0000-1500-000003000000}">
      <formula1>$BB$11:$BB$42</formula1>
    </dataValidation>
  </dataValidations>
  <hyperlinks>
    <hyperlink ref="J10:J11" location="'1'!AH8" display="Plant Status" xr:uid="{00000000-0004-0000-1500-000000000000}"/>
  </hyperlinks>
  <pageMargins left="0.7" right="0.7" top="0.75" bottom="0.75" header="0.3" footer="0.3"/>
  <pageSetup paperSize="9" orientation="portrait" horizontalDpi="4294967293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>
    <tabColor rgb="FF7030A0"/>
  </sheetPr>
  <dimension ref="A2:BB88"/>
  <sheetViews>
    <sheetView topLeftCell="A34" zoomScaleNormal="100" workbookViewId="0">
      <selection activeCell="B63" sqref="B63:B65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47" t="s">
        <v>157</v>
      </c>
      <c r="S3" s="348"/>
      <c r="T3" s="348"/>
      <c r="U3" s="348"/>
      <c r="V3" s="348"/>
      <c r="W3" s="34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47" t="s">
        <v>156</v>
      </c>
      <c r="S4" s="348"/>
      <c r="T4" s="348"/>
      <c r="U4" s="348"/>
      <c r="V4" s="348"/>
      <c r="W4" s="34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47" t="s">
        <v>131</v>
      </c>
      <c r="S5" s="348"/>
      <c r="T5" s="348"/>
      <c r="U5" s="348"/>
      <c r="V5" s="348"/>
      <c r="W5" s="34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50" t="s">
        <v>6</v>
      </c>
      <c r="C6" s="351"/>
      <c r="D6" s="352" t="s">
        <v>7</v>
      </c>
      <c r="E6" s="353"/>
      <c r="F6" s="353"/>
      <c r="G6" s="353"/>
      <c r="H6" s="353"/>
      <c r="I6" s="353"/>
      <c r="J6" s="354"/>
      <c r="K6" s="87"/>
      <c r="L6" s="87"/>
      <c r="M6" s="270"/>
      <c r="N6" s="355">
        <v>41686</v>
      </c>
      <c r="O6" s="356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37" t="s">
        <v>8</v>
      </c>
      <c r="C7" s="338"/>
      <c r="D7" s="337" t="s">
        <v>9</v>
      </c>
      <c r="E7" s="339"/>
      <c r="F7" s="339"/>
      <c r="G7" s="339"/>
      <c r="H7" s="339"/>
      <c r="I7" s="338"/>
      <c r="J7" s="260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60" t="s">
        <v>14</v>
      </c>
      <c r="R7" s="337" t="s">
        <v>15</v>
      </c>
      <c r="S7" s="339"/>
      <c r="T7" s="339"/>
      <c r="U7" s="339"/>
      <c r="V7" s="338"/>
      <c r="W7" s="337" t="s">
        <v>16</v>
      </c>
      <c r="X7" s="338"/>
      <c r="Y7" s="99" t="s">
        <v>17</v>
      </c>
      <c r="Z7" s="337" t="s">
        <v>18</v>
      </c>
      <c r="AA7" s="338"/>
      <c r="AB7" s="337" t="s">
        <v>19</v>
      </c>
      <c r="AC7" s="338"/>
      <c r="AD7" s="337" t="s">
        <v>20</v>
      </c>
      <c r="AE7" s="338"/>
      <c r="AF7" s="337" t="s">
        <v>21</v>
      </c>
      <c r="AG7" s="338"/>
      <c r="AH7" s="99" t="s">
        <v>22</v>
      </c>
      <c r="AI7" s="99" t="s">
        <v>23</v>
      </c>
      <c r="AJ7" s="99" t="s">
        <v>24</v>
      </c>
      <c r="AK7" s="99" t="s">
        <v>25</v>
      </c>
      <c r="AL7" s="337" t="s">
        <v>26</v>
      </c>
      <c r="AM7" s="339"/>
      <c r="AN7" s="339"/>
      <c r="AO7" s="339"/>
      <c r="AP7" s="339"/>
      <c r="AQ7" s="338"/>
      <c r="AR7" s="337" t="s">
        <v>27</v>
      </c>
      <c r="AS7" s="339"/>
      <c r="AT7" s="33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40">
        <v>43243</v>
      </c>
      <c r="C8" s="341"/>
      <c r="D8" s="342" t="s">
        <v>29</v>
      </c>
      <c r="E8" s="343"/>
      <c r="F8" s="343"/>
      <c r="G8" s="343"/>
      <c r="H8" s="343"/>
      <c r="I8" s="344"/>
      <c r="J8" s="28"/>
      <c r="K8" s="342" t="s">
        <v>29</v>
      </c>
      <c r="L8" s="343"/>
      <c r="M8" s="34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42" t="s">
        <v>33</v>
      </c>
      <c r="X8" s="344"/>
      <c r="Y8" s="30" t="s">
        <v>34</v>
      </c>
      <c r="Z8" s="326">
        <v>0</v>
      </c>
      <c r="AA8" s="327"/>
      <c r="AB8" s="345" t="s">
        <v>35</v>
      </c>
      <c r="AC8" s="346"/>
      <c r="AD8" s="326">
        <v>1185</v>
      </c>
      <c r="AE8" s="327"/>
      <c r="AF8" s="328">
        <v>800</v>
      </c>
      <c r="AG8" s="329"/>
      <c r="AH8" s="28"/>
      <c r="AI8" s="30">
        <f>AI36-AI11</f>
        <v>27253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1"/>
      <c r="C9" s="262"/>
      <c r="D9" s="263"/>
      <c r="E9" s="264"/>
      <c r="F9" s="264"/>
      <c r="G9" s="264"/>
      <c r="H9" s="264"/>
      <c r="I9" s="265"/>
      <c r="J9" s="121"/>
      <c r="K9" s="263"/>
      <c r="L9" s="264"/>
      <c r="M9" s="265"/>
      <c r="N9" s="29"/>
      <c r="O9" s="29"/>
      <c r="P9" s="29"/>
      <c r="Q9" s="121"/>
      <c r="R9" s="121"/>
      <c r="S9" s="121"/>
      <c r="T9" s="122"/>
      <c r="U9" s="123"/>
      <c r="V9" s="124"/>
      <c r="W9" s="263"/>
      <c r="X9" s="265"/>
      <c r="Y9" s="30"/>
      <c r="Z9" s="266"/>
      <c r="AA9" s="125"/>
      <c r="AB9" s="126"/>
      <c r="AC9" s="126"/>
      <c r="AD9" s="125"/>
      <c r="AE9" s="125"/>
      <c r="AF9" s="127"/>
      <c r="AG9" s="267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30" t="s">
        <v>39</v>
      </c>
      <c r="C10" s="331"/>
      <c r="D10" s="330" t="s">
        <v>40</v>
      </c>
      <c r="E10" s="332"/>
      <c r="F10" s="331"/>
      <c r="G10" s="330" t="s">
        <v>41</v>
      </c>
      <c r="H10" s="332"/>
      <c r="I10" s="331"/>
      <c r="J10" s="333" t="s">
        <v>42</v>
      </c>
      <c r="K10" s="330" t="s">
        <v>43</v>
      </c>
      <c r="L10" s="332"/>
      <c r="M10" s="331"/>
      <c r="N10" s="99" t="s">
        <v>44</v>
      </c>
      <c r="O10" s="335" t="s">
        <v>45</v>
      </c>
      <c r="P10" s="33" t="s">
        <v>46</v>
      </c>
      <c r="Q10" s="324" t="s">
        <v>47</v>
      </c>
      <c r="R10" s="324" t="s">
        <v>48</v>
      </c>
      <c r="S10" s="34" t="s">
        <v>49</v>
      </c>
      <c r="T10" s="312" t="s">
        <v>50</v>
      </c>
      <c r="U10" s="313"/>
      <c r="V10" s="314"/>
      <c r="W10" s="271" t="s">
        <v>51</v>
      </c>
      <c r="X10" s="271" t="s">
        <v>52</v>
      </c>
      <c r="Y10" s="318" t="s">
        <v>53</v>
      </c>
      <c r="Z10" s="319" t="s">
        <v>54</v>
      </c>
      <c r="AA10" s="320"/>
      <c r="AB10" s="320"/>
      <c r="AC10" s="320"/>
      <c r="AD10" s="320"/>
      <c r="AE10" s="320"/>
      <c r="AF10" s="320"/>
      <c r="AG10" s="321"/>
      <c r="AH10" s="269" t="s">
        <v>55</v>
      </c>
      <c r="AI10" s="269" t="s">
        <v>56</v>
      </c>
      <c r="AJ10" s="307" t="s">
        <v>57</v>
      </c>
      <c r="AK10" s="322" t="s">
        <v>58</v>
      </c>
      <c r="AL10" s="271" t="s">
        <v>59</v>
      </c>
      <c r="AM10" s="271" t="s">
        <v>60</v>
      </c>
      <c r="AN10" s="271" t="s">
        <v>61</v>
      </c>
      <c r="AO10" s="271" t="s">
        <v>62</v>
      </c>
      <c r="AP10" s="271" t="s">
        <v>63</v>
      </c>
      <c r="AQ10" s="271" t="s">
        <v>123</v>
      </c>
      <c r="AR10" s="271" t="s">
        <v>64</v>
      </c>
      <c r="AS10" s="271" t="s">
        <v>65</v>
      </c>
      <c r="AT10" s="324" t="s">
        <v>66</v>
      </c>
      <c r="AU10" s="271" t="s">
        <v>67</v>
      </c>
      <c r="AV10" s="30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71" t="s">
        <v>72</v>
      </c>
      <c r="C11" s="271" t="s">
        <v>73</v>
      </c>
      <c r="D11" s="271" t="s">
        <v>74</v>
      </c>
      <c r="E11" s="271" t="s">
        <v>75</v>
      </c>
      <c r="F11" s="271" t="s">
        <v>126</v>
      </c>
      <c r="G11" s="271" t="s">
        <v>74</v>
      </c>
      <c r="H11" s="271" t="s">
        <v>75</v>
      </c>
      <c r="I11" s="271" t="s">
        <v>126</v>
      </c>
      <c r="J11" s="334"/>
      <c r="K11" s="271" t="s">
        <v>75</v>
      </c>
      <c r="L11" s="271" t="s">
        <v>75</v>
      </c>
      <c r="M11" s="271" t="s">
        <v>75</v>
      </c>
      <c r="N11" s="28" t="s">
        <v>29</v>
      </c>
      <c r="O11" s="336"/>
      <c r="P11" s="28" t="s">
        <v>29</v>
      </c>
      <c r="Q11" s="325"/>
      <c r="R11" s="325"/>
      <c r="S11" s="1">
        <f>'MAY 22'!S36</f>
        <v>95334769</v>
      </c>
      <c r="T11" s="315"/>
      <c r="U11" s="316"/>
      <c r="V11" s="317"/>
      <c r="W11" s="271" t="s">
        <v>75</v>
      </c>
      <c r="X11" s="271" t="s">
        <v>75</v>
      </c>
      <c r="Y11" s="31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'MAY 22'!AI36</f>
        <v>15960040</v>
      </c>
      <c r="AJ11" s="307"/>
      <c r="AK11" s="323"/>
      <c r="AL11" s="271" t="s">
        <v>84</v>
      </c>
      <c r="AM11" s="271" t="s">
        <v>84</v>
      </c>
      <c r="AN11" s="271" t="s">
        <v>84</v>
      </c>
      <c r="AO11" s="271" t="s">
        <v>84</v>
      </c>
      <c r="AP11" s="271" t="s">
        <v>84</v>
      </c>
      <c r="AQ11" s="271" t="s">
        <v>84</v>
      </c>
      <c r="AR11" s="271" t="s">
        <v>84</v>
      </c>
      <c r="AS11" s="1"/>
      <c r="AT11" s="325"/>
      <c r="AU11" s="268" t="s">
        <v>85</v>
      </c>
      <c r="AV11" s="307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283</v>
      </c>
      <c r="B12" s="305" t="s">
        <v>284</v>
      </c>
      <c r="C12" s="305" t="s">
        <v>285</v>
      </c>
      <c r="D12" s="305" t="s">
        <v>286</v>
      </c>
      <c r="E12" s="305" t="s">
        <v>287</v>
      </c>
      <c r="F12" s="305" t="s">
        <v>288</v>
      </c>
      <c r="G12" s="305" t="s">
        <v>289</v>
      </c>
      <c r="H12" s="305" t="s">
        <v>290</v>
      </c>
      <c r="I12" s="305" t="s">
        <v>291</v>
      </c>
      <c r="J12" s="297" t="s">
        <v>292</v>
      </c>
      <c r="K12" s="305" t="s">
        <v>293</v>
      </c>
      <c r="L12" s="305" t="s">
        <v>294</v>
      </c>
      <c r="M12" s="305" t="s">
        <v>295</v>
      </c>
      <c r="N12" s="28" t="s">
        <v>296</v>
      </c>
      <c r="O12" s="298" t="s">
        <v>297</v>
      </c>
      <c r="P12" s="28" t="s">
        <v>298</v>
      </c>
      <c r="Q12" s="300" t="s">
        <v>299</v>
      </c>
      <c r="R12" s="300" t="s">
        <v>300</v>
      </c>
      <c r="S12" s="1" t="s">
        <v>301</v>
      </c>
      <c r="T12" s="302" t="s">
        <v>302</v>
      </c>
      <c r="U12" s="303" t="s">
        <v>303</v>
      </c>
      <c r="V12" s="304" t="s">
        <v>304</v>
      </c>
      <c r="W12" s="305" t="s">
        <v>305</v>
      </c>
      <c r="X12" s="305" t="s">
        <v>306</v>
      </c>
      <c r="Y12" s="305" t="s">
        <v>307</v>
      </c>
      <c r="Z12" s="37" t="s">
        <v>308</v>
      </c>
      <c r="AA12" s="37" t="s">
        <v>309</v>
      </c>
      <c r="AB12" s="37" t="s">
        <v>310</v>
      </c>
      <c r="AC12" s="37" t="s">
        <v>311</v>
      </c>
      <c r="AD12" s="37" t="s">
        <v>312</v>
      </c>
      <c r="AE12" s="37" t="s">
        <v>313</v>
      </c>
      <c r="AF12" s="37" t="s">
        <v>314</v>
      </c>
      <c r="AG12" s="37" t="s">
        <v>315</v>
      </c>
      <c r="AH12" s="38" t="s">
        <v>316</v>
      </c>
      <c r="AI12" s="1" t="s">
        <v>317</v>
      </c>
      <c r="AJ12" s="301" t="s">
        <v>318</v>
      </c>
      <c r="AK12" s="306" t="s">
        <v>319</v>
      </c>
      <c r="AL12" s="305" t="s">
        <v>320</v>
      </c>
      <c r="AM12" s="305" t="s">
        <v>321</v>
      </c>
      <c r="AN12" s="305" t="s">
        <v>322</v>
      </c>
      <c r="AO12" s="305" t="s">
        <v>323</v>
      </c>
      <c r="AP12" s="305" t="s">
        <v>324</v>
      </c>
      <c r="AQ12" s="305" t="s">
        <v>325</v>
      </c>
      <c r="AR12" s="305" t="s">
        <v>326</v>
      </c>
      <c r="AS12" s="1" t="s">
        <v>327</v>
      </c>
      <c r="AT12" s="300" t="s">
        <v>328</v>
      </c>
      <c r="AU12" s="299" t="s">
        <v>329</v>
      </c>
      <c r="AV12" s="301"/>
      <c r="AY12" s="39"/>
      <c r="AZ12" s="39"/>
      <c r="BB12" s="136"/>
    </row>
    <row r="13" spans="1:54" x14ac:dyDescent="0.35">
      <c r="A13" s="357">
        <v>43243</v>
      </c>
      <c r="B13" s="40">
        <v>2</v>
      </c>
      <c r="C13" s="40">
        <v>4.1666666666666664E-2</v>
      </c>
      <c r="D13" s="156">
        <v>3</v>
      </c>
      <c r="E13" s="154">
        <f>D13/1.42</f>
        <v>2.1126760563380285</v>
      </c>
      <c r="F13" s="154">
        <v>1</v>
      </c>
      <c r="G13" s="118">
        <v>67</v>
      </c>
      <c r="H13" s="154">
        <f t="shared" ref="H13:H36" si="0">G13/1.42</f>
        <v>47.183098591549296</v>
      </c>
      <c r="I13" s="154">
        <v>75</v>
      </c>
      <c r="J13" s="41" t="s">
        <v>88</v>
      </c>
      <c r="K13" s="41">
        <f>L13-(2/1.42)</f>
        <v>42.253521126760567</v>
      </c>
      <c r="L13" s="42">
        <f>(G13-5)/1.42</f>
        <v>43.661971830985919</v>
      </c>
      <c r="M13" s="41">
        <f>L13+(6/1.42)</f>
        <v>47.887323943661976</v>
      </c>
      <c r="N13" s="43">
        <v>14</v>
      </c>
      <c r="O13" s="44" t="s">
        <v>89</v>
      </c>
      <c r="P13" s="44">
        <v>11.4</v>
      </c>
      <c r="Q13" s="157">
        <v>148</v>
      </c>
      <c r="R13" s="157"/>
      <c r="S13" s="157">
        <v>95339419</v>
      </c>
      <c r="T13" s="45">
        <f>IF(ISBLANK(S13),"-",S13-S11)</f>
        <v>4650</v>
      </c>
      <c r="U13" s="46">
        <f>T13*24/1000</f>
        <v>111.6</v>
      </c>
      <c r="V13" s="46">
        <f>T13/1000</f>
        <v>4.6500000000000004</v>
      </c>
      <c r="W13" s="96">
        <v>3.4</v>
      </c>
      <c r="X13" s="96">
        <f t="shared" ref="X13:X36" si="1">W13</f>
        <v>3.4</v>
      </c>
      <c r="Y13" s="97" t="s">
        <v>138</v>
      </c>
      <c r="Z13" s="158">
        <v>0</v>
      </c>
      <c r="AA13" s="158">
        <v>0</v>
      </c>
      <c r="AB13" s="158">
        <v>0</v>
      </c>
      <c r="AC13" s="158">
        <v>1185</v>
      </c>
      <c r="AD13" s="158">
        <v>1187</v>
      </c>
      <c r="AE13" s="158">
        <v>1185</v>
      </c>
      <c r="AF13" s="47" t="s">
        <v>90</v>
      </c>
      <c r="AG13" s="47" t="s">
        <v>90</v>
      </c>
      <c r="AH13" s="98" t="s">
        <v>90</v>
      </c>
      <c r="AI13" s="103">
        <v>15961156</v>
      </c>
      <c r="AJ13" s="45">
        <f>IF(ISBLANK(AI13),"-",AI13-AI11)</f>
        <v>1116</v>
      </c>
      <c r="AK13" s="48">
        <f>AJ13/V13</f>
        <v>239.99999999999997</v>
      </c>
      <c r="AL13" s="155">
        <v>0</v>
      </c>
      <c r="AM13" s="155">
        <v>0</v>
      </c>
      <c r="AN13" s="155">
        <v>0</v>
      </c>
      <c r="AO13" s="155">
        <v>1</v>
      </c>
      <c r="AP13" s="155">
        <v>1</v>
      </c>
      <c r="AQ13" s="155">
        <v>1</v>
      </c>
      <c r="AR13" s="155">
        <v>0.8</v>
      </c>
      <c r="AS13" s="158"/>
      <c r="AT13" s="158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357">
        <v>43243</v>
      </c>
      <c r="B14" s="40">
        <v>2.0416666666666701</v>
      </c>
      <c r="C14" s="40">
        <v>8.3333333333333329E-2</v>
      </c>
      <c r="D14" s="156">
        <v>3</v>
      </c>
      <c r="E14" s="154">
        <f t="shared" ref="E14:E36" si="2">D14/1.42</f>
        <v>2.1126760563380285</v>
      </c>
      <c r="F14" s="154">
        <v>2</v>
      </c>
      <c r="G14" s="118">
        <v>70</v>
      </c>
      <c r="H14" s="154">
        <f t="shared" si="0"/>
        <v>49.295774647887328</v>
      </c>
      <c r="I14" s="154">
        <v>76</v>
      </c>
      <c r="J14" s="41" t="s">
        <v>88</v>
      </c>
      <c r="K14" s="41">
        <f t="shared" ref="K14:K36" si="3">L14-(2/1.42)</f>
        <v>44.366197183098592</v>
      </c>
      <c r="L14" s="42">
        <f>(G14-5)/1.42</f>
        <v>45.774647887323944</v>
      </c>
      <c r="M14" s="41">
        <f>L14+(6/1.42)</f>
        <v>50</v>
      </c>
      <c r="N14" s="43">
        <v>14</v>
      </c>
      <c r="O14" s="44" t="s">
        <v>89</v>
      </c>
      <c r="P14" s="44">
        <v>11.2</v>
      </c>
      <c r="Q14" s="157">
        <v>147</v>
      </c>
      <c r="R14" s="157"/>
      <c r="S14" s="157">
        <v>95343015</v>
      </c>
      <c r="T14" s="45">
        <f t="shared" ref="T14:T36" si="4">IF(ISBLANK(S14),"-",S14-S13)</f>
        <v>3596</v>
      </c>
      <c r="U14" s="46">
        <f t="shared" ref="U14:U37" si="5">T14*24/1000</f>
        <v>86.304000000000002</v>
      </c>
      <c r="V14" s="46">
        <f t="shared" ref="V14:V37" si="6">T14/1000</f>
        <v>3.5960000000000001</v>
      </c>
      <c r="W14" s="96">
        <v>5.0999999999999996</v>
      </c>
      <c r="X14" s="96">
        <f t="shared" si="1"/>
        <v>5.0999999999999996</v>
      </c>
      <c r="Y14" s="97" t="s">
        <v>138</v>
      </c>
      <c r="Z14" s="158">
        <v>0</v>
      </c>
      <c r="AA14" s="158">
        <v>0</v>
      </c>
      <c r="AB14" s="158">
        <v>0</v>
      </c>
      <c r="AC14" s="158">
        <v>1185</v>
      </c>
      <c r="AD14" s="158">
        <v>1187</v>
      </c>
      <c r="AE14" s="158">
        <v>1185</v>
      </c>
      <c r="AF14" s="47" t="s">
        <v>90</v>
      </c>
      <c r="AG14" s="47" t="s">
        <v>90</v>
      </c>
      <c r="AH14" s="98" t="s">
        <v>90</v>
      </c>
      <c r="AI14" s="103">
        <v>15962261</v>
      </c>
      <c r="AJ14" s="45">
        <f t="shared" ref="AJ14:AJ36" si="7">IF(ISBLANK(AI14),"-",AI14-AI13)</f>
        <v>1105</v>
      </c>
      <c r="AK14" s="48">
        <f t="shared" ref="AK14:AK36" si="8">AJ14/V14</f>
        <v>307.28587319243604</v>
      </c>
      <c r="AL14" s="155">
        <v>0</v>
      </c>
      <c r="AM14" s="155">
        <v>0</v>
      </c>
      <c r="AN14" s="155">
        <v>0</v>
      </c>
      <c r="AO14" s="155">
        <v>1</v>
      </c>
      <c r="AP14" s="155">
        <v>1</v>
      </c>
      <c r="AQ14" s="155">
        <v>1</v>
      </c>
      <c r="AR14" s="155">
        <v>0.8</v>
      </c>
      <c r="AS14" s="158"/>
      <c r="AT14" s="158">
        <f t="shared" ref="AT14:AT35" si="9">AS14-AS13</f>
        <v>0</v>
      </c>
      <c r="AU14" s="119">
        <v>0.99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57">
        <v>43243</v>
      </c>
      <c r="B15" s="40">
        <v>2.0833333333333299</v>
      </c>
      <c r="C15" s="40">
        <v>0.125</v>
      </c>
      <c r="D15" s="156">
        <v>3</v>
      </c>
      <c r="E15" s="154">
        <f t="shared" si="2"/>
        <v>2.1126760563380285</v>
      </c>
      <c r="F15" s="154">
        <v>4</v>
      </c>
      <c r="G15" s="118">
        <v>71</v>
      </c>
      <c r="H15" s="154">
        <f t="shared" si="0"/>
        <v>50</v>
      </c>
      <c r="I15" s="154">
        <v>77</v>
      </c>
      <c r="J15" s="41" t="s">
        <v>88</v>
      </c>
      <c r="K15" s="41">
        <f t="shared" si="3"/>
        <v>45.070422535211272</v>
      </c>
      <c r="L15" s="42">
        <f>(G15-5)/1.42</f>
        <v>46.478873239436624</v>
      </c>
      <c r="M15" s="41">
        <f>L15+(6/1.42)</f>
        <v>50.70422535211268</v>
      </c>
      <c r="N15" s="43">
        <v>14</v>
      </c>
      <c r="O15" s="44" t="s">
        <v>89</v>
      </c>
      <c r="P15" s="44">
        <v>11.2</v>
      </c>
      <c r="Q15" s="157">
        <v>142</v>
      </c>
      <c r="R15" s="157"/>
      <c r="S15" s="157">
        <v>95346215</v>
      </c>
      <c r="T15" s="45">
        <f>IF(ISBLANK(S15),"-",S15-S14)</f>
        <v>3200</v>
      </c>
      <c r="U15" s="46">
        <f t="shared" si="5"/>
        <v>76.8</v>
      </c>
      <c r="V15" s="46">
        <f t="shared" si="6"/>
        <v>3.2</v>
      </c>
      <c r="W15" s="96">
        <v>6.7</v>
      </c>
      <c r="X15" s="96">
        <f t="shared" si="1"/>
        <v>6.7</v>
      </c>
      <c r="Y15" s="97" t="s">
        <v>138</v>
      </c>
      <c r="Z15" s="158">
        <v>0</v>
      </c>
      <c r="AA15" s="158">
        <v>0</v>
      </c>
      <c r="AB15" s="158">
        <v>0</v>
      </c>
      <c r="AC15" s="158">
        <v>1185</v>
      </c>
      <c r="AD15" s="158">
        <v>1187</v>
      </c>
      <c r="AE15" s="158">
        <v>1185</v>
      </c>
      <c r="AF15" s="47" t="s">
        <v>90</v>
      </c>
      <c r="AG15" s="47" t="s">
        <v>90</v>
      </c>
      <c r="AH15" s="98" t="s">
        <v>90</v>
      </c>
      <c r="AI15" s="103">
        <v>15963271</v>
      </c>
      <c r="AJ15" s="45">
        <f t="shared" si="7"/>
        <v>1010</v>
      </c>
      <c r="AK15" s="48">
        <f t="shared" si="8"/>
        <v>315.625</v>
      </c>
      <c r="AL15" s="155">
        <v>0</v>
      </c>
      <c r="AM15" s="155">
        <v>0</v>
      </c>
      <c r="AN15" s="155">
        <v>0</v>
      </c>
      <c r="AO15" s="155">
        <v>1</v>
      </c>
      <c r="AP15" s="155">
        <v>1</v>
      </c>
      <c r="AQ15" s="155">
        <v>1</v>
      </c>
      <c r="AR15" s="155">
        <v>0.8</v>
      </c>
      <c r="AS15" s="158"/>
      <c r="AT15" s="158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357">
        <v>43243</v>
      </c>
      <c r="B16" s="40">
        <v>2.125</v>
      </c>
      <c r="C16" s="40">
        <v>0.16666666666666699</v>
      </c>
      <c r="D16" s="156">
        <v>3</v>
      </c>
      <c r="E16" s="154">
        <f t="shared" si="2"/>
        <v>2.1126760563380285</v>
      </c>
      <c r="F16" s="154">
        <v>6</v>
      </c>
      <c r="G16" s="118">
        <v>70</v>
      </c>
      <c r="H16" s="154">
        <f t="shared" si="0"/>
        <v>49.295774647887328</v>
      </c>
      <c r="I16" s="154">
        <v>79</v>
      </c>
      <c r="J16" s="41" t="s">
        <v>88</v>
      </c>
      <c r="K16" s="41">
        <f t="shared" si="3"/>
        <v>44.366197183098592</v>
      </c>
      <c r="L16" s="42">
        <f>(G16-5)/1.42</f>
        <v>45.774647887323944</v>
      </c>
      <c r="M16" s="41">
        <f>L16+(6/1.42)</f>
        <v>50</v>
      </c>
      <c r="N16" s="43">
        <v>14</v>
      </c>
      <c r="O16" s="44" t="s">
        <v>89</v>
      </c>
      <c r="P16" s="44">
        <v>12.8</v>
      </c>
      <c r="Q16" s="157">
        <v>143</v>
      </c>
      <c r="R16" s="157"/>
      <c r="S16" s="157">
        <v>95351151</v>
      </c>
      <c r="T16" s="45">
        <f t="shared" si="4"/>
        <v>4936</v>
      </c>
      <c r="U16" s="46">
        <f t="shared" si="5"/>
        <v>118.464</v>
      </c>
      <c r="V16" s="46">
        <f t="shared" si="6"/>
        <v>4.9359999999999999</v>
      </c>
      <c r="W16" s="96">
        <v>8.3000000000000007</v>
      </c>
      <c r="X16" s="96">
        <f t="shared" si="1"/>
        <v>8.3000000000000007</v>
      </c>
      <c r="Y16" s="97" t="s">
        <v>138</v>
      </c>
      <c r="Z16" s="158">
        <v>0</v>
      </c>
      <c r="AA16" s="158">
        <v>0</v>
      </c>
      <c r="AB16" s="158">
        <v>0</v>
      </c>
      <c r="AC16" s="158">
        <v>1185</v>
      </c>
      <c r="AD16" s="158">
        <v>1187</v>
      </c>
      <c r="AE16" s="158">
        <v>1185</v>
      </c>
      <c r="AF16" s="47" t="s">
        <v>90</v>
      </c>
      <c r="AG16" s="47" t="s">
        <v>90</v>
      </c>
      <c r="AH16" s="98" t="s">
        <v>90</v>
      </c>
      <c r="AI16" s="103">
        <v>15964282</v>
      </c>
      <c r="AJ16" s="45">
        <f t="shared" si="7"/>
        <v>1011</v>
      </c>
      <c r="AK16" s="48">
        <f t="shared" si="8"/>
        <v>204.82171799027552</v>
      </c>
      <c r="AL16" s="155">
        <v>0</v>
      </c>
      <c r="AM16" s="155">
        <v>0</v>
      </c>
      <c r="AN16" s="155">
        <v>0</v>
      </c>
      <c r="AO16" s="155">
        <v>1</v>
      </c>
      <c r="AP16" s="155">
        <v>1</v>
      </c>
      <c r="AQ16" s="155">
        <v>1</v>
      </c>
      <c r="AR16" s="155">
        <v>0.8</v>
      </c>
      <c r="AS16" s="158"/>
      <c r="AT16" s="158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357">
        <v>43243</v>
      </c>
      <c r="B17" s="40">
        <v>2.1666666666666701</v>
      </c>
      <c r="C17" s="40">
        <v>0.20833333333333301</v>
      </c>
      <c r="D17" s="156">
        <v>3</v>
      </c>
      <c r="E17" s="154">
        <f t="shared" si="2"/>
        <v>2.1126760563380285</v>
      </c>
      <c r="F17" s="154">
        <v>7</v>
      </c>
      <c r="G17" s="118">
        <v>80</v>
      </c>
      <c r="H17" s="154">
        <f t="shared" si="0"/>
        <v>56.338028169014088</v>
      </c>
      <c r="I17" s="154">
        <v>80</v>
      </c>
      <c r="J17" s="41" t="s">
        <v>88</v>
      </c>
      <c r="K17" s="41">
        <f t="shared" si="3"/>
        <v>51.408450704225352</v>
      </c>
      <c r="L17" s="42">
        <f>(G17-5)/1.42</f>
        <v>52.816901408450704</v>
      </c>
      <c r="M17" s="41">
        <f>L17+(6/1.42)</f>
        <v>57.04225352112676</v>
      </c>
      <c r="N17" s="43">
        <v>18</v>
      </c>
      <c r="O17" s="44" t="s">
        <v>89</v>
      </c>
      <c r="P17" s="44">
        <v>13.1</v>
      </c>
      <c r="Q17" s="157">
        <v>130</v>
      </c>
      <c r="R17" s="157"/>
      <c r="S17" s="157">
        <v>95356121</v>
      </c>
      <c r="T17" s="45">
        <f t="shared" si="4"/>
        <v>4970</v>
      </c>
      <c r="U17" s="46">
        <f t="shared" si="5"/>
        <v>119.28</v>
      </c>
      <c r="V17" s="46">
        <f t="shared" si="6"/>
        <v>4.97</v>
      </c>
      <c r="W17" s="96">
        <v>9.5</v>
      </c>
      <c r="X17" s="96">
        <f t="shared" si="1"/>
        <v>9.5</v>
      </c>
      <c r="Y17" s="97" t="s">
        <v>138</v>
      </c>
      <c r="Z17" s="158">
        <v>0</v>
      </c>
      <c r="AA17" s="158">
        <v>0</v>
      </c>
      <c r="AB17" s="158">
        <v>0</v>
      </c>
      <c r="AC17" s="158">
        <v>1185</v>
      </c>
      <c r="AD17" s="158">
        <v>1187</v>
      </c>
      <c r="AE17" s="158">
        <v>1185</v>
      </c>
      <c r="AF17" s="47" t="s">
        <v>90</v>
      </c>
      <c r="AG17" s="47" t="s">
        <v>90</v>
      </c>
      <c r="AH17" s="98" t="s">
        <v>90</v>
      </c>
      <c r="AI17" s="103">
        <v>15965542</v>
      </c>
      <c r="AJ17" s="45">
        <f t="shared" si="7"/>
        <v>1260</v>
      </c>
      <c r="AK17" s="48">
        <f t="shared" si="8"/>
        <v>253.52112676056339</v>
      </c>
      <c r="AL17" s="155">
        <v>0</v>
      </c>
      <c r="AM17" s="155">
        <v>0</v>
      </c>
      <c r="AN17" s="155">
        <v>0</v>
      </c>
      <c r="AO17" s="155">
        <v>1</v>
      </c>
      <c r="AP17" s="155">
        <v>1</v>
      </c>
      <c r="AQ17" s="155">
        <v>1</v>
      </c>
      <c r="AR17" s="155">
        <v>0</v>
      </c>
      <c r="AS17" s="158"/>
      <c r="AT17" s="158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57">
        <v>43243</v>
      </c>
      <c r="B18" s="40">
        <v>2.2083333333333299</v>
      </c>
      <c r="C18" s="40">
        <v>0.25</v>
      </c>
      <c r="D18" s="156">
        <v>3</v>
      </c>
      <c r="E18" s="154">
        <f t="shared" si="2"/>
        <v>2.1126760563380285</v>
      </c>
      <c r="F18" s="154">
        <v>7</v>
      </c>
      <c r="G18" s="118">
        <v>77</v>
      </c>
      <c r="H18" s="154">
        <f t="shared" si="0"/>
        <v>54.225352112676056</v>
      </c>
      <c r="I18" s="154">
        <v>75</v>
      </c>
      <c r="J18" s="41" t="s">
        <v>88</v>
      </c>
      <c r="K18" s="41">
        <f t="shared" si="3"/>
        <v>52.816901408450704</v>
      </c>
      <c r="L18" s="42">
        <f t="shared" ref="L18:L27" si="10">G18/1.42</f>
        <v>54.225352112676056</v>
      </c>
      <c r="M18" s="41">
        <f>L18+1.42</f>
        <v>55.645352112676058</v>
      </c>
      <c r="N18" s="43">
        <v>19</v>
      </c>
      <c r="O18" s="44" t="s">
        <v>100</v>
      </c>
      <c r="P18" s="44">
        <v>13.1</v>
      </c>
      <c r="Q18" s="157">
        <v>139</v>
      </c>
      <c r="R18" s="157"/>
      <c r="S18" s="157">
        <v>95360531</v>
      </c>
      <c r="T18" s="45">
        <f t="shared" si="4"/>
        <v>4410</v>
      </c>
      <c r="U18" s="46">
        <f t="shared" si="5"/>
        <v>105.84</v>
      </c>
      <c r="V18" s="46">
        <f t="shared" si="6"/>
        <v>4.41</v>
      </c>
      <c r="W18" s="96">
        <v>9.5</v>
      </c>
      <c r="X18" s="96">
        <f t="shared" si="1"/>
        <v>9.5</v>
      </c>
      <c r="Y18" s="97" t="s">
        <v>138</v>
      </c>
      <c r="Z18" s="158">
        <v>0</v>
      </c>
      <c r="AA18" s="158">
        <v>0</v>
      </c>
      <c r="AB18" s="158">
        <v>0</v>
      </c>
      <c r="AC18" s="158">
        <v>1185</v>
      </c>
      <c r="AD18" s="158">
        <v>1187</v>
      </c>
      <c r="AE18" s="158">
        <v>1185</v>
      </c>
      <c r="AF18" s="47" t="s">
        <v>90</v>
      </c>
      <c r="AG18" s="47" t="s">
        <v>90</v>
      </c>
      <c r="AH18" s="98" t="s">
        <v>90</v>
      </c>
      <c r="AI18" s="103">
        <v>15966613</v>
      </c>
      <c r="AJ18" s="45">
        <f t="shared" si="7"/>
        <v>1071</v>
      </c>
      <c r="AK18" s="48">
        <f t="shared" si="8"/>
        <v>242.85714285714286</v>
      </c>
      <c r="AL18" s="155">
        <v>0</v>
      </c>
      <c r="AM18" s="155">
        <v>0</v>
      </c>
      <c r="AN18" s="155">
        <v>0</v>
      </c>
      <c r="AO18" s="155">
        <v>1</v>
      </c>
      <c r="AP18" s="155">
        <v>1</v>
      </c>
      <c r="AQ18" s="155">
        <v>1</v>
      </c>
      <c r="AR18" s="155">
        <v>0</v>
      </c>
      <c r="AS18" s="158"/>
      <c r="AT18" s="158">
        <f t="shared" si="9"/>
        <v>0</v>
      </c>
      <c r="AU18" s="119">
        <v>0.84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57">
        <v>43243</v>
      </c>
      <c r="B19" s="40">
        <v>2.25</v>
      </c>
      <c r="C19" s="40">
        <v>0.29166666666666669</v>
      </c>
      <c r="D19" s="156">
        <v>3</v>
      </c>
      <c r="E19" s="154">
        <f t="shared" si="2"/>
        <v>2.1126760563380285</v>
      </c>
      <c r="F19" s="154">
        <v>6</v>
      </c>
      <c r="G19" s="118">
        <v>80</v>
      </c>
      <c r="H19" s="154">
        <f t="shared" si="0"/>
        <v>56.338028169014088</v>
      </c>
      <c r="I19" s="154">
        <v>78</v>
      </c>
      <c r="J19" s="41" t="s">
        <v>88</v>
      </c>
      <c r="K19" s="41">
        <f t="shared" si="3"/>
        <v>54.929577464788736</v>
      </c>
      <c r="L19" s="42">
        <f t="shared" si="10"/>
        <v>56.338028169014088</v>
      </c>
      <c r="M19" s="41">
        <f>L19+1.42</f>
        <v>57.758028169014089</v>
      </c>
      <c r="N19" s="43">
        <v>19</v>
      </c>
      <c r="O19" s="44" t="s">
        <v>100</v>
      </c>
      <c r="P19" s="44">
        <v>16.7</v>
      </c>
      <c r="Q19" s="157">
        <v>133</v>
      </c>
      <c r="R19" s="157"/>
      <c r="S19" s="157">
        <v>95365350</v>
      </c>
      <c r="T19" s="45">
        <f t="shared" si="4"/>
        <v>4819</v>
      </c>
      <c r="U19" s="46">
        <f t="shared" si="5"/>
        <v>115.65600000000001</v>
      </c>
      <c r="V19" s="46">
        <f t="shared" si="6"/>
        <v>4.819</v>
      </c>
      <c r="W19" s="96">
        <v>9.1</v>
      </c>
      <c r="X19" s="96">
        <f t="shared" si="1"/>
        <v>9.1</v>
      </c>
      <c r="Y19" s="97" t="s">
        <v>169</v>
      </c>
      <c r="Z19" s="158">
        <v>1026</v>
      </c>
      <c r="AA19" s="158">
        <v>0</v>
      </c>
      <c r="AB19" s="158">
        <v>0</v>
      </c>
      <c r="AC19" s="158">
        <v>1185</v>
      </c>
      <c r="AD19" s="158">
        <v>1187</v>
      </c>
      <c r="AE19" s="158">
        <v>1185</v>
      </c>
      <c r="AF19" s="47" t="s">
        <v>90</v>
      </c>
      <c r="AG19" s="47" t="s">
        <v>90</v>
      </c>
      <c r="AH19" s="98" t="s">
        <v>90</v>
      </c>
      <c r="AI19" s="103">
        <v>15967804</v>
      </c>
      <c r="AJ19" s="45">
        <f t="shared" si="7"/>
        <v>1191</v>
      </c>
      <c r="AK19" s="48">
        <f t="shared" si="8"/>
        <v>247.14671093587882</v>
      </c>
      <c r="AL19" s="155">
        <v>1</v>
      </c>
      <c r="AM19" s="155">
        <v>0</v>
      </c>
      <c r="AN19" s="155">
        <v>0</v>
      </c>
      <c r="AO19" s="155">
        <v>1</v>
      </c>
      <c r="AP19" s="155">
        <v>1</v>
      </c>
      <c r="AQ19" s="155">
        <v>1</v>
      </c>
      <c r="AR19" s="155">
        <v>0</v>
      </c>
      <c r="AS19" s="158"/>
      <c r="AT19" s="158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57">
        <v>43243</v>
      </c>
      <c r="B20" s="40">
        <v>2.2916666666666701</v>
      </c>
      <c r="C20" s="40">
        <v>0.33333333333333298</v>
      </c>
      <c r="D20" s="156">
        <v>3</v>
      </c>
      <c r="E20" s="154">
        <f t="shared" si="2"/>
        <v>2.1126760563380285</v>
      </c>
      <c r="F20" s="154">
        <v>6</v>
      </c>
      <c r="G20" s="118">
        <v>77</v>
      </c>
      <c r="H20" s="154">
        <f t="shared" si="0"/>
        <v>54.225352112676056</v>
      </c>
      <c r="I20" s="154">
        <v>75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7">
        <v>131</v>
      </c>
      <c r="R20" s="157"/>
      <c r="S20" s="157">
        <v>95370251</v>
      </c>
      <c r="T20" s="45">
        <f t="shared" si="4"/>
        <v>4901</v>
      </c>
      <c r="U20" s="46">
        <f>T20*24/1000</f>
        <v>117.624</v>
      </c>
      <c r="V20" s="46">
        <f t="shared" si="6"/>
        <v>4.9009999999999998</v>
      </c>
      <c r="W20" s="96">
        <v>8.5</v>
      </c>
      <c r="X20" s="96">
        <f t="shared" si="1"/>
        <v>8.5</v>
      </c>
      <c r="Y20" s="97" t="s">
        <v>169</v>
      </c>
      <c r="Z20" s="158">
        <v>1027</v>
      </c>
      <c r="AA20" s="158">
        <v>0</v>
      </c>
      <c r="AB20" s="158">
        <v>0</v>
      </c>
      <c r="AC20" s="158">
        <v>1185</v>
      </c>
      <c r="AD20" s="158">
        <v>1187</v>
      </c>
      <c r="AE20" s="158">
        <v>1185</v>
      </c>
      <c r="AF20" s="47" t="s">
        <v>90</v>
      </c>
      <c r="AG20" s="47" t="s">
        <v>90</v>
      </c>
      <c r="AH20" s="98" t="s">
        <v>90</v>
      </c>
      <c r="AI20" s="103">
        <v>15969005</v>
      </c>
      <c r="AJ20" s="45">
        <f t="shared" si="7"/>
        <v>1201</v>
      </c>
      <c r="AK20" s="48">
        <f t="shared" si="8"/>
        <v>245.05203019791881</v>
      </c>
      <c r="AL20" s="155">
        <v>1</v>
      </c>
      <c r="AM20" s="155">
        <v>0</v>
      </c>
      <c r="AN20" s="155">
        <v>0</v>
      </c>
      <c r="AO20" s="155">
        <v>1</v>
      </c>
      <c r="AP20" s="155">
        <v>1</v>
      </c>
      <c r="AQ20" s="155">
        <v>1</v>
      </c>
      <c r="AR20" s="155">
        <v>0</v>
      </c>
      <c r="AS20" s="158"/>
      <c r="AT20" s="158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357">
        <v>43243</v>
      </c>
      <c r="B21" s="40">
        <v>2.3333333333333299</v>
      </c>
      <c r="C21" s="40">
        <v>0.375</v>
      </c>
      <c r="D21" s="156">
        <v>3</v>
      </c>
      <c r="E21" s="154">
        <f t="shared" si="2"/>
        <v>2.1126760563380285</v>
      </c>
      <c r="F21" s="154">
        <v>5</v>
      </c>
      <c r="G21" s="118">
        <v>76</v>
      </c>
      <c r="H21" s="154">
        <f t="shared" si="0"/>
        <v>53.521126760563384</v>
      </c>
      <c r="I21" s="154">
        <v>73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7">
        <v>129</v>
      </c>
      <c r="R21" s="157"/>
      <c r="S21" s="157">
        <v>95374577</v>
      </c>
      <c r="T21" s="45">
        <f t="shared" si="4"/>
        <v>4326</v>
      </c>
      <c r="U21" s="46">
        <f t="shared" si="5"/>
        <v>103.824</v>
      </c>
      <c r="V21" s="46">
        <f t="shared" si="6"/>
        <v>4.3259999999999996</v>
      </c>
      <c r="W21" s="96">
        <v>7.8</v>
      </c>
      <c r="X21" s="96">
        <f t="shared" si="1"/>
        <v>7.8</v>
      </c>
      <c r="Y21" s="97" t="s">
        <v>169</v>
      </c>
      <c r="Z21" s="158">
        <v>1027</v>
      </c>
      <c r="AA21" s="158">
        <v>0</v>
      </c>
      <c r="AB21" s="158">
        <v>0</v>
      </c>
      <c r="AC21" s="158">
        <v>1185</v>
      </c>
      <c r="AD21" s="158">
        <v>1187</v>
      </c>
      <c r="AE21" s="158">
        <v>1185</v>
      </c>
      <c r="AF21" s="47" t="s">
        <v>90</v>
      </c>
      <c r="AG21" s="47" t="s">
        <v>90</v>
      </c>
      <c r="AH21" s="98" t="s">
        <v>90</v>
      </c>
      <c r="AI21" s="103">
        <v>15970197</v>
      </c>
      <c r="AJ21" s="45">
        <f t="shared" si="7"/>
        <v>1192</v>
      </c>
      <c r="AK21" s="48">
        <f t="shared" si="8"/>
        <v>275.54322699953769</v>
      </c>
      <c r="AL21" s="155">
        <v>1</v>
      </c>
      <c r="AM21" s="155">
        <v>0</v>
      </c>
      <c r="AN21" s="155">
        <v>0</v>
      </c>
      <c r="AO21" s="155">
        <v>1</v>
      </c>
      <c r="AP21" s="155">
        <v>1</v>
      </c>
      <c r="AQ21" s="155">
        <v>1</v>
      </c>
      <c r="AR21" s="155">
        <v>0</v>
      </c>
      <c r="AS21" s="158"/>
      <c r="AT21" s="158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205</v>
      </c>
    </row>
    <row r="22" spans="1:54" x14ac:dyDescent="0.35">
      <c r="A22" s="357">
        <v>43243</v>
      </c>
      <c r="B22" s="40">
        <v>2.375</v>
      </c>
      <c r="C22" s="40">
        <v>0.41666666666666669</v>
      </c>
      <c r="D22" s="156">
        <v>3</v>
      </c>
      <c r="E22" s="154">
        <f t="shared" si="2"/>
        <v>2.1126760563380285</v>
      </c>
      <c r="F22" s="154">
        <v>5</v>
      </c>
      <c r="G22" s="118">
        <v>76</v>
      </c>
      <c r="H22" s="154">
        <f t="shared" si="0"/>
        <v>53.521126760563384</v>
      </c>
      <c r="I22" s="154">
        <v>73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7">
        <v>131</v>
      </c>
      <c r="R22" s="157"/>
      <c r="S22" s="157">
        <v>95378355</v>
      </c>
      <c r="T22" s="45">
        <f t="shared" si="4"/>
        <v>3778</v>
      </c>
      <c r="U22" s="46">
        <f t="shared" si="5"/>
        <v>90.671999999999997</v>
      </c>
      <c r="V22" s="46">
        <f t="shared" si="6"/>
        <v>3.778</v>
      </c>
      <c r="W22" s="96">
        <v>7.2</v>
      </c>
      <c r="X22" s="96">
        <f t="shared" si="1"/>
        <v>7.2</v>
      </c>
      <c r="Y22" s="97" t="s">
        <v>169</v>
      </c>
      <c r="Z22" s="158">
        <v>1026</v>
      </c>
      <c r="AA22" s="158">
        <v>0</v>
      </c>
      <c r="AB22" s="158">
        <v>0</v>
      </c>
      <c r="AC22" s="158">
        <v>1185</v>
      </c>
      <c r="AD22" s="158">
        <v>1187</v>
      </c>
      <c r="AE22" s="158">
        <v>1185</v>
      </c>
      <c r="AF22" s="47" t="s">
        <v>90</v>
      </c>
      <c r="AG22" s="47" t="s">
        <v>90</v>
      </c>
      <c r="AH22" s="98" t="s">
        <v>90</v>
      </c>
      <c r="AI22" s="103">
        <v>15971387</v>
      </c>
      <c r="AJ22" s="45">
        <f t="shared" si="7"/>
        <v>1190</v>
      </c>
      <c r="AK22" s="48">
        <f t="shared" si="8"/>
        <v>314.98147167813659</v>
      </c>
      <c r="AL22" s="155">
        <v>1</v>
      </c>
      <c r="AM22" s="155">
        <v>0</v>
      </c>
      <c r="AN22" s="155">
        <v>0</v>
      </c>
      <c r="AO22" s="155">
        <v>1</v>
      </c>
      <c r="AP22" s="155">
        <v>1</v>
      </c>
      <c r="AQ22" s="155">
        <v>1</v>
      </c>
      <c r="AR22" s="155">
        <v>0</v>
      </c>
      <c r="AS22" s="158"/>
      <c r="AT22" s="158">
        <f t="shared" si="9"/>
        <v>0</v>
      </c>
      <c r="AU22" s="119">
        <v>1.02</v>
      </c>
      <c r="AV22" s="50" t="s">
        <v>125</v>
      </c>
      <c r="BB22" s="136" t="s">
        <v>157</v>
      </c>
    </row>
    <row r="23" spans="1:54" x14ac:dyDescent="0.35">
      <c r="A23" s="357">
        <v>43243</v>
      </c>
      <c r="B23" s="40">
        <v>2.4166666666666701</v>
      </c>
      <c r="C23" s="40">
        <v>0.45833333333333298</v>
      </c>
      <c r="D23" s="156">
        <v>3</v>
      </c>
      <c r="E23" s="154">
        <f t="shared" si="2"/>
        <v>2.1126760563380285</v>
      </c>
      <c r="F23" s="154">
        <v>4</v>
      </c>
      <c r="G23" s="118">
        <v>76</v>
      </c>
      <c r="H23" s="154">
        <f t="shared" si="0"/>
        <v>53.521126760563384</v>
      </c>
      <c r="I23" s="154">
        <v>73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7">
        <v>131</v>
      </c>
      <c r="R23" s="157"/>
      <c r="S23" s="157">
        <v>95382075</v>
      </c>
      <c r="T23" s="45">
        <f t="shared" si="4"/>
        <v>3720</v>
      </c>
      <c r="U23" s="46">
        <f t="shared" si="5"/>
        <v>89.28</v>
      </c>
      <c r="V23" s="46">
        <f t="shared" si="6"/>
        <v>3.72</v>
      </c>
      <c r="W23" s="96">
        <v>6.6</v>
      </c>
      <c r="X23" s="96">
        <f>W23</f>
        <v>6.6</v>
      </c>
      <c r="Y23" s="97" t="s">
        <v>169</v>
      </c>
      <c r="Z23" s="158">
        <v>1027</v>
      </c>
      <c r="AA23" s="158">
        <v>0</v>
      </c>
      <c r="AB23" s="158">
        <v>0</v>
      </c>
      <c r="AC23" s="158">
        <v>1185</v>
      </c>
      <c r="AD23" s="158">
        <v>1187</v>
      </c>
      <c r="AE23" s="158">
        <v>1185</v>
      </c>
      <c r="AF23" s="47" t="s">
        <v>90</v>
      </c>
      <c r="AG23" s="47" t="s">
        <v>90</v>
      </c>
      <c r="AH23" s="98" t="s">
        <v>90</v>
      </c>
      <c r="AI23" s="103">
        <v>15972582</v>
      </c>
      <c r="AJ23" s="45">
        <f t="shared" si="7"/>
        <v>1195</v>
      </c>
      <c r="AK23" s="48">
        <f t="shared" si="8"/>
        <v>321.2365591397849</v>
      </c>
      <c r="AL23" s="155">
        <v>1</v>
      </c>
      <c r="AM23" s="155">
        <v>0</v>
      </c>
      <c r="AN23" s="155">
        <v>0</v>
      </c>
      <c r="AO23" s="155">
        <v>1</v>
      </c>
      <c r="AP23" s="155">
        <v>1</v>
      </c>
      <c r="AQ23" s="155">
        <v>1</v>
      </c>
      <c r="AR23" s="155">
        <v>0</v>
      </c>
      <c r="AS23" s="158"/>
      <c r="AT23" s="158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357">
        <v>43243</v>
      </c>
      <c r="B24" s="40">
        <v>2.4583333333333299</v>
      </c>
      <c r="C24" s="40">
        <v>0.5</v>
      </c>
      <c r="D24" s="156">
        <v>3</v>
      </c>
      <c r="E24" s="154">
        <f t="shared" si="2"/>
        <v>2.1126760563380285</v>
      </c>
      <c r="F24" s="154">
        <v>4</v>
      </c>
      <c r="G24" s="118">
        <v>75</v>
      </c>
      <c r="H24" s="154">
        <f t="shared" si="0"/>
        <v>52.816901408450704</v>
      </c>
      <c r="I24" s="154">
        <v>71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7">
        <v>129</v>
      </c>
      <c r="R24" s="157"/>
      <c r="S24" s="157">
        <v>95385712</v>
      </c>
      <c r="T24" s="45">
        <f t="shared" si="4"/>
        <v>3637</v>
      </c>
      <c r="U24" s="46">
        <f>T24*24/1000</f>
        <v>87.287999999999997</v>
      </c>
      <c r="V24" s="46">
        <f t="shared" si="6"/>
        <v>3.637</v>
      </c>
      <c r="W24" s="96">
        <v>6.1</v>
      </c>
      <c r="X24" s="96">
        <f t="shared" si="1"/>
        <v>6.1</v>
      </c>
      <c r="Y24" s="97" t="s">
        <v>169</v>
      </c>
      <c r="Z24" s="158">
        <v>1026</v>
      </c>
      <c r="AA24" s="158">
        <v>0</v>
      </c>
      <c r="AB24" s="158">
        <v>0</v>
      </c>
      <c r="AC24" s="158">
        <v>1185</v>
      </c>
      <c r="AD24" s="158">
        <v>1187</v>
      </c>
      <c r="AE24" s="158">
        <v>1185</v>
      </c>
      <c r="AF24" s="47" t="s">
        <v>90</v>
      </c>
      <c r="AG24" s="47" t="s">
        <v>90</v>
      </c>
      <c r="AH24" s="98" t="s">
        <v>90</v>
      </c>
      <c r="AI24" s="103">
        <v>15973746</v>
      </c>
      <c r="AJ24" s="45">
        <f t="shared" si="7"/>
        <v>1164</v>
      </c>
      <c r="AK24" s="48">
        <f t="shared" si="8"/>
        <v>320.04399230134726</v>
      </c>
      <c r="AL24" s="155">
        <v>1</v>
      </c>
      <c r="AM24" s="155">
        <v>0</v>
      </c>
      <c r="AN24" s="155">
        <v>0</v>
      </c>
      <c r="AO24" s="155">
        <v>1</v>
      </c>
      <c r="AP24" s="155">
        <v>1</v>
      </c>
      <c r="AQ24" s="155">
        <v>1</v>
      </c>
      <c r="AR24" s="155">
        <v>0</v>
      </c>
      <c r="AS24" s="158"/>
      <c r="AT24" s="158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357">
        <v>43243</v>
      </c>
      <c r="B25" s="40">
        <v>2.5</v>
      </c>
      <c r="C25" s="40">
        <v>0.54166666666666696</v>
      </c>
      <c r="D25" s="156">
        <v>3</v>
      </c>
      <c r="E25" s="154">
        <f t="shared" si="2"/>
        <v>2.1126760563380285</v>
      </c>
      <c r="F25" s="154">
        <v>3</v>
      </c>
      <c r="G25" s="118">
        <v>75</v>
      </c>
      <c r="H25" s="154">
        <f t="shared" si="0"/>
        <v>52.816901408450704</v>
      </c>
      <c r="I25" s="154">
        <v>71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7">
        <v>128</v>
      </c>
      <c r="R25" s="157"/>
      <c r="S25" s="157">
        <v>95389815</v>
      </c>
      <c r="T25" s="45">
        <f t="shared" si="4"/>
        <v>4103</v>
      </c>
      <c r="U25" s="46">
        <f>T25*24/1000</f>
        <v>98.471999999999994</v>
      </c>
      <c r="V25" s="46">
        <f t="shared" si="6"/>
        <v>4.1029999999999998</v>
      </c>
      <c r="W25" s="96">
        <v>5.5</v>
      </c>
      <c r="X25" s="96">
        <f t="shared" si="1"/>
        <v>5.5</v>
      </c>
      <c r="Y25" s="97" t="s">
        <v>169</v>
      </c>
      <c r="Z25" s="158">
        <v>1027</v>
      </c>
      <c r="AA25" s="158">
        <v>0</v>
      </c>
      <c r="AB25" s="158">
        <v>0</v>
      </c>
      <c r="AC25" s="158">
        <v>1185</v>
      </c>
      <c r="AD25" s="158">
        <v>1187</v>
      </c>
      <c r="AE25" s="158">
        <v>1185</v>
      </c>
      <c r="AF25" s="47" t="s">
        <v>90</v>
      </c>
      <c r="AG25" s="47" t="s">
        <v>90</v>
      </c>
      <c r="AH25" s="98" t="s">
        <v>90</v>
      </c>
      <c r="AI25" s="103">
        <v>15974927</v>
      </c>
      <c r="AJ25" s="45">
        <f t="shared" si="7"/>
        <v>1181</v>
      </c>
      <c r="AK25" s="48">
        <f t="shared" si="8"/>
        <v>287.8381671947356</v>
      </c>
      <c r="AL25" s="155">
        <v>1</v>
      </c>
      <c r="AM25" s="155">
        <v>0</v>
      </c>
      <c r="AN25" s="155">
        <v>0</v>
      </c>
      <c r="AO25" s="155">
        <v>1</v>
      </c>
      <c r="AP25" s="155">
        <v>1</v>
      </c>
      <c r="AQ25" s="155">
        <v>1</v>
      </c>
      <c r="AR25" s="155">
        <v>0</v>
      </c>
      <c r="AS25" s="158"/>
      <c r="AT25" s="158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57">
        <v>43243</v>
      </c>
      <c r="B26" s="40">
        <v>2.5416666666666701</v>
      </c>
      <c r="C26" s="40">
        <v>0.58333333333333404</v>
      </c>
      <c r="D26" s="156">
        <v>3</v>
      </c>
      <c r="E26" s="154">
        <f t="shared" si="2"/>
        <v>2.1126760563380285</v>
      </c>
      <c r="F26" s="154">
        <v>3</v>
      </c>
      <c r="G26" s="118">
        <v>75</v>
      </c>
      <c r="H26" s="154">
        <f t="shared" si="0"/>
        <v>52.816901408450704</v>
      </c>
      <c r="I26" s="154">
        <v>71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7">
        <v>126</v>
      </c>
      <c r="R26" s="157"/>
      <c r="S26" s="157">
        <v>95394344</v>
      </c>
      <c r="T26" s="45">
        <f t="shared" si="4"/>
        <v>4529</v>
      </c>
      <c r="U26" s="46">
        <f t="shared" si="5"/>
        <v>108.696</v>
      </c>
      <c r="V26" s="46">
        <f t="shared" si="6"/>
        <v>4.5289999999999999</v>
      </c>
      <c r="W26" s="96">
        <v>4.9000000000000004</v>
      </c>
      <c r="X26" s="96">
        <f t="shared" si="1"/>
        <v>4.9000000000000004</v>
      </c>
      <c r="Y26" s="97" t="s">
        <v>169</v>
      </c>
      <c r="Z26" s="158">
        <v>1025</v>
      </c>
      <c r="AA26" s="158">
        <v>0</v>
      </c>
      <c r="AB26" s="158">
        <v>0</v>
      </c>
      <c r="AC26" s="158">
        <v>1185</v>
      </c>
      <c r="AD26" s="158">
        <v>1187</v>
      </c>
      <c r="AE26" s="158">
        <v>1185</v>
      </c>
      <c r="AF26" s="47" t="s">
        <v>90</v>
      </c>
      <c r="AG26" s="47" t="s">
        <v>90</v>
      </c>
      <c r="AH26" s="98" t="s">
        <v>90</v>
      </c>
      <c r="AI26" s="103">
        <v>15976198</v>
      </c>
      <c r="AJ26" s="45">
        <f t="shared" si="7"/>
        <v>1271</v>
      </c>
      <c r="AK26" s="48">
        <f t="shared" si="8"/>
        <v>280.6359019651137</v>
      </c>
      <c r="AL26" s="155">
        <v>1</v>
      </c>
      <c r="AM26" s="155">
        <v>0</v>
      </c>
      <c r="AN26" s="155">
        <v>0</v>
      </c>
      <c r="AO26" s="155">
        <v>1</v>
      </c>
      <c r="AP26" s="155">
        <v>1</v>
      </c>
      <c r="AQ26" s="155">
        <v>1</v>
      </c>
      <c r="AR26" s="155">
        <v>0</v>
      </c>
      <c r="AS26" s="158"/>
      <c r="AT26" s="158">
        <f t="shared" si="9"/>
        <v>0</v>
      </c>
      <c r="AU26" s="119">
        <v>1.08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57">
        <v>43243</v>
      </c>
      <c r="B27" s="40">
        <v>2.5833333333333299</v>
      </c>
      <c r="C27" s="40">
        <v>0.625</v>
      </c>
      <c r="D27" s="156">
        <v>3</v>
      </c>
      <c r="E27" s="154">
        <f t="shared" si="2"/>
        <v>2.1126760563380285</v>
      </c>
      <c r="F27" s="154">
        <v>3</v>
      </c>
      <c r="G27" s="118">
        <v>77</v>
      </c>
      <c r="H27" s="154">
        <f>G27/1.42</f>
        <v>54.225352112676056</v>
      </c>
      <c r="I27" s="154">
        <v>71</v>
      </c>
      <c r="J27" s="41" t="s">
        <v>88</v>
      </c>
      <c r="K27" s="41">
        <f t="shared" si="3"/>
        <v>52.816901408450704</v>
      </c>
      <c r="L27" s="42">
        <f t="shared" si="10"/>
        <v>54.225352112676056</v>
      </c>
      <c r="M27" s="41">
        <f t="shared" si="12"/>
        <v>58.450704225352112</v>
      </c>
      <c r="N27" s="43">
        <v>18</v>
      </c>
      <c r="O27" s="44" t="s">
        <v>100</v>
      </c>
      <c r="P27" s="44">
        <v>16.899999999999999</v>
      </c>
      <c r="Q27" s="157">
        <v>126</v>
      </c>
      <c r="R27" s="157"/>
      <c r="S27" s="157">
        <v>95398326</v>
      </c>
      <c r="T27" s="45">
        <f t="shared" si="4"/>
        <v>3982</v>
      </c>
      <c r="U27" s="46">
        <f t="shared" si="5"/>
        <v>95.567999999999998</v>
      </c>
      <c r="V27" s="46">
        <f t="shared" si="6"/>
        <v>3.9820000000000002</v>
      </c>
      <c r="W27" s="96">
        <v>4.5</v>
      </c>
      <c r="X27" s="96">
        <f t="shared" si="1"/>
        <v>4.5</v>
      </c>
      <c r="Y27" s="97" t="s">
        <v>169</v>
      </c>
      <c r="Z27" s="158">
        <v>1026</v>
      </c>
      <c r="AA27" s="158">
        <v>0</v>
      </c>
      <c r="AB27" s="158">
        <v>0</v>
      </c>
      <c r="AC27" s="158">
        <v>1185</v>
      </c>
      <c r="AD27" s="158">
        <v>1187</v>
      </c>
      <c r="AE27" s="158">
        <v>1185</v>
      </c>
      <c r="AF27" s="47" t="s">
        <v>90</v>
      </c>
      <c r="AG27" s="47" t="s">
        <v>90</v>
      </c>
      <c r="AH27" s="98" t="s">
        <v>90</v>
      </c>
      <c r="AI27" s="103">
        <v>15977102</v>
      </c>
      <c r="AJ27" s="45">
        <f t="shared" si="7"/>
        <v>904</v>
      </c>
      <c r="AK27" s="48">
        <f t="shared" si="8"/>
        <v>227.02159718734302</v>
      </c>
      <c r="AL27" s="155">
        <v>1</v>
      </c>
      <c r="AM27" s="155">
        <v>0</v>
      </c>
      <c r="AN27" s="155">
        <v>0</v>
      </c>
      <c r="AO27" s="155">
        <v>1</v>
      </c>
      <c r="AP27" s="155">
        <v>1</v>
      </c>
      <c r="AQ27" s="155">
        <v>1</v>
      </c>
      <c r="AR27" s="155">
        <v>0</v>
      </c>
      <c r="AS27" s="158"/>
      <c r="AT27" s="158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57">
        <v>43243</v>
      </c>
      <c r="B28" s="40">
        <v>2.625</v>
      </c>
      <c r="C28" s="40">
        <v>0.66666666666666696</v>
      </c>
      <c r="D28" s="156">
        <v>3</v>
      </c>
      <c r="E28" s="154">
        <f t="shared" si="2"/>
        <v>2.1126760563380285</v>
      </c>
      <c r="F28" s="154">
        <v>3</v>
      </c>
      <c r="G28" s="118">
        <v>77</v>
      </c>
      <c r="H28" s="154">
        <f t="shared" si="0"/>
        <v>54.225352112676056</v>
      </c>
      <c r="I28" s="154">
        <v>72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7">
        <v>129</v>
      </c>
      <c r="R28" s="157"/>
      <c r="S28" s="157">
        <v>95402396</v>
      </c>
      <c r="T28" s="45">
        <f t="shared" si="4"/>
        <v>4070</v>
      </c>
      <c r="U28" s="46">
        <f t="shared" si="5"/>
        <v>97.68</v>
      </c>
      <c r="V28" s="46">
        <f t="shared" si="6"/>
        <v>4.07</v>
      </c>
      <c r="W28" s="96">
        <v>4.2</v>
      </c>
      <c r="X28" s="96">
        <f t="shared" si="1"/>
        <v>4.2</v>
      </c>
      <c r="Y28" s="97" t="s">
        <v>169</v>
      </c>
      <c r="Z28" s="158">
        <v>1025</v>
      </c>
      <c r="AA28" s="158">
        <v>0</v>
      </c>
      <c r="AB28" s="158">
        <v>0</v>
      </c>
      <c r="AC28" s="158">
        <v>1185</v>
      </c>
      <c r="AD28" s="158">
        <v>1187</v>
      </c>
      <c r="AE28" s="158">
        <v>1185</v>
      </c>
      <c r="AF28" s="47" t="s">
        <v>90</v>
      </c>
      <c r="AG28" s="47" t="s">
        <v>90</v>
      </c>
      <c r="AH28" s="98" t="s">
        <v>90</v>
      </c>
      <c r="AI28" s="103">
        <v>15978126</v>
      </c>
      <c r="AJ28" s="45">
        <f>IF(ISBLANK(AI28),"-",AI28-AI27)</f>
        <v>1024</v>
      </c>
      <c r="AK28" s="48">
        <f t="shared" si="8"/>
        <v>251.59705159705157</v>
      </c>
      <c r="AL28" s="155">
        <v>1</v>
      </c>
      <c r="AM28" s="155">
        <v>0</v>
      </c>
      <c r="AN28" s="155">
        <v>0</v>
      </c>
      <c r="AO28" s="155">
        <v>1</v>
      </c>
      <c r="AP28" s="155">
        <v>1</v>
      </c>
      <c r="AQ28" s="155">
        <v>1</v>
      </c>
      <c r="AR28" s="155">
        <v>0</v>
      </c>
      <c r="AS28" s="158"/>
      <c r="AT28" s="158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357">
        <v>43243</v>
      </c>
      <c r="B29" s="40">
        <v>2.6666666666666701</v>
      </c>
      <c r="C29" s="40">
        <v>0.70833333333333404</v>
      </c>
      <c r="D29" s="156">
        <v>3</v>
      </c>
      <c r="E29" s="154">
        <f t="shared" si="2"/>
        <v>2.1126760563380285</v>
      </c>
      <c r="F29" s="154">
        <v>2</v>
      </c>
      <c r="G29" s="118">
        <v>75</v>
      </c>
      <c r="H29" s="154">
        <f t="shared" si="0"/>
        <v>52.816901408450704</v>
      </c>
      <c r="I29" s="154">
        <v>72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7">
        <v>130</v>
      </c>
      <c r="R29" s="157"/>
      <c r="S29" s="157">
        <v>95407788</v>
      </c>
      <c r="T29" s="45">
        <f t="shared" si="4"/>
        <v>5392</v>
      </c>
      <c r="U29" s="46">
        <f t="shared" si="5"/>
        <v>129.40799999999999</v>
      </c>
      <c r="V29" s="46">
        <f t="shared" si="6"/>
        <v>5.3920000000000003</v>
      </c>
      <c r="W29" s="96">
        <v>3.6</v>
      </c>
      <c r="X29" s="96">
        <f t="shared" si="1"/>
        <v>3.6</v>
      </c>
      <c r="Y29" s="97" t="s">
        <v>169</v>
      </c>
      <c r="Z29" s="158">
        <v>1026</v>
      </c>
      <c r="AA29" s="158">
        <v>0</v>
      </c>
      <c r="AB29" s="158">
        <v>0</v>
      </c>
      <c r="AC29" s="158">
        <v>1185</v>
      </c>
      <c r="AD29" s="158">
        <v>1187</v>
      </c>
      <c r="AE29" s="158">
        <v>1185</v>
      </c>
      <c r="AF29" s="47" t="s">
        <v>90</v>
      </c>
      <c r="AG29" s="47" t="s">
        <v>90</v>
      </c>
      <c r="AH29" s="98" t="s">
        <v>90</v>
      </c>
      <c r="AI29" s="103">
        <v>15979387</v>
      </c>
      <c r="AJ29" s="45">
        <f t="shared" si="7"/>
        <v>1261</v>
      </c>
      <c r="AK29" s="48">
        <f>AJ28/V29</f>
        <v>189.91097922848664</v>
      </c>
      <c r="AL29" s="155">
        <v>1</v>
      </c>
      <c r="AM29" s="155">
        <v>0</v>
      </c>
      <c r="AN29" s="155">
        <v>0</v>
      </c>
      <c r="AO29" s="155">
        <v>1</v>
      </c>
      <c r="AP29" s="155">
        <v>1</v>
      </c>
      <c r="AQ29" s="155">
        <v>1</v>
      </c>
      <c r="AR29" s="155">
        <v>0</v>
      </c>
      <c r="AS29" s="158"/>
      <c r="AT29" s="158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357">
        <v>43243</v>
      </c>
      <c r="B30" s="40">
        <v>2.7083333333333299</v>
      </c>
      <c r="C30" s="40">
        <v>0.750000000000002</v>
      </c>
      <c r="D30" s="156">
        <v>3</v>
      </c>
      <c r="E30" s="154">
        <f t="shared" si="2"/>
        <v>2.1126760563380285</v>
      </c>
      <c r="F30" s="154">
        <v>2</v>
      </c>
      <c r="G30" s="118">
        <v>75</v>
      </c>
      <c r="H30" s="154">
        <f t="shared" si="0"/>
        <v>52.816901408450704</v>
      </c>
      <c r="I30" s="154">
        <v>70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7">
        <v>129</v>
      </c>
      <c r="R30" s="157"/>
      <c r="S30" s="157">
        <v>95412286</v>
      </c>
      <c r="T30" s="45">
        <f t="shared" si="4"/>
        <v>4498</v>
      </c>
      <c r="U30" s="46">
        <f t="shared" si="5"/>
        <v>107.952</v>
      </c>
      <c r="V30" s="46">
        <f t="shared" si="6"/>
        <v>4.4980000000000002</v>
      </c>
      <c r="W30" s="96">
        <v>3.3</v>
      </c>
      <c r="X30" s="96">
        <f t="shared" si="1"/>
        <v>3.3</v>
      </c>
      <c r="Y30" s="97" t="s">
        <v>169</v>
      </c>
      <c r="Z30" s="158">
        <v>1024</v>
      </c>
      <c r="AA30" s="158">
        <v>0</v>
      </c>
      <c r="AB30" s="158">
        <v>0</v>
      </c>
      <c r="AC30" s="158">
        <v>1185</v>
      </c>
      <c r="AD30" s="158">
        <v>1187</v>
      </c>
      <c r="AE30" s="158">
        <v>1185</v>
      </c>
      <c r="AF30" s="47" t="s">
        <v>90</v>
      </c>
      <c r="AG30" s="47" t="s">
        <v>90</v>
      </c>
      <c r="AH30" s="98" t="s">
        <v>90</v>
      </c>
      <c r="AI30" s="103">
        <v>15980504</v>
      </c>
      <c r="AJ30" s="45">
        <f t="shared" si="7"/>
        <v>1117</v>
      </c>
      <c r="AK30" s="48">
        <f>AJ29/V30</f>
        <v>280.34682080924853</v>
      </c>
      <c r="AL30" s="155">
        <v>1</v>
      </c>
      <c r="AM30" s="155">
        <v>0</v>
      </c>
      <c r="AN30" s="155">
        <v>0</v>
      </c>
      <c r="AO30" s="155">
        <v>1</v>
      </c>
      <c r="AP30" s="155">
        <v>1</v>
      </c>
      <c r="AQ30" s="155">
        <v>1</v>
      </c>
      <c r="AR30" s="155">
        <v>0</v>
      </c>
      <c r="AS30" s="158"/>
      <c r="AT30" s="158">
        <f t="shared" si="9"/>
        <v>0</v>
      </c>
      <c r="AU30" s="159">
        <v>1.1399999999999999</v>
      </c>
      <c r="AV30" s="50" t="s">
        <v>124</v>
      </c>
      <c r="AY30" s="55" t="s">
        <v>114</v>
      </c>
      <c r="AZ30" s="55">
        <v>101.325</v>
      </c>
      <c r="BB30" s="74" t="s">
        <v>143</v>
      </c>
    </row>
    <row r="31" spans="1:54" x14ac:dyDescent="0.35">
      <c r="A31" s="357">
        <v>43243</v>
      </c>
      <c r="B31" s="40">
        <v>2.75</v>
      </c>
      <c r="C31" s="40">
        <v>0.79166666666666896</v>
      </c>
      <c r="D31" s="156">
        <v>3</v>
      </c>
      <c r="E31" s="154">
        <f t="shared" si="2"/>
        <v>2.1126760563380285</v>
      </c>
      <c r="F31" s="154">
        <v>2</v>
      </c>
      <c r="G31" s="118">
        <v>75</v>
      </c>
      <c r="H31" s="154">
        <f t="shared" si="0"/>
        <v>52.816901408450704</v>
      </c>
      <c r="I31" s="154">
        <v>70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7">
        <v>130</v>
      </c>
      <c r="R31" s="157"/>
      <c r="S31" s="157">
        <v>95417234</v>
      </c>
      <c r="T31" s="45">
        <f t="shared" si="4"/>
        <v>4948</v>
      </c>
      <c r="U31" s="46">
        <f t="shared" si="5"/>
        <v>118.752</v>
      </c>
      <c r="V31" s="46">
        <f t="shared" si="6"/>
        <v>4.9480000000000004</v>
      </c>
      <c r="W31" s="96">
        <v>2.8</v>
      </c>
      <c r="X31" s="96">
        <f t="shared" si="1"/>
        <v>2.8</v>
      </c>
      <c r="Y31" s="97" t="s">
        <v>169</v>
      </c>
      <c r="Z31" s="158">
        <v>1026</v>
      </c>
      <c r="AA31" s="158">
        <v>0</v>
      </c>
      <c r="AB31" s="158">
        <v>0</v>
      </c>
      <c r="AC31" s="158">
        <v>1185</v>
      </c>
      <c r="AD31" s="158">
        <v>1186</v>
      </c>
      <c r="AE31" s="158">
        <v>1185</v>
      </c>
      <c r="AF31" s="47" t="s">
        <v>90</v>
      </c>
      <c r="AG31" s="47" t="s">
        <v>90</v>
      </c>
      <c r="AH31" s="98" t="s">
        <v>90</v>
      </c>
      <c r="AI31" s="103">
        <v>15981632</v>
      </c>
      <c r="AJ31" s="45">
        <f t="shared" si="7"/>
        <v>1128</v>
      </c>
      <c r="AK31" s="48">
        <f t="shared" si="8"/>
        <v>227.97089733225545</v>
      </c>
      <c r="AL31" s="155">
        <v>1</v>
      </c>
      <c r="AM31" s="155">
        <v>0</v>
      </c>
      <c r="AN31" s="155">
        <v>0</v>
      </c>
      <c r="AO31" s="155">
        <v>1</v>
      </c>
      <c r="AP31" s="155">
        <v>1</v>
      </c>
      <c r="AQ31" s="155">
        <v>1</v>
      </c>
      <c r="AR31" s="155">
        <v>0</v>
      </c>
      <c r="AS31" s="158"/>
      <c r="AT31" s="158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357">
        <v>43243</v>
      </c>
      <c r="B32" s="40">
        <v>2.7916666666666701</v>
      </c>
      <c r="C32" s="40">
        <v>0.83333333333333703</v>
      </c>
      <c r="D32" s="156">
        <v>3</v>
      </c>
      <c r="E32" s="154">
        <f t="shared" si="2"/>
        <v>2.1126760563380285</v>
      </c>
      <c r="F32" s="154">
        <v>1</v>
      </c>
      <c r="G32" s="118">
        <v>75</v>
      </c>
      <c r="H32" s="154">
        <f t="shared" si="0"/>
        <v>52.816901408450704</v>
      </c>
      <c r="I32" s="154">
        <v>70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7">
        <v>127</v>
      </c>
      <c r="R32" s="157"/>
      <c r="S32" s="157">
        <v>95422402</v>
      </c>
      <c r="T32" s="45">
        <f t="shared" si="4"/>
        <v>5168</v>
      </c>
      <c r="U32" s="46">
        <f t="shared" si="5"/>
        <v>124.032</v>
      </c>
      <c r="V32" s="46">
        <f t="shared" si="6"/>
        <v>5.1680000000000001</v>
      </c>
      <c r="W32" s="96">
        <v>2.4</v>
      </c>
      <c r="X32" s="96">
        <f t="shared" si="1"/>
        <v>2.4</v>
      </c>
      <c r="Y32" s="97" t="s">
        <v>169</v>
      </c>
      <c r="Z32" s="158">
        <v>1025</v>
      </c>
      <c r="AA32" s="158">
        <v>0</v>
      </c>
      <c r="AB32" s="158">
        <v>0</v>
      </c>
      <c r="AC32" s="158">
        <v>1185</v>
      </c>
      <c r="AD32" s="158">
        <v>1187</v>
      </c>
      <c r="AE32" s="158">
        <v>1185</v>
      </c>
      <c r="AF32" s="47" t="s">
        <v>90</v>
      </c>
      <c r="AG32" s="47" t="s">
        <v>90</v>
      </c>
      <c r="AH32" s="98" t="s">
        <v>90</v>
      </c>
      <c r="AI32" s="103">
        <v>15982766</v>
      </c>
      <c r="AJ32" s="45">
        <f t="shared" si="7"/>
        <v>1134</v>
      </c>
      <c r="AK32" s="48">
        <f t="shared" si="8"/>
        <v>219.42724458204333</v>
      </c>
      <c r="AL32" s="155">
        <v>1</v>
      </c>
      <c r="AM32" s="155">
        <v>0</v>
      </c>
      <c r="AN32" s="155">
        <v>0</v>
      </c>
      <c r="AO32" s="155">
        <v>1</v>
      </c>
      <c r="AP32" s="155">
        <v>1</v>
      </c>
      <c r="AQ32" s="155">
        <v>1</v>
      </c>
      <c r="AR32" s="155">
        <v>0</v>
      </c>
      <c r="AS32" s="158"/>
      <c r="AT32" s="158">
        <v>0</v>
      </c>
      <c r="AU32" s="49"/>
      <c r="AV32" s="50" t="s">
        <v>124</v>
      </c>
      <c r="AY32" s="308" t="s">
        <v>115</v>
      </c>
      <c r="AZ32" s="308"/>
      <c r="BB32" s="74" t="s">
        <v>156</v>
      </c>
    </row>
    <row r="33" spans="1:54" x14ac:dyDescent="0.35">
      <c r="A33" s="357">
        <v>43243</v>
      </c>
      <c r="B33" s="40">
        <v>2.8333333333333299</v>
      </c>
      <c r="C33" s="40">
        <v>0.875</v>
      </c>
      <c r="D33" s="156">
        <v>3</v>
      </c>
      <c r="E33" s="154">
        <f t="shared" si="2"/>
        <v>2.1126760563380285</v>
      </c>
      <c r="F33" s="154">
        <v>1</v>
      </c>
      <c r="G33" s="118">
        <v>74</v>
      </c>
      <c r="H33" s="154">
        <f t="shared" si="0"/>
        <v>52.112676056338032</v>
      </c>
      <c r="I33" s="154">
        <v>70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7">
        <v>127</v>
      </c>
      <c r="R33" s="157"/>
      <c r="S33" s="157">
        <v>95427324</v>
      </c>
      <c r="T33" s="45">
        <f t="shared" si="4"/>
        <v>4922</v>
      </c>
      <c r="U33" s="46">
        <f t="shared" si="5"/>
        <v>118.128</v>
      </c>
      <c r="V33" s="46">
        <f t="shared" si="6"/>
        <v>4.9219999999999997</v>
      </c>
      <c r="W33" s="96">
        <v>2.1</v>
      </c>
      <c r="X33" s="96">
        <f t="shared" si="1"/>
        <v>2.1</v>
      </c>
      <c r="Y33" s="97" t="s">
        <v>169</v>
      </c>
      <c r="Z33" s="158">
        <v>1025</v>
      </c>
      <c r="AA33" s="158">
        <v>0</v>
      </c>
      <c r="AB33" s="158">
        <v>0</v>
      </c>
      <c r="AC33" s="158">
        <v>1185</v>
      </c>
      <c r="AD33" s="158">
        <v>1187</v>
      </c>
      <c r="AE33" s="158">
        <v>1185</v>
      </c>
      <c r="AF33" s="47" t="s">
        <v>90</v>
      </c>
      <c r="AG33" s="47" t="s">
        <v>90</v>
      </c>
      <c r="AH33" s="98" t="s">
        <v>90</v>
      </c>
      <c r="AI33" s="103">
        <v>15983868</v>
      </c>
      <c r="AJ33" s="45">
        <f t="shared" si="7"/>
        <v>1102</v>
      </c>
      <c r="AK33" s="48">
        <f t="shared" si="8"/>
        <v>223.89272653392931</v>
      </c>
      <c r="AL33" s="155">
        <v>1</v>
      </c>
      <c r="AM33" s="155">
        <v>0</v>
      </c>
      <c r="AN33" s="155">
        <v>0</v>
      </c>
      <c r="AO33" s="155">
        <v>1</v>
      </c>
      <c r="AP33" s="155">
        <v>1</v>
      </c>
      <c r="AQ33" s="155">
        <v>1</v>
      </c>
      <c r="AR33" s="155">
        <v>0</v>
      </c>
      <c r="AS33" s="158"/>
      <c r="AT33" s="158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57">
        <v>43243</v>
      </c>
      <c r="B34" s="40">
        <v>2.875</v>
      </c>
      <c r="C34" s="40">
        <v>0.91666666666667096</v>
      </c>
      <c r="D34" s="156">
        <v>3</v>
      </c>
      <c r="E34" s="154">
        <f t="shared" si="2"/>
        <v>2.1126760563380285</v>
      </c>
      <c r="F34" s="154">
        <v>0</v>
      </c>
      <c r="G34" s="118">
        <v>76</v>
      </c>
      <c r="H34" s="154">
        <f t="shared" si="0"/>
        <v>53.521126760563384</v>
      </c>
      <c r="I34" s="154">
        <v>72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7">
        <v>128</v>
      </c>
      <c r="R34" s="157"/>
      <c r="S34" s="157">
        <v>95432792</v>
      </c>
      <c r="T34" s="45">
        <f t="shared" si="4"/>
        <v>5468</v>
      </c>
      <c r="U34" s="46">
        <f t="shared" si="5"/>
        <v>131.232</v>
      </c>
      <c r="V34" s="46">
        <f t="shared" si="6"/>
        <v>5.468</v>
      </c>
      <c r="W34" s="96">
        <v>1.7</v>
      </c>
      <c r="X34" s="96">
        <f t="shared" si="1"/>
        <v>1.7</v>
      </c>
      <c r="Y34" s="97" t="s">
        <v>169</v>
      </c>
      <c r="Z34" s="158">
        <v>1025</v>
      </c>
      <c r="AA34" s="158">
        <v>0</v>
      </c>
      <c r="AB34" s="158">
        <v>0</v>
      </c>
      <c r="AC34" s="158">
        <v>1185</v>
      </c>
      <c r="AD34" s="158">
        <v>1187</v>
      </c>
      <c r="AE34" s="158">
        <v>1185</v>
      </c>
      <c r="AF34" s="47" t="s">
        <v>90</v>
      </c>
      <c r="AG34" s="47" t="s">
        <v>90</v>
      </c>
      <c r="AH34" s="98" t="s">
        <v>90</v>
      </c>
      <c r="AI34" s="103">
        <v>15985104</v>
      </c>
      <c r="AJ34" s="45">
        <f t="shared" si="7"/>
        <v>1236</v>
      </c>
      <c r="AK34" s="48">
        <f t="shared" si="8"/>
        <v>226.04242867593271</v>
      </c>
      <c r="AL34" s="155">
        <v>1</v>
      </c>
      <c r="AM34" s="155">
        <v>0</v>
      </c>
      <c r="AN34" s="155">
        <v>0</v>
      </c>
      <c r="AO34" s="155">
        <v>1</v>
      </c>
      <c r="AP34" s="155">
        <v>1</v>
      </c>
      <c r="AQ34" s="155">
        <v>1</v>
      </c>
      <c r="AR34" s="155">
        <v>0</v>
      </c>
      <c r="AS34" s="158"/>
      <c r="AT34" s="158">
        <f>AS34-AS33</f>
        <v>0</v>
      </c>
      <c r="AU34" s="119">
        <v>1.1000000000000001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357">
        <v>43243</v>
      </c>
      <c r="B35" s="40">
        <v>2.9166666666666701</v>
      </c>
      <c r="C35" s="40">
        <v>0.95833333333333803</v>
      </c>
      <c r="D35" s="156" t="s">
        <v>179</v>
      </c>
      <c r="E35" s="154" t="e">
        <f t="shared" si="2"/>
        <v>#VALUE!</v>
      </c>
      <c r="F35" s="154">
        <v>0</v>
      </c>
      <c r="G35" s="118">
        <v>74</v>
      </c>
      <c r="H35" s="154">
        <f t="shared" si="0"/>
        <v>52.112676056338032</v>
      </c>
      <c r="I35" s="154">
        <v>71</v>
      </c>
      <c r="J35" s="41" t="s">
        <v>88</v>
      </c>
      <c r="K35" s="41">
        <f>L35-(2/1.42)</f>
        <v>47.183098591549296</v>
      </c>
      <c r="L35" s="42">
        <f>(G35-5)/1.42</f>
        <v>48.591549295774648</v>
      </c>
      <c r="M35" s="41">
        <f t="shared" si="12"/>
        <v>52.816901408450704</v>
      </c>
      <c r="N35" s="43">
        <v>14</v>
      </c>
      <c r="O35" s="44" t="s">
        <v>116</v>
      </c>
      <c r="P35" s="44">
        <v>11.9</v>
      </c>
      <c r="Q35" s="157" t="s">
        <v>179</v>
      </c>
      <c r="R35" s="157"/>
      <c r="S35" s="157">
        <v>95437665</v>
      </c>
      <c r="T35" s="45">
        <f t="shared" si="4"/>
        <v>4873</v>
      </c>
      <c r="U35" s="46">
        <f t="shared" si="5"/>
        <v>116.952</v>
      </c>
      <c r="V35" s="46">
        <f t="shared" si="6"/>
        <v>4.8730000000000002</v>
      </c>
      <c r="W35" s="96">
        <v>2.1</v>
      </c>
      <c r="X35" s="96">
        <f t="shared" si="1"/>
        <v>2.1</v>
      </c>
      <c r="Y35" s="97" t="s">
        <v>138</v>
      </c>
      <c r="Z35" s="158">
        <v>0</v>
      </c>
      <c r="AA35" s="158">
        <v>0</v>
      </c>
      <c r="AB35" s="158">
        <v>0</v>
      </c>
      <c r="AC35" s="158">
        <v>1185</v>
      </c>
      <c r="AD35" s="158">
        <v>1187</v>
      </c>
      <c r="AE35" s="158">
        <v>1185</v>
      </c>
      <c r="AF35" s="47" t="s">
        <v>90</v>
      </c>
      <c r="AG35" s="47" t="s">
        <v>90</v>
      </c>
      <c r="AH35" s="98" t="s">
        <v>90</v>
      </c>
      <c r="AI35" s="103">
        <v>15986186</v>
      </c>
      <c r="AJ35" s="45">
        <f t="shared" si="7"/>
        <v>1082</v>
      </c>
      <c r="AK35" s="48">
        <f t="shared" si="8"/>
        <v>222.03981120459676</v>
      </c>
      <c r="AL35" s="155">
        <v>0</v>
      </c>
      <c r="AM35" s="155">
        <v>0</v>
      </c>
      <c r="AN35" s="155">
        <v>0</v>
      </c>
      <c r="AO35" s="155">
        <v>1</v>
      </c>
      <c r="AP35" s="155">
        <v>1</v>
      </c>
      <c r="AQ35" s="155">
        <v>1</v>
      </c>
      <c r="AR35" s="155">
        <v>0.3</v>
      </c>
      <c r="AS35" s="158"/>
      <c r="AT35" s="158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357">
        <v>43243</v>
      </c>
      <c r="B36" s="40">
        <v>2.9583333333333299</v>
      </c>
      <c r="C36" s="40">
        <v>1</v>
      </c>
      <c r="D36" s="156">
        <v>3</v>
      </c>
      <c r="E36" s="154">
        <f t="shared" si="2"/>
        <v>2.1126760563380285</v>
      </c>
      <c r="F36" s="154">
        <v>1</v>
      </c>
      <c r="G36" s="118">
        <v>75</v>
      </c>
      <c r="H36" s="154">
        <f t="shared" si="0"/>
        <v>52.816901408450704</v>
      </c>
      <c r="I36" s="154">
        <v>73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7">
        <v>127</v>
      </c>
      <c r="R36" s="157"/>
      <c r="S36" s="157">
        <v>95441985</v>
      </c>
      <c r="T36" s="45">
        <f t="shared" si="4"/>
        <v>4320</v>
      </c>
      <c r="U36" s="46">
        <f t="shared" si="5"/>
        <v>103.68</v>
      </c>
      <c r="V36" s="46">
        <f t="shared" si="6"/>
        <v>4.32</v>
      </c>
      <c r="W36" s="96">
        <v>2.7</v>
      </c>
      <c r="X36" s="96">
        <f t="shared" si="1"/>
        <v>2.7</v>
      </c>
      <c r="Y36" s="97" t="s">
        <v>138</v>
      </c>
      <c r="Z36" s="158">
        <v>0</v>
      </c>
      <c r="AA36" s="158">
        <v>0</v>
      </c>
      <c r="AB36" s="158">
        <v>0</v>
      </c>
      <c r="AC36" s="158">
        <v>1185</v>
      </c>
      <c r="AD36" s="158">
        <v>1187</v>
      </c>
      <c r="AE36" s="158">
        <v>1185</v>
      </c>
      <c r="AF36" s="47" t="s">
        <v>90</v>
      </c>
      <c r="AG36" s="47" t="s">
        <v>90</v>
      </c>
      <c r="AH36" s="98" t="s">
        <v>90</v>
      </c>
      <c r="AI36" s="103">
        <v>15987293</v>
      </c>
      <c r="AJ36" s="45">
        <f t="shared" si="7"/>
        <v>1107</v>
      </c>
      <c r="AK36" s="48">
        <f t="shared" si="8"/>
        <v>256.25</v>
      </c>
      <c r="AL36" s="155">
        <v>0</v>
      </c>
      <c r="AM36" s="155">
        <v>0</v>
      </c>
      <c r="AN36" s="155">
        <v>0</v>
      </c>
      <c r="AO36" s="155">
        <v>1</v>
      </c>
      <c r="AP36" s="155">
        <v>1</v>
      </c>
      <c r="AQ36" s="155">
        <v>1</v>
      </c>
      <c r="AR36" s="155">
        <v>0.3</v>
      </c>
      <c r="AS36" s="158"/>
      <c r="AT36" s="158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73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09" t="s">
        <v>118</v>
      </c>
      <c r="O37" s="310"/>
      <c r="P37" s="311"/>
      <c r="Q37" s="101"/>
      <c r="R37" s="101"/>
      <c r="S37" s="101"/>
      <c r="T37" s="60">
        <f>SUM(T13:T36)</f>
        <v>107216</v>
      </c>
      <c r="U37" s="46">
        <f t="shared" si="5"/>
        <v>2573.1840000000002</v>
      </c>
      <c r="V37" s="46">
        <f t="shared" si="6"/>
        <v>107.21599999999999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27253</v>
      </c>
      <c r="AK37" s="61">
        <f>$AJ$37/$V37</f>
        <v>254.18780778988213</v>
      </c>
      <c r="AL37" s="155"/>
      <c r="AM37" s="155"/>
      <c r="AN37" s="155"/>
      <c r="AO37" s="155"/>
      <c r="AP37" s="155"/>
      <c r="AQ37" s="155"/>
      <c r="AR37" s="62"/>
      <c r="AS37" s="63">
        <f>AS36-AS11</f>
        <v>0</v>
      </c>
      <c r="AT37" s="64">
        <f>SUM(AT13:AT36)</f>
        <v>0</v>
      </c>
      <c r="AU37" s="65">
        <f>AVERAGE(AU13:AU36)</f>
        <v>1.0283333333333333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7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8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8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4"/>
      <c r="D47" s="164"/>
      <c r="E47" s="164"/>
      <c r="F47" s="164"/>
      <c r="G47" s="164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71" t="s">
        <v>244</v>
      </c>
      <c r="C48" s="172"/>
      <c r="D48" s="172"/>
      <c r="E48" s="172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70"/>
      <c r="D49" s="170"/>
      <c r="E49" s="170"/>
      <c r="F49" s="161"/>
      <c r="G49" s="161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15" t="s">
        <v>182</v>
      </c>
      <c r="C50" s="143"/>
      <c r="D50" s="143"/>
      <c r="E50" s="143"/>
      <c r="F50" s="130"/>
      <c r="G50" s="130"/>
      <c r="H50" s="160"/>
      <c r="I50" s="160"/>
      <c r="J50" s="160"/>
      <c r="K50" s="160"/>
      <c r="L50" s="160"/>
      <c r="M50" s="160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210</v>
      </c>
      <c r="B51" s="132" t="s">
        <v>163</v>
      </c>
      <c r="C51" s="143"/>
      <c r="D51" s="143"/>
      <c r="E51" s="143"/>
      <c r="F51" s="130"/>
      <c r="G51" s="130"/>
      <c r="H51" s="160"/>
      <c r="I51" s="160"/>
      <c r="J51" s="160"/>
      <c r="K51" s="160"/>
      <c r="L51" s="160"/>
      <c r="M51" s="160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253</v>
      </c>
      <c r="C52" s="120"/>
      <c r="D52" s="115"/>
      <c r="E52" s="115"/>
      <c r="F52" s="115"/>
      <c r="G52" s="115"/>
      <c r="H52" s="160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70"/>
      <c r="D53" s="170"/>
      <c r="E53" s="170"/>
      <c r="F53" s="170"/>
      <c r="G53" s="115"/>
      <c r="H53" s="115"/>
      <c r="I53" s="115"/>
      <c r="J53" s="115"/>
      <c r="K53" s="115"/>
      <c r="L53" s="115"/>
      <c r="M53" s="115"/>
      <c r="N53" s="163"/>
      <c r="O53" s="163"/>
      <c r="P53" s="163"/>
      <c r="Q53" s="163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32" t="s">
        <v>254</v>
      </c>
      <c r="C54" s="153"/>
      <c r="D54" s="170"/>
      <c r="E54" s="170"/>
      <c r="F54" s="170"/>
      <c r="G54" s="170"/>
      <c r="H54" s="170"/>
      <c r="I54" s="170"/>
      <c r="J54" s="169"/>
      <c r="K54" s="166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255</v>
      </c>
      <c r="C55" s="115"/>
      <c r="D55" s="170"/>
      <c r="E55" s="153"/>
      <c r="F55" s="153"/>
      <c r="G55" s="153"/>
      <c r="H55" s="153"/>
      <c r="I55" s="153"/>
      <c r="J55" s="169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256</v>
      </c>
      <c r="C56" s="115"/>
      <c r="D56" s="170"/>
      <c r="E56" s="153"/>
      <c r="F56" s="153"/>
      <c r="G56" s="153"/>
      <c r="H56" s="153"/>
      <c r="I56" s="153"/>
      <c r="J56" s="153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32" t="s">
        <v>257</v>
      </c>
      <c r="C57" s="170"/>
      <c r="D57" s="170"/>
      <c r="E57" s="153"/>
      <c r="F57" s="153"/>
      <c r="G57" s="153"/>
      <c r="H57" s="153"/>
      <c r="I57" s="153"/>
      <c r="J57" s="153"/>
      <c r="K57" s="166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259</v>
      </c>
      <c r="C58" s="170"/>
      <c r="D58" s="170"/>
      <c r="E58" s="115"/>
      <c r="F58" s="115"/>
      <c r="G58" s="115"/>
      <c r="H58" s="115"/>
      <c r="I58" s="153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32" t="s">
        <v>260</v>
      </c>
      <c r="C59" s="170"/>
      <c r="D59" s="170"/>
      <c r="E59" s="153"/>
      <c r="F59" s="153"/>
      <c r="G59" s="153"/>
      <c r="H59" s="153"/>
      <c r="I59" s="153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32" t="s">
        <v>258</v>
      </c>
      <c r="C60" s="170"/>
      <c r="D60" s="223"/>
      <c r="E60" s="223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32" t="s">
        <v>170</v>
      </c>
      <c r="C61" s="153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32" t="s">
        <v>171</v>
      </c>
      <c r="C62" s="115"/>
      <c r="D62" s="100"/>
      <c r="E62" s="100"/>
      <c r="F62" s="115"/>
      <c r="G62" s="115"/>
      <c r="H62" s="92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 t="s">
        <v>172</v>
      </c>
      <c r="C63" s="115"/>
      <c r="D63" s="166"/>
      <c r="E63" s="166"/>
      <c r="F63" s="166"/>
      <c r="G63" s="166"/>
      <c r="H63" s="166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53" t="s">
        <v>216</v>
      </c>
      <c r="C64" s="115"/>
      <c r="D64" s="100"/>
      <c r="E64" s="100"/>
      <c r="F64" s="115"/>
      <c r="G64" s="115"/>
      <c r="H64" s="92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 t="s">
        <v>174</v>
      </c>
      <c r="C65" s="115"/>
      <c r="D65" s="166"/>
      <c r="E65" s="166"/>
      <c r="F65" s="166"/>
      <c r="G65" s="166"/>
      <c r="H65" s="166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AV65" s="86"/>
      <c r="AW65" s="86"/>
      <c r="AX65" s="86"/>
      <c r="AY65" s="86"/>
      <c r="AZ65" s="86"/>
      <c r="BA65" s="86"/>
      <c r="BB65" s="86"/>
    </row>
    <row r="66" spans="2:54" x14ac:dyDescent="0.35">
      <c r="B66" s="162" t="s">
        <v>195</v>
      </c>
      <c r="C66" s="115"/>
      <c r="D66" s="166"/>
      <c r="E66" s="166"/>
      <c r="F66" s="166"/>
      <c r="G66" s="166"/>
      <c r="H66" s="166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6"/>
      <c r="E67" s="166"/>
      <c r="F67" s="166"/>
      <c r="G67" s="166"/>
      <c r="H67" s="166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Q13:Q36 S13:S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3" name="Range1_16_1_1_1_1_1_1_2_2_2_2_2_2_2_2_2_2_2_2_2_2_2_2_2_2_2_2_2_2_2_1_2_2_2_2_2_2_2_2_2_2_3_2_2_2_2_2_2_2_2_2_2_1_1_1_1_2_2_1_1_1_1_1_1_1_1_1_1_1_1_1_1_3_1"/>
    <protectedRange sqref="R4:W4" name="Range1_16_1_1_1_1_1_1_2_2_2_2_2_2_2_2_2_2_2_2_2_2_2_2_2_2_2_2_2_2_2_1_2_2_2_2_2_2_2_2_2_2_3_2_2_2_2_2_2_2_2_2_2_1_1_1_1_2_2_1_1_1_1_1_1_1_1_1_1_1_1_1_1_2_1_2_1_1_1_1_1"/>
    <protectedRange sqref="B54" name="Range2_12_5_1_1_1_2_1_1_1_1_1_1_1_1_1_1_1_2_1_1_1_1_1_1_1_1_1_1_1_1_1_1_1_1_1_1_1_1_1_1_2_1_1_1_1_1_1_1_1_1_1_1_2_1_1_1_1_2_1_1_1_1_1_1_1_1_1_1_1_2_1_1_1_1_1_1_1_1_1_1_1_1_1_1_3_1_1_1_1_2_1_1_1_1_1_1_1_2_1_1_1_1_1_1_1_1_1_1_1_1_1_1_1_1_1_1_1_1_1_1_1_1__5"/>
    <protectedRange sqref="R5:W5" name="Range1_16_1_1_1_1_1_1_2_2_2_2_2_2_2_2_2_2_2_2_2_2_2_2_2_2_2_2_2_2_2_1_2_2_2_2_2_2_2_2_2_2_3_2_2_2_2_2_2_2_2_2_2_1_1_1_1_2_2_1_1_1_1_1_1_1_1_1_1_3_1_3_2_1_2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6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9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152" priority="5" operator="containsText" text="N/A">
      <formula>NOT(ISERROR(SEARCH("N/A",Z13)))</formula>
    </cfRule>
    <cfRule type="cellIs" dxfId="151" priority="17" operator="equal">
      <formula>0</formula>
    </cfRule>
  </conditionalFormatting>
  <conditionalFormatting sqref="Z13:AG36">
    <cfRule type="cellIs" dxfId="150" priority="16" operator="greaterThanOrEqual">
      <formula>1185</formula>
    </cfRule>
  </conditionalFormatting>
  <conditionalFormatting sqref="Z13:AG36">
    <cfRule type="cellIs" dxfId="149" priority="15" operator="between">
      <formula>0.1</formula>
      <formula>1184</formula>
    </cfRule>
  </conditionalFormatting>
  <conditionalFormatting sqref="Z8:Z9 AT13:AT36 AL37:AQ37 AL13:AR36">
    <cfRule type="cellIs" dxfId="148" priority="14" operator="equal">
      <formula>0</formula>
    </cfRule>
  </conditionalFormatting>
  <conditionalFormatting sqref="Z8:Z9 AT13:AT36 AL37:AQ37 AL13:AR36">
    <cfRule type="cellIs" dxfId="147" priority="13" operator="greaterThan">
      <formula>1179</formula>
    </cfRule>
  </conditionalFormatting>
  <conditionalFormatting sqref="Z8:Z9 AT13:AT36 AL37:AQ37 AL13:AR36">
    <cfRule type="cellIs" dxfId="146" priority="12" operator="greaterThan">
      <formula>99</formula>
    </cfRule>
  </conditionalFormatting>
  <conditionalFormatting sqref="Z8:Z9 AT13:AT36 AL37:AQ37 AL13:AR36">
    <cfRule type="cellIs" dxfId="145" priority="11" operator="greaterThan">
      <formula>0.99</formula>
    </cfRule>
  </conditionalFormatting>
  <conditionalFormatting sqref="AD8:AD9">
    <cfRule type="cellIs" dxfId="144" priority="10" operator="equal">
      <formula>0</formula>
    </cfRule>
  </conditionalFormatting>
  <conditionalFormatting sqref="AD8:AD9">
    <cfRule type="cellIs" dxfId="143" priority="9" operator="greaterThan">
      <formula>1179</formula>
    </cfRule>
  </conditionalFormatting>
  <conditionalFormatting sqref="AD8:AD9">
    <cfRule type="cellIs" dxfId="142" priority="8" operator="greaterThan">
      <formula>99</formula>
    </cfRule>
  </conditionalFormatting>
  <conditionalFormatting sqref="AD8:AD9">
    <cfRule type="cellIs" dxfId="141" priority="7" operator="greaterThan">
      <formula>0.99</formula>
    </cfRule>
  </conditionalFormatting>
  <conditionalFormatting sqref="AK13:AK36">
    <cfRule type="cellIs" dxfId="140" priority="6" operator="greaterThan">
      <formula>$AK$8</formula>
    </cfRule>
  </conditionalFormatting>
  <conditionalFormatting sqref="AS13:AS36">
    <cfRule type="containsText" dxfId="139" priority="1" operator="containsText" text="N/A">
      <formula>NOT(ISERROR(SEARCH("N/A",AS13)))</formula>
    </cfRule>
    <cfRule type="cellIs" dxfId="138" priority="4" operator="equal">
      <formula>0</formula>
    </cfRule>
  </conditionalFormatting>
  <conditionalFormatting sqref="AS13:AS36">
    <cfRule type="cellIs" dxfId="137" priority="3" operator="greaterThanOrEqual">
      <formula>1185</formula>
    </cfRule>
  </conditionalFormatting>
  <conditionalFormatting sqref="AS13:AS36">
    <cfRule type="cellIs" dxfId="136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600-000000000000}">
      <formula1>$BB$11:$BB$42</formula1>
    </dataValidation>
    <dataValidation type="list" allowBlank="1" showInputMessage="1" showErrorMessage="1" sqref="AY33:AZ33" xr:uid="{00000000-0002-0000-1600-000001000000}">
      <formula1>$AY$26:$AY$30</formula1>
    </dataValidation>
    <dataValidation type="list" allowBlank="1" showInputMessage="1" showErrorMessage="1" sqref="AS8:AT9 P11:P12 N11:N12 D8:E9 Q8:V9" xr:uid="{00000000-0002-0000-1600-000002000000}">
      <formula1>#REF!</formula1>
    </dataValidation>
    <dataValidation type="list" allowBlank="1" showInputMessage="1" showErrorMessage="1" sqref="J13:J36" xr:uid="{00000000-0002-0000-1600-000003000000}">
      <formula1>$AY$11:$AY$21</formula1>
    </dataValidation>
  </dataValidations>
  <hyperlinks>
    <hyperlink ref="J10:J11" location="'1'!AH8" display="Plant Status" xr:uid="{00000000-0004-0000-1600-000000000000}"/>
  </hyperlinks>
  <pageMargins left="0.7" right="0.7" top="0.75" bottom="0.75" header="0.3" footer="0.3"/>
  <pageSetup paperSize="9" orientation="portrait" horizontalDpi="4294967293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>
    <tabColor rgb="FF7030A0"/>
  </sheetPr>
  <dimension ref="A2:BB88"/>
  <sheetViews>
    <sheetView topLeftCell="A22" zoomScaleNormal="100" workbookViewId="0">
      <selection activeCell="B56" sqref="B56:B5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47" t="s">
        <v>156</v>
      </c>
      <c r="S3" s="348"/>
      <c r="T3" s="348"/>
      <c r="U3" s="348"/>
      <c r="V3" s="348"/>
      <c r="W3" s="34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47" t="s">
        <v>159</v>
      </c>
      <c r="S4" s="348"/>
      <c r="T4" s="348"/>
      <c r="U4" s="348"/>
      <c r="V4" s="348"/>
      <c r="W4" s="34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47" t="s">
        <v>142</v>
      </c>
      <c r="S5" s="348"/>
      <c r="T5" s="348"/>
      <c r="U5" s="348"/>
      <c r="V5" s="348"/>
      <c r="W5" s="34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50" t="s">
        <v>6</v>
      </c>
      <c r="C6" s="351"/>
      <c r="D6" s="352" t="s">
        <v>7</v>
      </c>
      <c r="E6" s="353"/>
      <c r="F6" s="353"/>
      <c r="G6" s="353"/>
      <c r="H6" s="353"/>
      <c r="I6" s="353"/>
      <c r="J6" s="354"/>
      <c r="K6" s="87"/>
      <c r="L6" s="87"/>
      <c r="M6" s="273"/>
      <c r="N6" s="355">
        <v>41686</v>
      </c>
      <c r="O6" s="356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37" t="s">
        <v>8</v>
      </c>
      <c r="C7" s="338"/>
      <c r="D7" s="337" t="s">
        <v>9</v>
      </c>
      <c r="E7" s="339"/>
      <c r="F7" s="339"/>
      <c r="G7" s="339"/>
      <c r="H7" s="339"/>
      <c r="I7" s="338"/>
      <c r="J7" s="278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78" t="s">
        <v>14</v>
      </c>
      <c r="R7" s="337" t="s">
        <v>15</v>
      </c>
      <c r="S7" s="339"/>
      <c r="T7" s="339"/>
      <c r="U7" s="339"/>
      <c r="V7" s="338"/>
      <c r="W7" s="337" t="s">
        <v>16</v>
      </c>
      <c r="X7" s="338"/>
      <c r="Y7" s="99" t="s">
        <v>17</v>
      </c>
      <c r="Z7" s="337" t="s">
        <v>18</v>
      </c>
      <c r="AA7" s="338"/>
      <c r="AB7" s="337" t="s">
        <v>19</v>
      </c>
      <c r="AC7" s="338"/>
      <c r="AD7" s="337" t="s">
        <v>20</v>
      </c>
      <c r="AE7" s="338"/>
      <c r="AF7" s="337" t="s">
        <v>21</v>
      </c>
      <c r="AG7" s="338"/>
      <c r="AH7" s="99" t="s">
        <v>22</v>
      </c>
      <c r="AI7" s="99" t="s">
        <v>23</v>
      </c>
      <c r="AJ7" s="99" t="s">
        <v>24</v>
      </c>
      <c r="AK7" s="99" t="s">
        <v>25</v>
      </c>
      <c r="AL7" s="337" t="s">
        <v>26</v>
      </c>
      <c r="AM7" s="339"/>
      <c r="AN7" s="339"/>
      <c r="AO7" s="339"/>
      <c r="AP7" s="339"/>
      <c r="AQ7" s="338"/>
      <c r="AR7" s="337" t="s">
        <v>27</v>
      </c>
      <c r="AS7" s="339"/>
      <c r="AT7" s="33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40">
        <v>43244</v>
      </c>
      <c r="C8" s="341"/>
      <c r="D8" s="342" t="s">
        <v>29</v>
      </c>
      <c r="E8" s="343"/>
      <c r="F8" s="343"/>
      <c r="G8" s="343"/>
      <c r="H8" s="343"/>
      <c r="I8" s="344"/>
      <c r="J8" s="28"/>
      <c r="K8" s="342" t="s">
        <v>29</v>
      </c>
      <c r="L8" s="343"/>
      <c r="M8" s="34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42" t="s">
        <v>33</v>
      </c>
      <c r="X8" s="344"/>
      <c r="Y8" s="30" t="s">
        <v>34</v>
      </c>
      <c r="Z8" s="326">
        <v>0</v>
      </c>
      <c r="AA8" s="327"/>
      <c r="AB8" s="345" t="s">
        <v>35</v>
      </c>
      <c r="AC8" s="346"/>
      <c r="AD8" s="326">
        <v>1185</v>
      </c>
      <c r="AE8" s="327"/>
      <c r="AF8" s="328">
        <v>800</v>
      </c>
      <c r="AG8" s="329"/>
      <c r="AH8" s="28"/>
      <c r="AI8" s="30">
        <f>AI36-AI11</f>
        <v>27634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79"/>
      <c r="C9" s="280"/>
      <c r="D9" s="281"/>
      <c r="E9" s="282"/>
      <c r="F9" s="282"/>
      <c r="G9" s="282"/>
      <c r="H9" s="282"/>
      <c r="I9" s="283"/>
      <c r="J9" s="121"/>
      <c r="K9" s="281"/>
      <c r="L9" s="282"/>
      <c r="M9" s="283"/>
      <c r="N9" s="29"/>
      <c r="O9" s="29"/>
      <c r="P9" s="29"/>
      <c r="Q9" s="121"/>
      <c r="R9" s="121"/>
      <c r="S9" s="121"/>
      <c r="T9" s="122"/>
      <c r="U9" s="123"/>
      <c r="V9" s="124"/>
      <c r="W9" s="281"/>
      <c r="X9" s="283"/>
      <c r="Y9" s="30"/>
      <c r="Z9" s="276"/>
      <c r="AA9" s="125"/>
      <c r="AB9" s="126"/>
      <c r="AC9" s="126"/>
      <c r="AD9" s="125"/>
      <c r="AE9" s="125"/>
      <c r="AF9" s="127"/>
      <c r="AG9" s="277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30" t="s">
        <v>39</v>
      </c>
      <c r="C10" s="331"/>
      <c r="D10" s="330" t="s">
        <v>40</v>
      </c>
      <c r="E10" s="332"/>
      <c r="F10" s="331"/>
      <c r="G10" s="330" t="s">
        <v>41</v>
      </c>
      <c r="H10" s="332"/>
      <c r="I10" s="331"/>
      <c r="J10" s="333" t="s">
        <v>42</v>
      </c>
      <c r="K10" s="330" t="s">
        <v>43</v>
      </c>
      <c r="L10" s="332"/>
      <c r="M10" s="331"/>
      <c r="N10" s="99" t="s">
        <v>44</v>
      </c>
      <c r="O10" s="335" t="s">
        <v>45</v>
      </c>
      <c r="P10" s="33" t="s">
        <v>46</v>
      </c>
      <c r="Q10" s="324" t="s">
        <v>47</v>
      </c>
      <c r="R10" s="324" t="s">
        <v>48</v>
      </c>
      <c r="S10" s="34" t="s">
        <v>49</v>
      </c>
      <c r="T10" s="312" t="s">
        <v>50</v>
      </c>
      <c r="U10" s="313"/>
      <c r="V10" s="314"/>
      <c r="W10" s="274" t="s">
        <v>51</v>
      </c>
      <c r="X10" s="274" t="s">
        <v>52</v>
      </c>
      <c r="Y10" s="318" t="s">
        <v>53</v>
      </c>
      <c r="Z10" s="319" t="s">
        <v>54</v>
      </c>
      <c r="AA10" s="320"/>
      <c r="AB10" s="320"/>
      <c r="AC10" s="320"/>
      <c r="AD10" s="320"/>
      <c r="AE10" s="320"/>
      <c r="AF10" s="320"/>
      <c r="AG10" s="321"/>
      <c r="AH10" s="272" t="s">
        <v>55</v>
      </c>
      <c r="AI10" s="272" t="s">
        <v>56</v>
      </c>
      <c r="AJ10" s="307" t="s">
        <v>57</v>
      </c>
      <c r="AK10" s="322" t="s">
        <v>58</v>
      </c>
      <c r="AL10" s="274" t="s">
        <v>59</v>
      </c>
      <c r="AM10" s="274" t="s">
        <v>60</v>
      </c>
      <c r="AN10" s="274" t="s">
        <v>61</v>
      </c>
      <c r="AO10" s="274" t="s">
        <v>62</v>
      </c>
      <c r="AP10" s="274" t="s">
        <v>63</v>
      </c>
      <c r="AQ10" s="274" t="s">
        <v>123</v>
      </c>
      <c r="AR10" s="274" t="s">
        <v>64</v>
      </c>
      <c r="AS10" s="274" t="s">
        <v>65</v>
      </c>
      <c r="AT10" s="324" t="s">
        <v>66</v>
      </c>
      <c r="AU10" s="274" t="s">
        <v>67</v>
      </c>
      <c r="AV10" s="30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74" t="s">
        <v>72</v>
      </c>
      <c r="C11" s="274" t="s">
        <v>73</v>
      </c>
      <c r="D11" s="274" t="s">
        <v>74</v>
      </c>
      <c r="E11" s="274" t="s">
        <v>75</v>
      </c>
      <c r="F11" s="274" t="s">
        <v>126</v>
      </c>
      <c r="G11" s="274" t="s">
        <v>74</v>
      </c>
      <c r="H11" s="274" t="s">
        <v>75</v>
      </c>
      <c r="I11" s="274" t="s">
        <v>126</v>
      </c>
      <c r="J11" s="334"/>
      <c r="K11" s="274" t="s">
        <v>75</v>
      </c>
      <c r="L11" s="274" t="s">
        <v>75</v>
      </c>
      <c r="M11" s="274" t="s">
        <v>75</v>
      </c>
      <c r="N11" s="28" t="s">
        <v>29</v>
      </c>
      <c r="O11" s="336"/>
      <c r="P11" s="28" t="s">
        <v>29</v>
      </c>
      <c r="Q11" s="325"/>
      <c r="R11" s="325"/>
      <c r="S11" s="1">
        <f>'MAY 23'!S36</f>
        <v>95441985</v>
      </c>
      <c r="T11" s="315"/>
      <c r="U11" s="316"/>
      <c r="V11" s="317"/>
      <c r="W11" s="274" t="s">
        <v>75</v>
      </c>
      <c r="X11" s="274" t="s">
        <v>75</v>
      </c>
      <c r="Y11" s="31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'MAY 23'!AI36</f>
        <v>15987293</v>
      </c>
      <c r="AJ11" s="307"/>
      <c r="AK11" s="323"/>
      <c r="AL11" s="274" t="s">
        <v>84</v>
      </c>
      <c r="AM11" s="274" t="s">
        <v>84</v>
      </c>
      <c r="AN11" s="274" t="s">
        <v>84</v>
      </c>
      <c r="AO11" s="274" t="s">
        <v>84</v>
      </c>
      <c r="AP11" s="274" t="s">
        <v>84</v>
      </c>
      <c r="AQ11" s="274" t="s">
        <v>84</v>
      </c>
      <c r="AR11" s="274" t="s">
        <v>84</v>
      </c>
      <c r="AS11" s="1"/>
      <c r="AT11" s="325"/>
      <c r="AU11" s="275" t="s">
        <v>85</v>
      </c>
      <c r="AV11" s="307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283</v>
      </c>
      <c r="B12" s="305" t="s">
        <v>284</v>
      </c>
      <c r="C12" s="305" t="s">
        <v>285</v>
      </c>
      <c r="D12" s="305" t="s">
        <v>286</v>
      </c>
      <c r="E12" s="305" t="s">
        <v>287</v>
      </c>
      <c r="F12" s="305" t="s">
        <v>288</v>
      </c>
      <c r="G12" s="305" t="s">
        <v>289</v>
      </c>
      <c r="H12" s="305" t="s">
        <v>290</v>
      </c>
      <c r="I12" s="305" t="s">
        <v>291</v>
      </c>
      <c r="J12" s="297" t="s">
        <v>292</v>
      </c>
      <c r="K12" s="305" t="s">
        <v>293</v>
      </c>
      <c r="L12" s="305" t="s">
        <v>294</v>
      </c>
      <c r="M12" s="305" t="s">
        <v>295</v>
      </c>
      <c r="N12" s="28" t="s">
        <v>296</v>
      </c>
      <c r="O12" s="298" t="s">
        <v>297</v>
      </c>
      <c r="P12" s="28" t="s">
        <v>298</v>
      </c>
      <c r="Q12" s="300" t="s">
        <v>299</v>
      </c>
      <c r="R12" s="300" t="s">
        <v>300</v>
      </c>
      <c r="S12" s="1" t="s">
        <v>301</v>
      </c>
      <c r="T12" s="302" t="s">
        <v>302</v>
      </c>
      <c r="U12" s="303" t="s">
        <v>303</v>
      </c>
      <c r="V12" s="304" t="s">
        <v>304</v>
      </c>
      <c r="W12" s="305" t="s">
        <v>305</v>
      </c>
      <c r="X12" s="305" t="s">
        <v>306</v>
      </c>
      <c r="Y12" s="305" t="s">
        <v>307</v>
      </c>
      <c r="Z12" s="37" t="s">
        <v>308</v>
      </c>
      <c r="AA12" s="37" t="s">
        <v>309</v>
      </c>
      <c r="AB12" s="37" t="s">
        <v>310</v>
      </c>
      <c r="AC12" s="37" t="s">
        <v>311</v>
      </c>
      <c r="AD12" s="37" t="s">
        <v>312</v>
      </c>
      <c r="AE12" s="37" t="s">
        <v>313</v>
      </c>
      <c r="AF12" s="37" t="s">
        <v>314</v>
      </c>
      <c r="AG12" s="37" t="s">
        <v>315</v>
      </c>
      <c r="AH12" s="38" t="s">
        <v>316</v>
      </c>
      <c r="AI12" s="1" t="s">
        <v>317</v>
      </c>
      <c r="AJ12" s="301" t="s">
        <v>318</v>
      </c>
      <c r="AK12" s="306" t="s">
        <v>319</v>
      </c>
      <c r="AL12" s="305" t="s">
        <v>320</v>
      </c>
      <c r="AM12" s="305" t="s">
        <v>321</v>
      </c>
      <c r="AN12" s="305" t="s">
        <v>322</v>
      </c>
      <c r="AO12" s="305" t="s">
        <v>323</v>
      </c>
      <c r="AP12" s="305" t="s">
        <v>324</v>
      </c>
      <c r="AQ12" s="305" t="s">
        <v>325</v>
      </c>
      <c r="AR12" s="305" t="s">
        <v>326</v>
      </c>
      <c r="AS12" s="1" t="s">
        <v>327</v>
      </c>
      <c r="AT12" s="300" t="s">
        <v>328</v>
      </c>
      <c r="AU12" s="299" t="s">
        <v>329</v>
      </c>
      <c r="AV12" s="301"/>
      <c r="AY12" s="39"/>
      <c r="AZ12" s="39"/>
      <c r="BB12" s="136"/>
    </row>
    <row r="13" spans="1:54" x14ac:dyDescent="0.35">
      <c r="A13" s="357">
        <v>43244</v>
      </c>
      <c r="B13" s="40">
        <v>2</v>
      </c>
      <c r="C13" s="40">
        <v>4.1666666666666664E-2</v>
      </c>
      <c r="D13" s="156">
        <v>3</v>
      </c>
      <c r="E13" s="154">
        <f>D13/1.42</f>
        <v>2.1126760563380285</v>
      </c>
      <c r="F13" s="154">
        <v>3</v>
      </c>
      <c r="G13" s="118">
        <v>73</v>
      </c>
      <c r="H13" s="154">
        <f t="shared" ref="H13:H36" si="0">G13/1.42</f>
        <v>51.408450704225352</v>
      </c>
      <c r="I13" s="154">
        <v>74</v>
      </c>
      <c r="J13" s="41" t="s">
        <v>88</v>
      </c>
      <c r="K13" s="41">
        <f>L13-(2/1.42)</f>
        <v>46.478873239436624</v>
      </c>
      <c r="L13" s="42">
        <f>(G13-5)/1.42</f>
        <v>47.887323943661976</v>
      </c>
      <c r="M13" s="41">
        <f>L13+(6/1.42)</f>
        <v>52.112676056338032</v>
      </c>
      <c r="N13" s="43">
        <v>14</v>
      </c>
      <c r="O13" s="44" t="s">
        <v>89</v>
      </c>
      <c r="P13" s="44">
        <v>11.4</v>
      </c>
      <c r="Q13" s="157">
        <v>139</v>
      </c>
      <c r="R13" s="157"/>
      <c r="S13" s="157">
        <v>95446474</v>
      </c>
      <c r="T13" s="45">
        <f>IF(ISBLANK(S13),"-",S13-S11)</f>
        <v>4489</v>
      </c>
      <c r="U13" s="46">
        <f>T13*24/1000</f>
        <v>107.736</v>
      </c>
      <c r="V13" s="46">
        <f>T13/1000</f>
        <v>4.4889999999999999</v>
      </c>
      <c r="W13" s="96">
        <v>3.7</v>
      </c>
      <c r="X13" s="96">
        <f t="shared" ref="X13:X36" si="1">W13</f>
        <v>3.7</v>
      </c>
      <c r="Y13" s="97" t="s">
        <v>138</v>
      </c>
      <c r="Z13" s="158">
        <v>0</v>
      </c>
      <c r="AA13" s="158">
        <v>0</v>
      </c>
      <c r="AB13" s="158">
        <v>0</v>
      </c>
      <c r="AC13" s="158">
        <v>1185</v>
      </c>
      <c r="AD13" s="158">
        <v>1187</v>
      </c>
      <c r="AE13" s="158">
        <v>1185</v>
      </c>
      <c r="AF13" s="47" t="s">
        <v>90</v>
      </c>
      <c r="AG13" s="47" t="s">
        <v>90</v>
      </c>
      <c r="AH13" s="98" t="s">
        <v>90</v>
      </c>
      <c r="AI13" s="103">
        <v>15988384</v>
      </c>
      <c r="AJ13" s="45">
        <f>IF(ISBLANK(AI13),"-",AI13-AI11)</f>
        <v>1091</v>
      </c>
      <c r="AK13" s="48">
        <f>AJ13/V13</f>
        <v>243.03853865003342</v>
      </c>
      <c r="AL13" s="155">
        <v>0</v>
      </c>
      <c r="AM13" s="155">
        <v>0</v>
      </c>
      <c r="AN13" s="155">
        <v>0</v>
      </c>
      <c r="AO13" s="155">
        <v>1</v>
      </c>
      <c r="AP13" s="155">
        <v>1</v>
      </c>
      <c r="AQ13" s="155">
        <v>1</v>
      </c>
      <c r="AR13" s="155">
        <v>0.8</v>
      </c>
      <c r="AS13" s="158"/>
      <c r="AT13" s="158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357">
        <v>43244</v>
      </c>
      <c r="B14" s="40">
        <v>2.0416666666666701</v>
      </c>
      <c r="C14" s="40">
        <v>8.3333333333333329E-2</v>
      </c>
      <c r="D14" s="156">
        <v>3</v>
      </c>
      <c r="E14" s="154">
        <f t="shared" ref="E14:E36" si="2">D14/1.42</f>
        <v>2.1126760563380285</v>
      </c>
      <c r="F14" s="154">
        <v>4</v>
      </c>
      <c r="G14" s="118">
        <v>75</v>
      </c>
      <c r="H14" s="154">
        <f t="shared" si="0"/>
        <v>52.816901408450704</v>
      </c>
      <c r="I14" s="154">
        <v>76</v>
      </c>
      <c r="J14" s="41" t="s">
        <v>88</v>
      </c>
      <c r="K14" s="41">
        <f t="shared" ref="K14:K36" si="3">L14-(2/1.42)</f>
        <v>47.887323943661976</v>
      </c>
      <c r="L14" s="42">
        <f>(G14-5)/1.42</f>
        <v>49.295774647887328</v>
      </c>
      <c r="M14" s="41">
        <f>L14+(6/1.42)</f>
        <v>53.521126760563384</v>
      </c>
      <c r="N14" s="43">
        <v>14</v>
      </c>
      <c r="O14" s="44" t="s">
        <v>89</v>
      </c>
      <c r="P14" s="44">
        <v>11.2</v>
      </c>
      <c r="Q14" s="157">
        <v>137</v>
      </c>
      <c r="R14" s="157"/>
      <c r="S14" s="157">
        <v>95451006</v>
      </c>
      <c r="T14" s="45">
        <f t="shared" ref="T14:T36" si="4">IF(ISBLANK(S14),"-",S14-S13)</f>
        <v>4532</v>
      </c>
      <c r="U14" s="46">
        <f t="shared" ref="U14:U37" si="5">T14*24/1000</f>
        <v>108.768</v>
      </c>
      <c r="V14" s="46">
        <f t="shared" ref="V14:V37" si="6">T14/1000</f>
        <v>4.532</v>
      </c>
      <c r="W14" s="96">
        <v>4.9000000000000004</v>
      </c>
      <c r="X14" s="96">
        <f t="shared" si="1"/>
        <v>4.9000000000000004</v>
      </c>
      <c r="Y14" s="97" t="s">
        <v>138</v>
      </c>
      <c r="Z14" s="158">
        <v>0</v>
      </c>
      <c r="AA14" s="158">
        <v>0</v>
      </c>
      <c r="AB14" s="158">
        <v>0</v>
      </c>
      <c r="AC14" s="158">
        <v>1185</v>
      </c>
      <c r="AD14" s="158">
        <v>1187</v>
      </c>
      <c r="AE14" s="158">
        <v>1185</v>
      </c>
      <c r="AF14" s="47" t="s">
        <v>90</v>
      </c>
      <c r="AG14" s="47" t="s">
        <v>90</v>
      </c>
      <c r="AH14" s="98" t="s">
        <v>90</v>
      </c>
      <c r="AI14" s="103">
        <v>15989485</v>
      </c>
      <c r="AJ14" s="45">
        <f t="shared" ref="AJ14:AJ36" si="7">IF(ISBLANK(AI14),"-",AI14-AI13)</f>
        <v>1101</v>
      </c>
      <c r="AK14" s="48">
        <f t="shared" ref="AK14:AK36" si="8">AJ14/V14</f>
        <v>242.93909973521625</v>
      </c>
      <c r="AL14" s="155">
        <v>0</v>
      </c>
      <c r="AM14" s="155">
        <v>0</v>
      </c>
      <c r="AN14" s="155">
        <v>0</v>
      </c>
      <c r="AO14" s="155">
        <v>1</v>
      </c>
      <c r="AP14" s="155">
        <v>1</v>
      </c>
      <c r="AQ14" s="155">
        <v>1</v>
      </c>
      <c r="AR14" s="155">
        <v>0.8</v>
      </c>
      <c r="AS14" s="158"/>
      <c r="AT14" s="158">
        <f t="shared" ref="AT14:AT35" si="9">AS14-AS13</f>
        <v>0</v>
      </c>
      <c r="AU14" s="119">
        <v>0.89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57">
        <v>43244</v>
      </c>
      <c r="B15" s="40">
        <v>2.0833333333333299</v>
      </c>
      <c r="C15" s="40">
        <v>0.125</v>
      </c>
      <c r="D15" s="156">
        <v>3</v>
      </c>
      <c r="E15" s="154">
        <f t="shared" si="2"/>
        <v>2.1126760563380285</v>
      </c>
      <c r="F15" s="154">
        <v>5</v>
      </c>
      <c r="G15" s="118">
        <v>72</v>
      </c>
      <c r="H15" s="154">
        <f t="shared" si="0"/>
        <v>50.70422535211268</v>
      </c>
      <c r="I15" s="154">
        <v>75</v>
      </c>
      <c r="J15" s="41" t="s">
        <v>88</v>
      </c>
      <c r="K15" s="41">
        <f t="shared" si="3"/>
        <v>45.774647887323944</v>
      </c>
      <c r="L15" s="42">
        <f>(G15-5)/1.42</f>
        <v>47.183098591549296</v>
      </c>
      <c r="M15" s="41">
        <f>L15+(6/1.42)</f>
        <v>51.408450704225352</v>
      </c>
      <c r="N15" s="43">
        <v>14</v>
      </c>
      <c r="O15" s="44" t="s">
        <v>89</v>
      </c>
      <c r="P15" s="44">
        <v>11.2</v>
      </c>
      <c r="Q15" s="157">
        <v>139</v>
      </c>
      <c r="R15" s="157"/>
      <c r="S15" s="157">
        <v>95455019</v>
      </c>
      <c r="T15" s="45">
        <f>IF(ISBLANK(S15),"-",S15-S14)</f>
        <v>4013</v>
      </c>
      <c r="U15" s="46">
        <f t="shared" si="5"/>
        <v>96.311999999999998</v>
      </c>
      <c r="V15" s="46">
        <f t="shared" si="6"/>
        <v>4.0129999999999999</v>
      </c>
      <c r="W15" s="96">
        <v>6.2</v>
      </c>
      <c r="X15" s="96">
        <f t="shared" si="1"/>
        <v>6.2</v>
      </c>
      <c r="Y15" s="97" t="s">
        <v>138</v>
      </c>
      <c r="Z15" s="158">
        <v>0</v>
      </c>
      <c r="AA15" s="158">
        <v>0</v>
      </c>
      <c r="AB15" s="158">
        <v>0</v>
      </c>
      <c r="AC15" s="158">
        <v>1185</v>
      </c>
      <c r="AD15" s="158">
        <v>1188</v>
      </c>
      <c r="AE15" s="158">
        <v>1185</v>
      </c>
      <c r="AF15" s="47" t="s">
        <v>90</v>
      </c>
      <c r="AG15" s="47" t="s">
        <v>90</v>
      </c>
      <c r="AH15" s="98" t="s">
        <v>90</v>
      </c>
      <c r="AI15" s="103">
        <v>15990601</v>
      </c>
      <c r="AJ15" s="45">
        <f t="shared" si="7"/>
        <v>1116</v>
      </c>
      <c r="AK15" s="48">
        <f t="shared" si="8"/>
        <v>278.09618739097931</v>
      </c>
      <c r="AL15" s="155">
        <v>0</v>
      </c>
      <c r="AM15" s="155">
        <v>0</v>
      </c>
      <c r="AN15" s="155">
        <v>0</v>
      </c>
      <c r="AO15" s="155">
        <v>1</v>
      </c>
      <c r="AP15" s="155">
        <v>1</v>
      </c>
      <c r="AQ15" s="155">
        <v>1</v>
      </c>
      <c r="AR15" s="155">
        <v>0.8</v>
      </c>
      <c r="AS15" s="158"/>
      <c r="AT15" s="158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357">
        <v>43244</v>
      </c>
      <c r="B16" s="40">
        <v>2.125</v>
      </c>
      <c r="C16" s="40">
        <v>0.16666666666666699</v>
      </c>
      <c r="D16" s="156" t="s">
        <v>179</v>
      </c>
      <c r="E16" s="154" t="e">
        <f t="shared" si="2"/>
        <v>#VALUE!</v>
      </c>
      <c r="F16" s="154">
        <v>6</v>
      </c>
      <c r="G16" s="118">
        <v>70</v>
      </c>
      <c r="H16" s="154">
        <f t="shared" si="0"/>
        <v>49.295774647887328</v>
      </c>
      <c r="I16" s="154">
        <v>76</v>
      </c>
      <c r="J16" s="41" t="s">
        <v>88</v>
      </c>
      <c r="K16" s="41">
        <f t="shared" si="3"/>
        <v>44.366197183098592</v>
      </c>
      <c r="L16" s="42">
        <f>(G16-5)/1.42</f>
        <v>45.774647887323944</v>
      </c>
      <c r="M16" s="41">
        <f>L16+(6/1.42)</f>
        <v>50</v>
      </c>
      <c r="N16" s="43">
        <v>14</v>
      </c>
      <c r="O16" s="44" t="s">
        <v>89</v>
      </c>
      <c r="P16" s="44">
        <v>12.8</v>
      </c>
      <c r="Q16" s="157" t="s">
        <v>179</v>
      </c>
      <c r="R16" s="157"/>
      <c r="S16" s="157">
        <v>95459528</v>
      </c>
      <c r="T16" s="45">
        <f t="shared" si="4"/>
        <v>4509</v>
      </c>
      <c r="U16" s="46">
        <f t="shared" si="5"/>
        <v>108.21599999999999</v>
      </c>
      <c r="V16" s="46">
        <f t="shared" si="6"/>
        <v>4.5090000000000003</v>
      </c>
      <c r="W16" s="96">
        <v>8.1</v>
      </c>
      <c r="X16" s="96">
        <f t="shared" si="1"/>
        <v>8.1</v>
      </c>
      <c r="Y16" s="97" t="s">
        <v>138</v>
      </c>
      <c r="Z16" s="158">
        <v>0</v>
      </c>
      <c r="AA16" s="158">
        <v>0</v>
      </c>
      <c r="AB16" s="158">
        <v>0</v>
      </c>
      <c r="AC16" s="158">
        <v>1185</v>
      </c>
      <c r="AD16" s="158">
        <v>1188</v>
      </c>
      <c r="AE16" s="158">
        <v>1185</v>
      </c>
      <c r="AF16" s="47" t="s">
        <v>90</v>
      </c>
      <c r="AG16" s="47" t="s">
        <v>90</v>
      </c>
      <c r="AH16" s="98" t="s">
        <v>90</v>
      </c>
      <c r="AI16" s="103">
        <v>15991715</v>
      </c>
      <c r="AJ16" s="45">
        <f t="shared" si="7"/>
        <v>1114</v>
      </c>
      <c r="AK16" s="48">
        <f t="shared" si="8"/>
        <v>247.0614326901752</v>
      </c>
      <c r="AL16" s="155">
        <v>0</v>
      </c>
      <c r="AM16" s="155">
        <v>0</v>
      </c>
      <c r="AN16" s="155">
        <v>0</v>
      </c>
      <c r="AO16" s="155">
        <v>1</v>
      </c>
      <c r="AP16" s="155">
        <v>1</v>
      </c>
      <c r="AQ16" s="155">
        <v>1</v>
      </c>
      <c r="AR16" s="155">
        <v>0.8</v>
      </c>
      <c r="AS16" s="158"/>
      <c r="AT16" s="158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357">
        <v>43244</v>
      </c>
      <c r="B17" s="40">
        <v>2.1666666666666701</v>
      </c>
      <c r="C17" s="40">
        <v>0.20833333333333301</v>
      </c>
      <c r="D17" s="156" t="s">
        <v>179</v>
      </c>
      <c r="E17" s="154" t="e">
        <f t="shared" si="2"/>
        <v>#VALUE!</v>
      </c>
      <c r="F17" s="154">
        <v>8</v>
      </c>
      <c r="G17" s="118">
        <v>81</v>
      </c>
      <c r="H17" s="154">
        <f t="shared" si="0"/>
        <v>57.04225352112676</v>
      </c>
      <c r="I17" s="154">
        <v>80</v>
      </c>
      <c r="J17" s="41" t="s">
        <v>88</v>
      </c>
      <c r="K17" s="41">
        <f t="shared" si="3"/>
        <v>52.112676056338032</v>
      </c>
      <c r="L17" s="42">
        <f>(G17-5)/1.42</f>
        <v>53.521126760563384</v>
      </c>
      <c r="M17" s="41">
        <f>L17+(6/1.42)</f>
        <v>57.74647887323944</v>
      </c>
      <c r="N17" s="43">
        <v>18</v>
      </c>
      <c r="O17" s="44" t="s">
        <v>89</v>
      </c>
      <c r="P17" s="44">
        <v>13.1</v>
      </c>
      <c r="Q17" s="157" t="s">
        <v>179</v>
      </c>
      <c r="R17" s="157"/>
      <c r="S17" s="157">
        <v>95463678</v>
      </c>
      <c r="T17" s="45">
        <f t="shared" si="4"/>
        <v>4150</v>
      </c>
      <c r="U17" s="46">
        <f t="shared" si="5"/>
        <v>99.6</v>
      </c>
      <c r="V17" s="46">
        <f t="shared" si="6"/>
        <v>4.1500000000000004</v>
      </c>
      <c r="W17" s="96">
        <v>9.5</v>
      </c>
      <c r="X17" s="96">
        <f t="shared" si="1"/>
        <v>9.5</v>
      </c>
      <c r="Y17" s="97" t="s">
        <v>138</v>
      </c>
      <c r="Z17" s="158">
        <v>0</v>
      </c>
      <c r="AA17" s="158">
        <v>0</v>
      </c>
      <c r="AB17" s="158">
        <v>0</v>
      </c>
      <c r="AC17" s="158">
        <v>1185</v>
      </c>
      <c r="AD17" s="158">
        <v>1187</v>
      </c>
      <c r="AE17" s="158">
        <v>1185</v>
      </c>
      <c r="AF17" s="47" t="s">
        <v>90</v>
      </c>
      <c r="AG17" s="47" t="s">
        <v>90</v>
      </c>
      <c r="AH17" s="98" t="s">
        <v>90</v>
      </c>
      <c r="AI17" s="103">
        <v>15992798</v>
      </c>
      <c r="AJ17" s="45">
        <f t="shared" si="7"/>
        <v>1083</v>
      </c>
      <c r="AK17" s="48">
        <f t="shared" si="8"/>
        <v>260.96385542168673</v>
      </c>
      <c r="AL17" s="155">
        <v>0</v>
      </c>
      <c r="AM17" s="155">
        <v>0</v>
      </c>
      <c r="AN17" s="155">
        <v>0</v>
      </c>
      <c r="AO17" s="155">
        <v>1</v>
      </c>
      <c r="AP17" s="155">
        <v>1</v>
      </c>
      <c r="AQ17" s="155">
        <v>1</v>
      </c>
      <c r="AR17" s="155">
        <v>0</v>
      </c>
      <c r="AS17" s="158"/>
      <c r="AT17" s="158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57">
        <v>43244</v>
      </c>
      <c r="B18" s="40">
        <v>2.2083333333333299</v>
      </c>
      <c r="C18" s="40">
        <v>0.25</v>
      </c>
      <c r="D18" s="156" t="s">
        <v>179</v>
      </c>
      <c r="E18" s="154" t="e">
        <f t="shared" si="2"/>
        <v>#VALUE!</v>
      </c>
      <c r="F18" s="154">
        <v>8</v>
      </c>
      <c r="G18" s="118">
        <v>81</v>
      </c>
      <c r="H18" s="154">
        <f t="shared" si="0"/>
        <v>57.04225352112676</v>
      </c>
      <c r="I18" s="154">
        <v>76</v>
      </c>
      <c r="J18" s="41" t="s">
        <v>88</v>
      </c>
      <c r="K18" s="41">
        <f t="shared" si="3"/>
        <v>55.633802816901408</v>
      </c>
      <c r="L18" s="42">
        <f t="shared" ref="L18:L27" si="10">G18/1.42</f>
        <v>57.04225352112676</v>
      </c>
      <c r="M18" s="41">
        <f>L18+1.42</f>
        <v>58.462253521126762</v>
      </c>
      <c r="N18" s="43">
        <v>19</v>
      </c>
      <c r="O18" s="44" t="s">
        <v>100</v>
      </c>
      <c r="P18" s="44">
        <v>13.1</v>
      </c>
      <c r="Q18" s="157" t="s">
        <v>179</v>
      </c>
      <c r="R18" s="157"/>
      <c r="S18" s="157">
        <v>95468460</v>
      </c>
      <c r="T18" s="45">
        <f t="shared" si="4"/>
        <v>4782</v>
      </c>
      <c r="U18" s="46">
        <f t="shared" si="5"/>
        <v>114.768</v>
      </c>
      <c r="V18" s="46">
        <f t="shared" si="6"/>
        <v>4.782</v>
      </c>
      <c r="W18" s="96">
        <v>9.5</v>
      </c>
      <c r="X18" s="96">
        <f t="shared" si="1"/>
        <v>9.5</v>
      </c>
      <c r="Y18" s="97" t="s">
        <v>138</v>
      </c>
      <c r="Z18" s="158">
        <v>0</v>
      </c>
      <c r="AA18" s="158">
        <v>0</v>
      </c>
      <c r="AB18" s="158">
        <v>0</v>
      </c>
      <c r="AC18" s="158">
        <v>1185</v>
      </c>
      <c r="AD18" s="158">
        <v>1187</v>
      </c>
      <c r="AE18" s="158">
        <v>1185</v>
      </c>
      <c r="AF18" s="47" t="s">
        <v>90</v>
      </c>
      <c r="AG18" s="47" t="s">
        <v>90</v>
      </c>
      <c r="AH18" s="98" t="s">
        <v>90</v>
      </c>
      <c r="AI18" s="103">
        <v>15993936</v>
      </c>
      <c r="AJ18" s="45">
        <f t="shared" si="7"/>
        <v>1138</v>
      </c>
      <c r="AK18" s="48">
        <f t="shared" si="8"/>
        <v>237.97574236721036</v>
      </c>
      <c r="AL18" s="155">
        <v>0</v>
      </c>
      <c r="AM18" s="155">
        <v>0</v>
      </c>
      <c r="AN18" s="155">
        <v>0</v>
      </c>
      <c r="AO18" s="155">
        <v>1</v>
      </c>
      <c r="AP18" s="155">
        <v>1</v>
      </c>
      <c r="AQ18" s="155">
        <v>1</v>
      </c>
      <c r="AR18" s="155">
        <v>0</v>
      </c>
      <c r="AS18" s="158"/>
      <c r="AT18" s="158">
        <f t="shared" si="9"/>
        <v>0</v>
      </c>
      <c r="AU18" s="119">
        <v>1.02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57">
        <v>43244</v>
      </c>
      <c r="B19" s="40">
        <v>2.25</v>
      </c>
      <c r="C19" s="40">
        <v>0.29166666666666669</v>
      </c>
      <c r="D19" s="156">
        <v>3</v>
      </c>
      <c r="E19" s="154">
        <f t="shared" si="2"/>
        <v>2.1126760563380285</v>
      </c>
      <c r="F19" s="154">
        <v>7</v>
      </c>
      <c r="G19" s="118">
        <v>79</v>
      </c>
      <c r="H19" s="154">
        <f t="shared" si="0"/>
        <v>55.633802816901408</v>
      </c>
      <c r="I19" s="154">
        <v>77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7">
        <v>132</v>
      </c>
      <c r="R19" s="157"/>
      <c r="S19" s="157">
        <v>95473750</v>
      </c>
      <c r="T19" s="45">
        <f t="shared" si="4"/>
        <v>5290</v>
      </c>
      <c r="U19" s="46">
        <f t="shared" si="5"/>
        <v>126.96</v>
      </c>
      <c r="V19" s="46">
        <f t="shared" si="6"/>
        <v>5.29</v>
      </c>
      <c r="W19" s="96">
        <v>9.1</v>
      </c>
      <c r="X19" s="96">
        <f t="shared" si="1"/>
        <v>9.1</v>
      </c>
      <c r="Y19" s="97" t="s">
        <v>169</v>
      </c>
      <c r="Z19" s="158">
        <v>0</v>
      </c>
      <c r="AA19" s="158">
        <v>1036</v>
      </c>
      <c r="AB19" s="158">
        <v>0</v>
      </c>
      <c r="AC19" s="158">
        <v>1185</v>
      </c>
      <c r="AD19" s="158">
        <v>1187</v>
      </c>
      <c r="AE19" s="158">
        <v>1185</v>
      </c>
      <c r="AF19" s="47" t="s">
        <v>90</v>
      </c>
      <c r="AG19" s="47" t="s">
        <v>90</v>
      </c>
      <c r="AH19" s="98" t="s">
        <v>90</v>
      </c>
      <c r="AI19" s="103">
        <v>15995120</v>
      </c>
      <c r="AJ19" s="45">
        <f t="shared" si="7"/>
        <v>1184</v>
      </c>
      <c r="AK19" s="48">
        <f t="shared" si="8"/>
        <v>223.81852551984878</v>
      </c>
      <c r="AL19" s="155">
        <v>0</v>
      </c>
      <c r="AM19" s="155">
        <v>1</v>
      </c>
      <c r="AN19" s="155">
        <v>0</v>
      </c>
      <c r="AO19" s="155">
        <v>1</v>
      </c>
      <c r="AP19" s="155">
        <v>1</v>
      </c>
      <c r="AQ19" s="155">
        <v>1</v>
      </c>
      <c r="AR19" s="155">
        <v>0</v>
      </c>
      <c r="AS19" s="158"/>
      <c r="AT19" s="158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57">
        <v>43244</v>
      </c>
      <c r="B20" s="40">
        <v>2.2916666666666701</v>
      </c>
      <c r="C20" s="40">
        <v>0.33333333333333298</v>
      </c>
      <c r="D20" s="156">
        <v>3</v>
      </c>
      <c r="E20" s="154">
        <f t="shared" si="2"/>
        <v>2.1126760563380285</v>
      </c>
      <c r="F20" s="154">
        <v>6</v>
      </c>
      <c r="G20" s="118">
        <v>77</v>
      </c>
      <c r="H20" s="154">
        <f t="shared" si="0"/>
        <v>54.225352112676056</v>
      </c>
      <c r="I20" s="154">
        <v>75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7">
        <v>130</v>
      </c>
      <c r="R20" s="157"/>
      <c r="S20" s="157">
        <v>95478630</v>
      </c>
      <c r="T20" s="45">
        <f t="shared" si="4"/>
        <v>4880</v>
      </c>
      <c r="U20" s="46">
        <f>T20*24/1000</f>
        <v>117.12</v>
      </c>
      <c r="V20" s="46">
        <f t="shared" si="6"/>
        <v>4.88</v>
      </c>
      <c r="W20" s="96">
        <v>8.4</v>
      </c>
      <c r="X20" s="96">
        <f t="shared" si="1"/>
        <v>8.4</v>
      </c>
      <c r="Y20" s="97" t="s">
        <v>169</v>
      </c>
      <c r="Z20" s="158">
        <v>0</v>
      </c>
      <c r="AA20" s="158">
        <v>1037</v>
      </c>
      <c r="AB20" s="158">
        <v>0</v>
      </c>
      <c r="AC20" s="158">
        <v>1185</v>
      </c>
      <c r="AD20" s="158">
        <v>1187</v>
      </c>
      <c r="AE20" s="158">
        <v>1185</v>
      </c>
      <c r="AF20" s="47" t="s">
        <v>90</v>
      </c>
      <c r="AG20" s="47" t="s">
        <v>90</v>
      </c>
      <c r="AH20" s="98" t="s">
        <v>90</v>
      </c>
      <c r="AI20" s="103">
        <v>15996320</v>
      </c>
      <c r="AJ20" s="45">
        <f t="shared" si="7"/>
        <v>1200</v>
      </c>
      <c r="AK20" s="48">
        <f t="shared" si="8"/>
        <v>245.90163934426229</v>
      </c>
      <c r="AL20" s="155">
        <v>0</v>
      </c>
      <c r="AM20" s="155">
        <v>1</v>
      </c>
      <c r="AN20" s="155">
        <v>0</v>
      </c>
      <c r="AO20" s="155">
        <v>1</v>
      </c>
      <c r="AP20" s="155">
        <v>1</v>
      </c>
      <c r="AQ20" s="155">
        <v>1</v>
      </c>
      <c r="AR20" s="155">
        <v>0</v>
      </c>
      <c r="AS20" s="158"/>
      <c r="AT20" s="158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357">
        <v>43244</v>
      </c>
      <c r="B21" s="40">
        <v>2.3333333333333299</v>
      </c>
      <c r="C21" s="40">
        <v>0.375</v>
      </c>
      <c r="D21" s="156">
        <v>4</v>
      </c>
      <c r="E21" s="154">
        <f t="shared" si="2"/>
        <v>2.8169014084507045</v>
      </c>
      <c r="F21" s="154">
        <v>5</v>
      </c>
      <c r="G21" s="118">
        <v>77</v>
      </c>
      <c r="H21" s="154">
        <f t="shared" si="0"/>
        <v>54.225352112676056</v>
      </c>
      <c r="I21" s="154">
        <v>75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7">
        <v>130</v>
      </c>
      <c r="R21" s="157"/>
      <c r="S21" s="157">
        <v>95483758</v>
      </c>
      <c r="T21" s="45">
        <f t="shared" si="4"/>
        <v>5128</v>
      </c>
      <c r="U21" s="46">
        <f t="shared" si="5"/>
        <v>123.072</v>
      </c>
      <c r="V21" s="46">
        <f t="shared" si="6"/>
        <v>5.1280000000000001</v>
      </c>
      <c r="W21" s="96">
        <v>7.8</v>
      </c>
      <c r="X21" s="96">
        <f t="shared" si="1"/>
        <v>7.8</v>
      </c>
      <c r="Y21" s="97" t="s">
        <v>169</v>
      </c>
      <c r="Z21" s="158">
        <v>0</v>
      </c>
      <c r="AA21" s="158">
        <v>1037</v>
      </c>
      <c r="AB21" s="158">
        <v>0</v>
      </c>
      <c r="AC21" s="158">
        <v>1185</v>
      </c>
      <c r="AD21" s="158">
        <v>1187</v>
      </c>
      <c r="AE21" s="158">
        <v>1185</v>
      </c>
      <c r="AF21" s="47" t="s">
        <v>90</v>
      </c>
      <c r="AG21" s="47" t="s">
        <v>90</v>
      </c>
      <c r="AH21" s="98" t="s">
        <v>90</v>
      </c>
      <c r="AI21" s="103">
        <v>15997507</v>
      </c>
      <c r="AJ21" s="45">
        <f t="shared" si="7"/>
        <v>1187</v>
      </c>
      <c r="AK21" s="48">
        <f t="shared" si="8"/>
        <v>231.47425897035882</v>
      </c>
      <c r="AL21" s="155">
        <v>0</v>
      </c>
      <c r="AM21" s="155">
        <v>1</v>
      </c>
      <c r="AN21" s="155">
        <v>0</v>
      </c>
      <c r="AO21" s="155">
        <v>1</v>
      </c>
      <c r="AP21" s="155">
        <v>1</v>
      </c>
      <c r="AQ21" s="155">
        <v>1</v>
      </c>
      <c r="AR21" s="155">
        <v>0</v>
      </c>
      <c r="AS21" s="158"/>
      <c r="AT21" s="158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205</v>
      </c>
    </row>
    <row r="22" spans="1:54" x14ac:dyDescent="0.35">
      <c r="A22" s="357">
        <v>43244</v>
      </c>
      <c r="B22" s="40">
        <v>2.375</v>
      </c>
      <c r="C22" s="40">
        <v>0.41666666666666669</v>
      </c>
      <c r="D22" s="156">
        <v>4</v>
      </c>
      <c r="E22" s="154">
        <f t="shared" si="2"/>
        <v>2.8169014084507045</v>
      </c>
      <c r="F22" s="154">
        <v>4</v>
      </c>
      <c r="G22" s="118">
        <v>77</v>
      </c>
      <c r="H22" s="154">
        <f t="shared" si="0"/>
        <v>54.225352112676056</v>
      </c>
      <c r="I22" s="154">
        <v>75</v>
      </c>
      <c r="J22" s="41" t="s">
        <v>88</v>
      </c>
      <c r="K22" s="41">
        <f t="shared" si="3"/>
        <v>52.816901408450704</v>
      </c>
      <c r="L22" s="42">
        <f t="shared" si="10"/>
        <v>54.225352112676056</v>
      </c>
      <c r="M22" s="41">
        <f t="shared" si="11"/>
        <v>55.645352112676058</v>
      </c>
      <c r="N22" s="43">
        <v>19</v>
      </c>
      <c r="O22" s="44" t="s">
        <v>100</v>
      </c>
      <c r="P22" s="44">
        <v>17.7</v>
      </c>
      <c r="Q22" s="157">
        <v>131</v>
      </c>
      <c r="R22" s="157"/>
      <c r="S22" s="157">
        <v>95487859</v>
      </c>
      <c r="T22" s="45">
        <f t="shared" si="4"/>
        <v>4101</v>
      </c>
      <c r="U22" s="46">
        <f t="shared" si="5"/>
        <v>98.424000000000007</v>
      </c>
      <c r="V22" s="46">
        <f t="shared" si="6"/>
        <v>4.101</v>
      </c>
      <c r="W22" s="96">
        <v>7.1</v>
      </c>
      <c r="X22" s="96">
        <f t="shared" si="1"/>
        <v>7.1</v>
      </c>
      <c r="Y22" s="97" t="s">
        <v>169</v>
      </c>
      <c r="Z22" s="158">
        <v>0</v>
      </c>
      <c r="AA22" s="158">
        <v>1036</v>
      </c>
      <c r="AB22" s="158">
        <v>0</v>
      </c>
      <c r="AC22" s="158">
        <v>1185</v>
      </c>
      <c r="AD22" s="158">
        <v>1187</v>
      </c>
      <c r="AE22" s="158">
        <v>1185</v>
      </c>
      <c r="AF22" s="47" t="s">
        <v>90</v>
      </c>
      <c r="AG22" s="47" t="s">
        <v>90</v>
      </c>
      <c r="AH22" s="98" t="s">
        <v>90</v>
      </c>
      <c r="AI22" s="103">
        <v>15998675</v>
      </c>
      <c r="AJ22" s="45">
        <f t="shared" si="7"/>
        <v>1168</v>
      </c>
      <c r="AK22" s="48">
        <f t="shared" si="8"/>
        <v>284.80858327237257</v>
      </c>
      <c r="AL22" s="155">
        <v>0</v>
      </c>
      <c r="AM22" s="155">
        <v>1</v>
      </c>
      <c r="AN22" s="155">
        <v>0</v>
      </c>
      <c r="AO22" s="155">
        <v>1</v>
      </c>
      <c r="AP22" s="155">
        <v>1</v>
      </c>
      <c r="AQ22" s="155">
        <v>1</v>
      </c>
      <c r="AR22" s="155">
        <v>0</v>
      </c>
      <c r="AS22" s="158"/>
      <c r="AT22" s="158">
        <f t="shared" si="9"/>
        <v>0</v>
      </c>
      <c r="AU22" s="119">
        <v>1.1100000000000001</v>
      </c>
      <c r="AV22" s="50" t="s">
        <v>125</v>
      </c>
      <c r="BB22" s="136" t="s">
        <v>157</v>
      </c>
    </row>
    <row r="23" spans="1:54" x14ac:dyDescent="0.35">
      <c r="A23" s="357">
        <v>43244</v>
      </c>
      <c r="B23" s="40">
        <v>2.4166666666666701</v>
      </c>
      <c r="C23" s="40">
        <v>0.45833333333333298</v>
      </c>
      <c r="D23" s="156">
        <v>3</v>
      </c>
      <c r="E23" s="154">
        <f t="shared" si="2"/>
        <v>2.1126760563380285</v>
      </c>
      <c r="F23" s="154">
        <v>3</v>
      </c>
      <c r="G23" s="118">
        <v>76</v>
      </c>
      <c r="H23" s="154">
        <f t="shared" si="0"/>
        <v>53.521126760563384</v>
      </c>
      <c r="I23" s="154">
        <v>74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7">
        <v>131</v>
      </c>
      <c r="R23" s="157"/>
      <c r="S23" s="157">
        <v>95492128</v>
      </c>
      <c r="T23" s="45">
        <f t="shared" si="4"/>
        <v>4269</v>
      </c>
      <c r="U23" s="46">
        <f t="shared" si="5"/>
        <v>102.456</v>
      </c>
      <c r="V23" s="46">
        <f t="shared" si="6"/>
        <v>4.2690000000000001</v>
      </c>
      <c r="W23" s="96">
        <v>6.5</v>
      </c>
      <c r="X23" s="96">
        <f>W23</f>
        <v>6.5</v>
      </c>
      <c r="Y23" s="97" t="s">
        <v>169</v>
      </c>
      <c r="Z23" s="158">
        <v>0</v>
      </c>
      <c r="AA23" s="158">
        <v>1036</v>
      </c>
      <c r="AB23" s="158">
        <v>0</v>
      </c>
      <c r="AC23" s="158">
        <v>1185</v>
      </c>
      <c r="AD23" s="158">
        <v>1187</v>
      </c>
      <c r="AE23" s="158">
        <v>1185</v>
      </c>
      <c r="AF23" s="47" t="s">
        <v>90</v>
      </c>
      <c r="AG23" s="47" t="s">
        <v>90</v>
      </c>
      <c r="AH23" s="98" t="s">
        <v>90</v>
      </c>
      <c r="AI23" s="103">
        <v>15999863</v>
      </c>
      <c r="AJ23" s="45">
        <f t="shared" si="7"/>
        <v>1188</v>
      </c>
      <c r="AK23" s="48">
        <f t="shared" si="8"/>
        <v>278.28531271960645</v>
      </c>
      <c r="AL23" s="155">
        <v>0</v>
      </c>
      <c r="AM23" s="155">
        <v>1</v>
      </c>
      <c r="AN23" s="155">
        <v>0</v>
      </c>
      <c r="AO23" s="155">
        <v>1</v>
      </c>
      <c r="AP23" s="155">
        <v>1</v>
      </c>
      <c r="AQ23" s="155">
        <v>1</v>
      </c>
      <c r="AR23" s="155">
        <v>0</v>
      </c>
      <c r="AS23" s="158"/>
      <c r="AT23" s="158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357">
        <v>43244</v>
      </c>
      <c r="B24" s="40">
        <v>2.4583333333333299</v>
      </c>
      <c r="C24" s="40">
        <v>0.5</v>
      </c>
      <c r="D24" s="156">
        <v>3</v>
      </c>
      <c r="E24" s="154">
        <f t="shared" si="2"/>
        <v>2.1126760563380285</v>
      </c>
      <c r="F24" s="154">
        <v>3</v>
      </c>
      <c r="G24" s="118">
        <v>76</v>
      </c>
      <c r="H24" s="154">
        <f t="shared" si="0"/>
        <v>53.521126760563384</v>
      </c>
      <c r="I24" s="154">
        <v>74</v>
      </c>
      <c r="J24" s="41" t="s">
        <v>88</v>
      </c>
      <c r="K24" s="41">
        <f t="shared" si="3"/>
        <v>52.112676056338032</v>
      </c>
      <c r="L24" s="42">
        <f t="shared" si="10"/>
        <v>53.521126760563384</v>
      </c>
      <c r="M24" s="41">
        <f t="shared" si="11"/>
        <v>54.941126760563385</v>
      </c>
      <c r="N24" s="43">
        <v>19</v>
      </c>
      <c r="O24" s="44" t="s">
        <v>100</v>
      </c>
      <c r="P24" s="44">
        <v>17.3</v>
      </c>
      <c r="Q24" s="157">
        <v>129</v>
      </c>
      <c r="R24" s="157"/>
      <c r="S24" s="157">
        <v>95496673</v>
      </c>
      <c r="T24" s="45">
        <f t="shared" si="4"/>
        <v>4545</v>
      </c>
      <c r="U24" s="46">
        <f>T24*24/1000</f>
        <v>109.08</v>
      </c>
      <c r="V24" s="46">
        <f t="shared" si="6"/>
        <v>4.5449999999999999</v>
      </c>
      <c r="W24" s="96">
        <v>5.9</v>
      </c>
      <c r="X24" s="96">
        <f t="shared" si="1"/>
        <v>5.9</v>
      </c>
      <c r="Y24" s="97" t="s">
        <v>169</v>
      </c>
      <c r="Z24" s="158">
        <v>0</v>
      </c>
      <c r="AA24" s="158">
        <v>1036</v>
      </c>
      <c r="AB24" s="158">
        <v>0</v>
      </c>
      <c r="AC24" s="158">
        <v>1185</v>
      </c>
      <c r="AD24" s="158">
        <v>1187</v>
      </c>
      <c r="AE24" s="158">
        <v>1185</v>
      </c>
      <c r="AF24" s="47" t="s">
        <v>90</v>
      </c>
      <c r="AG24" s="47" t="s">
        <v>90</v>
      </c>
      <c r="AH24" s="98" t="s">
        <v>90</v>
      </c>
      <c r="AI24" s="103">
        <v>16001055</v>
      </c>
      <c r="AJ24" s="45">
        <f t="shared" si="7"/>
        <v>1192</v>
      </c>
      <c r="AK24" s="48">
        <f t="shared" si="8"/>
        <v>262.26622662266226</v>
      </c>
      <c r="AL24" s="155">
        <v>0</v>
      </c>
      <c r="AM24" s="155">
        <v>1</v>
      </c>
      <c r="AN24" s="155">
        <v>0</v>
      </c>
      <c r="AO24" s="155">
        <v>1</v>
      </c>
      <c r="AP24" s="155">
        <v>1</v>
      </c>
      <c r="AQ24" s="155">
        <v>1</v>
      </c>
      <c r="AR24" s="155">
        <v>0</v>
      </c>
      <c r="AS24" s="158"/>
      <c r="AT24" s="158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357">
        <v>43244</v>
      </c>
      <c r="B25" s="40">
        <v>2.5</v>
      </c>
      <c r="C25" s="40">
        <v>0.54166666666666696</v>
      </c>
      <c r="D25" s="156">
        <v>3</v>
      </c>
      <c r="E25" s="154">
        <f t="shared" si="2"/>
        <v>2.1126760563380285</v>
      </c>
      <c r="F25" s="154">
        <v>2</v>
      </c>
      <c r="G25" s="118">
        <v>75</v>
      </c>
      <c r="H25" s="154">
        <f t="shared" si="0"/>
        <v>52.816901408450704</v>
      </c>
      <c r="I25" s="154">
        <v>73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7">
        <v>128</v>
      </c>
      <c r="R25" s="157"/>
      <c r="S25" s="157">
        <v>95501657</v>
      </c>
      <c r="T25" s="45">
        <f t="shared" si="4"/>
        <v>4984</v>
      </c>
      <c r="U25" s="46">
        <f>T25*24/1000</f>
        <v>119.616</v>
      </c>
      <c r="V25" s="46">
        <f t="shared" si="6"/>
        <v>4.984</v>
      </c>
      <c r="W25" s="96">
        <v>5.3</v>
      </c>
      <c r="X25" s="96">
        <f t="shared" si="1"/>
        <v>5.3</v>
      </c>
      <c r="Y25" s="97" t="s">
        <v>169</v>
      </c>
      <c r="Z25" s="158">
        <v>0</v>
      </c>
      <c r="AA25" s="158">
        <v>1028</v>
      </c>
      <c r="AB25" s="158">
        <v>0</v>
      </c>
      <c r="AC25" s="158">
        <v>1185</v>
      </c>
      <c r="AD25" s="158">
        <v>1187</v>
      </c>
      <c r="AE25" s="158">
        <v>1185</v>
      </c>
      <c r="AF25" s="47" t="s">
        <v>90</v>
      </c>
      <c r="AG25" s="47" t="s">
        <v>90</v>
      </c>
      <c r="AH25" s="98" t="s">
        <v>90</v>
      </c>
      <c r="AI25" s="103">
        <v>16002234</v>
      </c>
      <c r="AJ25" s="45">
        <f t="shared" si="7"/>
        <v>1179</v>
      </c>
      <c r="AK25" s="48">
        <f t="shared" si="8"/>
        <v>236.55698234349919</v>
      </c>
      <c r="AL25" s="155">
        <v>0</v>
      </c>
      <c r="AM25" s="155">
        <v>1</v>
      </c>
      <c r="AN25" s="155">
        <v>0</v>
      </c>
      <c r="AO25" s="155">
        <v>1</v>
      </c>
      <c r="AP25" s="155">
        <v>1</v>
      </c>
      <c r="AQ25" s="155">
        <v>1</v>
      </c>
      <c r="AR25" s="155">
        <v>0</v>
      </c>
      <c r="AS25" s="158"/>
      <c r="AT25" s="158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57">
        <v>43244</v>
      </c>
      <c r="B26" s="40">
        <v>2.5416666666666701</v>
      </c>
      <c r="C26" s="40">
        <v>0.58333333333333404</v>
      </c>
      <c r="D26" s="156">
        <v>3</v>
      </c>
      <c r="E26" s="154">
        <f t="shared" si="2"/>
        <v>2.1126760563380285</v>
      </c>
      <c r="F26" s="154">
        <v>2</v>
      </c>
      <c r="G26" s="118">
        <v>75</v>
      </c>
      <c r="H26" s="154">
        <f t="shared" si="0"/>
        <v>52.816901408450704</v>
      </c>
      <c r="I26" s="154">
        <v>73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7">
        <v>130</v>
      </c>
      <c r="R26" s="157"/>
      <c r="S26" s="157">
        <v>95507438</v>
      </c>
      <c r="T26" s="45">
        <f t="shared" si="4"/>
        <v>5781</v>
      </c>
      <c r="U26" s="46">
        <f t="shared" si="5"/>
        <v>138.744</v>
      </c>
      <c r="V26" s="46">
        <f t="shared" si="6"/>
        <v>5.7809999999999997</v>
      </c>
      <c r="W26" s="96">
        <v>4.7</v>
      </c>
      <c r="X26" s="96">
        <f t="shared" si="1"/>
        <v>4.7</v>
      </c>
      <c r="Y26" s="97" t="s">
        <v>169</v>
      </c>
      <c r="Z26" s="158">
        <v>0</v>
      </c>
      <c r="AA26" s="158">
        <v>1026</v>
      </c>
      <c r="AB26" s="158">
        <v>0</v>
      </c>
      <c r="AC26" s="158">
        <v>1185</v>
      </c>
      <c r="AD26" s="158">
        <v>1187</v>
      </c>
      <c r="AE26" s="158">
        <v>1185</v>
      </c>
      <c r="AF26" s="47" t="s">
        <v>90</v>
      </c>
      <c r="AG26" s="47" t="s">
        <v>90</v>
      </c>
      <c r="AH26" s="98" t="s">
        <v>90</v>
      </c>
      <c r="AI26" s="103">
        <v>16003532</v>
      </c>
      <c r="AJ26" s="45">
        <f t="shared" si="7"/>
        <v>1298</v>
      </c>
      <c r="AK26" s="48">
        <f t="shared" si="8"/>
        <v>224.52862826500606</v>
      </c>
      <c r="AL26" s="155">
        <v>0</v>
      </c>
      <c r="AM26" s="155">
        <v>1</v>
      </c>
      <c r="AN26" s="155">
        <v>0</v>
      </c>
      <c r="AO26" s="155">
        <v>1</v>
      </c>
      <c r="AP26" s="155">
        <v>1</v>
      </c>
      <c r="AQ26" s="155">
        <v>1</v>
      </c>
      <c r="AR26" s="155">
        <v>0</v>
      </c>
      <c r="AS26" s="158"/>
      <c r="AT26" s="158">
        <f t="shared" si="9"/>
        <v>0</v>
      </c>
      <c r="AU26" s="119">
        <v>1.1399999999999999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57">
        <v>43244</v>
      </c>
      <c r="B27" s="40">
        <v>2.5833333333333299</v>
      </c>
      <c r="C27" s="40">
        <v>0.625</v>
      </c>
      <c r="D27" s="156">
        <v>4</v>
      </c>
      <c r="E27" s="154">
        <f t="shared" si="2"/>
        <v>2.8169014084507045</v>
      </c>
      <c r="F27" s="154">
        <v>2</v>
      </c>
      <c r="G27" s="118">
        <v>76</v>
      </c>
      <c r="H27" s="154">
        <f>G27/1.42</f>
        <v>53.521126760563384</v>
      </c>
      <c r="I27" s="154">
        <v>72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7">
        <v>128</v>
      </c>
      <c r="R27" s="157"/>
      <c r="S27" s="157">
        <v>95512244</v>
      </c>
      <c r="T27" s="45">
        <f t="shared" si="4"/>
        <v>4806</v>
      </c>
      <c r="U27" s="46">
        <f t="shared" si="5"/>
        <v>115.34399999999999</v>
      </c>
      <c r="V27" s="46">
        <f t="shared" si="6"/>
        <v>4.806</v>
      </c>
      <c r="W27" s="96">
        <v>4.3</v>
      </c>
      <c r="X27" s="96">
        <f t="shared" si="1"/>
        <v>4.3</v>
      </c>
      <c r="Y27" s="97" t="s">
        <v>169</v>
      </c>
      <c r="Z27" s="158">
        <v>0</v>
      </c>
      <c r="AA27" s="158">
        <v>1025</v>
      </c>
      <c r="AB27" s="158">
        <v>0</v>
      </c>
      <c r="AC27" s="158">
        <v>1185</v>
      </c>
      <c r="AD27" s="158">
        <v>1186</v>
      </c>
      <c r="AE27" s="158">
        <v>1185</v>
      </c>
      <c r="AF27" s="47" t="s">
        <v>90</v>
      </c>
      <c r="AG27" s="47" t="s">
        <v>90</v>
      </c>
      <c r="AH27" s="98" t="s">
        <v>90</v>
      </c>
      <c r="AI27" s="103">
        <v>16004558</v>
      </c>
      <c r="AJ27" s="45">
        <f t="shared" si="7"/>
        <v>1026</v>
      </c>
      <c r="AK27" s="48">
        <f t="shared" si="8"/>
        <v>213.48314606741573</v>
      </c>
      <c r="AL27" s="155">
        <v>0</v>
      </c>
      <c r="AM27" s="155">
        <v>1</v>
      </c>
      <c r="AN27" s="155">
        <v>0</v>
      </c>
      <c r="AO27" s="155">
        <v>1</v>
      </c>
      <c r="AP27" s="155">
        <v>1</v>
      </c>
      <c r="AQ27" s="155">
        <v>1</v>
      </c>
      <c r="AR27" s="155">
        <v>0</v>
      </c>
      <c r="AS27" s="158"/>
      <c r="AT27" s="158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57">
        <v>43244</v>
      </c>
      <c r="B28" s="40">
        <v>2.625</v>
      </c>
      <c r="C28" s="40">
        <v>0.66666666666666696</v>
      </c>
      <c r="D28" s="156">
        <v>4</v>
      </c>
      <c r="E28" s="154">
        <f t="shared" si="2"/>
        <v>2.8169014084507045</v>
      </c>
      <c r="F28" s="154">
        <v>2</v>
      </c>
      <c r="G28" s="118">
        <v>76</v>
      </c>
      <c r="H28" s="154">
        <f t="shared" si="0"/>
        <v>53.521126760563384</v>
      </c>
      <c r="I28" s="154">
        <v>72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7">
        <v>134</v>
      </c>
      <c r="R28" s="157"/>
      <c r="S28" s="157">
        <v>95517406</v>
      </c>
      <c r="T28" s="45">
        <f t="shared" si="4"/>
        <v>5162</v>
      </c>
      <c r="U28" s="46">
        <f t="shared" si="5"/>
        <v>123.88800000000001</v>
      </c>
      <c r="V28" s="46">
        <f t="shared" si="6"/>
        <v>5.1619999999999999</v>
      </c>
      <c r="W28" s="96">
        <v>3.7</v>
      </c>
      <c r="X28" s="96">
        <f t="shared" si="1"/>
        <v>3.7</v>
      </c>
      <c r="Y28" s="97" t="s">
        <v>169</v>
      </c>
      <c r="Z28" s="158">
        <v>0</v>
      </c>
      <c r="AA28" s="158">
        <v>1026</v>
      </c>
      <c r="AB28" s="158">
        <v>0</v>
      </c>
      <c r="AC28" s="158">
        <v>1185</v>
      </c>
      <c r="AD28" s="158">
        <v>1187</v>
      </c>
      <c r="AE28" s="158">
        <v>1185</v>
      </c>
      <c r="AF28" s="47" t="s">
        <v>90</v>
      </c>
      <c r="AG28" s="47" t="s">
        <v>90</v>
      </c>
      <c r="AH28" s="98" t="s">
        <v>90</v>
      </c>
      <c r="AI28" s="103">
        <v>16005786</v>
      </c>
      <c r="AJ28" s="45">
        <f>IF(ISBLANK(AI28),"-",AI28-AI27)</f>
        <v>1228</v>
      </c>
      <c r="AK28" s="48">
        <f t="shared" si="8"/>
        <v>237.89228981015111</v>
      </c>
      <c r="AL28" s="155">
        <v>0</v>
      </c>
      <c r="AM28" s="155">
        <v>1</v>
      </c>
      <c r="AN28" s="155">
        <v>0</v>
      </c>
      <c r="AO28" s="155">
        <v>1</v>
      </c>
      <c r="AP28" s="155">
        <v>1</v>
      </c>
      <c r="AQ28" s="155">
        <v>1</v>
      </c>
      <c r="AR28" s="155">
        <v>0</v>
      </c>
      <c r="AS28" s="158"/>
      <c r="AT28" s="158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357">
        <v>43244</v>
      </c>
      <c r="B29" s="40">
        <v>2.6666666666666701</v>
      </c>
      <c r="C29" s="40">
        <v>0.70833333333333404</v>
      </c>
      <c r="D29" s="156">
        <v>4</v>
      </c>
      <c r="E29" s="154">
        <f t="shared" si="2"/>
        <v>2.8169014084507045</v>
      </c>
      <c r="F29" s="154">
        <v>2</v>
      </c>
      <c r="G29" s="118">
        <v>75</v>
      </c>
      <c r="H29" s="154">
        <f t="shared" si="0"/>
        <v>52.816901408450704</v>
      </c>
      <c r="I29" s="154">
        <v>72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7">
        <v>131</v>
      </c>
      <c r="R29" s="157"/>
      <c r="S29" s="157">
        <v>95522102</v>
      </c>
      <c r="T29" s="45">
        <f t="shared" si="4"/>
        <v>4696</v>
      </c>
      <c r="U29" s="46">
        <f t="shared" si="5"/>
        <v>112.70399999999999</v>
      </c>
      <c r="V29" s="46">
        <f t="shared" si="6"/>
        <v>4.6959999999999997</v>
      </c>
      <c r="W29" s="96">
        <v>3.3</v>
      </c>
      <c r="X29" s="96">
        <f t="shared" si="1"/>
        <v>3.3</v>
      </c>
      <c r="Y29" s="97" t="s">
        <v>169</v>
      </c>
      <c r="Z29" s="158">
        <v>0</v>
      </c>
      <c r="AA29" s="158">
        <v>1016</v>
      </c>
      <c r="AB29" s="158">
        <v>0</v>
      </c>
      <c r="AC29" s="158">
        <v>1185</v>
      </c>
      <c r="AD29" s="158">
        <v>1187</v>
      </c>
      <c r="AE29" s="158">
        <v>1185</v>
      </c>
      <c r="AF29" s="47" t="s">
        <v>90</v>
      </c>
      <c r="AG29" s="47" t="s">
        <v>90</v>
      </c>
      <c r="AH29" s="98" t="s">
        <v>90</v>
      </c>
      <c r="AI29" s="103">
        <v>16006980</v>
      </c>
      <c r="AJ29" s="45">
        <f t="shared" si="7"/>
        <v>1194</v>
      </c>
      <c r="AK29" s="48">
        <f>AJ28/V29</f>
        <v>261.49914821124361</v>
      </c>
      <c r="AL29" s="155">
        <v>0</v>
      </c>
      <c r="AM29" s="155">
        <v>1</v>
      </c>
      <c r="AN29" s="155">
        <v>0</v>
      </c>
      <c r="AO29" s="155">
        <v>1</v>
      </c>
      <c r="AP29" s="155">
        <v>1</v>
      </c>
      <c r="AQ29" s="155">
        <v>1</v>
      </c>
      <c r="AR29" s="155">
        <v>0</v>
      </c>
      <c r="AS29" s="158"/>
      <c r="AT29" s="158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357">
        <v>43244</v>
      </c>
      <c r="B30" s="40">
        <v>2.7083333333333299</v>
      </c>
      <c r="C30" s="40">
        <v>0.750000000000002</v>
      </c>
      <c r="D30" s="156">
        <v>4</v>
      </c>
      <c r="E30" s="154">
        <f t="shared" si="2"/>
        <v>2.8169014084507045</v>
      </c>
      <c r="F30" s="154">
        <v>1</v>
      </c>
      <c r="G30" s="118">
        <v>75</v>
      </c>
      <c r="H30" s="154">
        <f t="shared" si="0"/>
        <v>52.816901408450704</v>
      </c>
      <c r="I30" s="154">
        <v>70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7">
        <v>131</v>
      </c>
      <c r="R30" s="157"/>
      <c r="S30" s="157">
        <v>95526738</v>
      </c>
      <c r="T30" s="45">
        <f t="shared" si="4"/>
        <v>4636</v>
      </c>
      <c r="U30" s="46">
        <f t="shared" si="5"/>
        <v>111.264</v>
      </c>
      <c r="V30" s="46">
        <f t="shared" si="6"/>
        <v>4.6360000000000001</v>
      </c>
      <c r="W30" s="96">
        <v>3</v>
      </c>
      <c r="X30" s="96">
        <f t="shared" si="1"/>
        <v>3</v>
      </c>
      <c r="Y30" s="97" t="s">
        <v>169</v>
      </c>
      <c r="Z30" s="158">
        <v>0</v>
      </c>
      <c r="AA30" s="158">
        <v>1015</v>
      </c>
      <c r="AB30" s="158">
        <v>0</v>
      </c>
      <c r="AC30" s="158">
        <v>1185</v>
      </c>
      <c r="AD30" s="158">
        <v>1187</v>
      </c>
      <c r="AE30" s="158">
        <v>1185</v>
      </c>
      <c r="AF30" s="47" t="s">
        <v>90</v>
      </c>
      <c r="AG30" s="47" t="s">
        <v>90</v>
      </c>
      <c r="AH30" s="98" t="s">
        <v>90</v>
      </c>
      <c r="AI30" s="103">
        <v>16008058</v>
      </c>
      <c r="AJ30" s="45">
        <f t="shared" si="7"/>
        <v>1078</v>
      </c>
      <c r="AK30" s="48">
        <f>AJ29/V30</f>
        <v>257.54961173425369</v>
      </c>
      <c r="AL30" s="155">
        <v>0</v>
      </c>
      <c r="AM30" s="155">
        <v>1</v>
      </c>
      <c r="AN30" s="155">
        <v>0</v>
      </c>
      <c r="AO30" s="155">
        <v>1</v>
      </c>
      <c r="AP30" s="155">
        <v>1</v>
      </c>
      <c r="AQ30" s="155">
        <v>1</v>
      </c>
      <c r="AR30" s="155">
        <v>0</v>
      </c>
      <c r="AS30" s="158"/>
      <c r="AT30" s="158">
        <f t="shared" si="9"/>
        <v>0</v>
      </c>
      <c r="AU30" s="159">
        <v>1.18</v>
      </c>
      <c r="AV30" s="50" t="s">
        <v>124</v>
      </c>
      <c r="AY30" s="55" t="s">
        <v>114</v>
      </c>
      <c r="AZ30" s="55">
        <v>101.325</v>
      </c>
      <c r="BB30" s="74" t="s">
        <v>143</v>
      </c>
    </row>
    <row r="31" spans="1:54" x14ac:dyDescent="0.35">
      <c r="A31" s="357">
        <v>43244</v>
      </c>
      <c r="B31" s="40">
        <v>2.75</v>
      </c>
      <c r="C31" s="40">
        <v>0.79166666666666896</v>
      </c>
      <c r="D31" s="156">
        <v>4</v>
      </c>
      <c r="E31" s="154">
        <f t="shared" si="2"/>
        <v>2.8169014084507045</v>
      </c>
      <c r="F31" s="154">
        <v>1</v>
      </c>
      <c r="G31" s="118">
        <v>74</v>
      </c>
      <c r="H31" s="154">
        <f t="shared" si="0"/>
        <v>52.112676056338032</v>
      </c>
      <c r="I31" s="154">
        <v>70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7">
        <v>130</v>
      </c>
      <c r="R31" s="157"/>
      <c r="S31" s="157">
        <v>95531738</v>
      </c>
      <c r="T31" s="45">
        <f t="shared" si="4"/>
        <v>5000</v>
      </c>
      <c r="U31" s="46">
        <f t="shared" si="5"/>
        <v>120</v>
      </c>
      <c r="V31" s="46">
        <f t="shared" si="6"/>
        <v>5</v>
      </c>
      <c r="W31" s="96">
        <v>2.6</v>
      </c>
      <c r="X31" s="96">
        <f t="shared" si="1"/>
        <v>2.6</v>
      </c>
      <c r="Y31" s="97" t="s">
        <v>169</v>
      </c>
      <c r="Z31" s="158">
        <v>0</v>
      </c>
      <c r="AA31" s="158">
        <v>1015</v>
      </c>
      <c r="AB31" s="158">
        <v>0</v>
      </c>
      <c r="AC31" s="158">
        <v>1185</v>
      </c>
      <c r="AD31" s="158">
        <v>1187</v>
      </c>
      <c r="AE31" s="158">
        <v>1185</v>
      </c>
      <c r="AF31" s="47" t="s">
        <v>90</v>
      </c>
      <c r="AG31" s="47" t="s">
        <v>90</v>
      </c>
      <c r="AH31" s="98" t="s">
        <v>90</v>
      </c>
      <c r="AI31" s="103">
        <v>16009224</v>
      </c>
      <c r="AJ31" s="45">
        <f t="shared" si="7"/>
        <v>1166</v>
      </c>
      <c r="AK31" s="48">
        <f t="shared" si="8"/>
        <v>233.2</v>
      </c>
      <c r="AL31" s="155">
        <v>0</v>
      </c>
      <c r="AM31" s="155">
        <v>1</v>
      </c>
      <c r="AN31" s="155">
        <v>0</v>
      </c>
      <c r="AO31" s="155">
        <v>1</v>
      </c>
      <c r="AP31" s="155">
        <v>1</v>
      </c>
      <c r="AQ31" s="155">
        <v>1</v>
      </c>
      <c r="AR31" s="155">
        <v>0</v>
      </c>
      <c r="AS31" s="158"/>
      <c r="AT31" s="158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357">
        <v>43244</v>
      </c>
      <c r="B32" s="40">
        <v>2.7916666666666701</v>
      </c>
      <c r="C32" s="40">
        <v>0.83333333333333703</v>
      </c>
      <c r="D32" s="156">
        <v>3</v>
      </c>
      <c r="E32" s="154">
        <f t="shared" si="2"/>
        <v>2.1126760563380285</v>
      </c>
      <c r="F32" s="154">
        <v>1</v>
      </c>
      <c r="G32" s="118">
        <v>74</v>
      </c>
      <c r="H32" s="154">
        <f t="shared" si="0"/>
        <v>52.112676056338032</v>
      </c>
      <c r="I32" s="154">
        <v>68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7">
        <v>129</v>
      </c>
      <c r="R32" s="157"/>
      <c r="S32" s="157">
        <v>95537676</v>
      </c>
      <c r="T32" s="45">
        <f t="shared" si="4"/>
        <v>5938</v>
      </c>
      <c r="U32" s="46">
        <f t="shared" si="5"/>
        <v>142.512</v>
      </c>
      <c r="V32" s="46">
        <f t="shared" si="6"/>
        <v>5.9379999999999997</v>
      </c>
      <c r="W32" s="96">
        <v>2.2000000000000002</v>
      </c>
      <c r="X32" s="96">
        <f t="shared" si="1"/>
        <v>2.2000000000000002</v>
      </c>
      <c r="Y32" s="97" t="s">
        <v>169</v>
      </c>
      <c r="Z32" s="158">
        <v>0</v>
      </c>
      <c r="AA32" s="158">
        <v>1015</v>
      </c>
      <c r="AB32" s="158">
        <v>0</v>
      </c>
      <c r="AC32" s="158">
        <v>1185</v>
      </c>
      <c r="AD32" s="158">
        <v>1187</v>
      </c>
      <c r="AE32" s="158">
        <v>1185</v>
      </c>
      <c r="AF32" s="47" t="s">
        <v>90</v>
      </c>
      <c r="AG32" s="47" t="s">
        <v>90</v>
      </c>
      <c r="AH32" s="98" t="s">
        <v>90</v>
      </c>
      <c r="AI32" s="103">
        <v>16010400</v>
      </c>
      <c r="AJ32" s="45">
        <f t="shared" si="7"/>
        <v>1176</v>
      </c>
      <c r="AK32" s="48">
        <f t="shared" si="8"/>
        <v>198.04648029639611</v>
      </c>
      <c r="AL32" s="155">
        <v>0</v>
      </c>
      <c r="AM32" s="155">
        <v>1</v>
      </c>
      <c r="AN32" s="155">
        <v>0</v>
      </c>
      <c r="AO32" s="155">
        <v>1</v>
      </c>
      <c r="AP32" s="155">
        <v>1</v>
      </c>
      <c r="AQ32" s="155">
        <v>1</v>
      </c>
      <c r="AR32" s="155">
        <v>0</v>
      </c>
      <c r="AS32" s="158"/>
      <c r="AT32" s="158">
        <v>0</v>
      </c>
      <c r="AU32" s="49"/>
      <c r="AV32" s="50" t="s">
        <v>124</v>
      </c>
      <c r="AY32" s="308" t="s">
        <v>115</v>
      </c>
      <c r="AZ32" s="308"/>
      <c r="BB32" s="74" t="s">
        <v>156</v>
      </c>
    </row>
    <row r="33" spans="1:54" x14ac:dyDescent="0.35">
      <c r="A33" s="357">
        <v>43244</v>
      </c>
      <c r="B33" s="40">
        <v>2.8333333333333299</v>
      </c>
      <c r="C33" s="40">
        <v>0.875</v>
      </c>
      <c r="D33" s="156">
        <v>3</v>
      </c>
      <c r="E33" s="154">
        <f t="shared" si="2"/>
        <v>2.1126760563380285</v>
      </c>
      <c r="F33" s="154">
        <v>1</v>
      </c>
      <c r="G33" s="118">
        <v>74</v>
      </c>
      <c r="H33" s="154">
        <f t="shared" si="0"/>
        <v>52.112676056338032</v>
      </c>
      <c r="I33" s="154">
        <v>68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7">
        <v>129</v>
      </c>
      <c r="R33" s="157"/>
      <c r="S33" s="157">
        <v>95542918</v>
      </c>
      <c r="T33" s="45">
        <f t="shared" si="4"/>
        <v>5242</v>
      </c>
      <c r="U33" s="46">
        <f t="shared" si="5"/>
        <v>125.80800000000001</v>
      </c>
      <c r="V33" s="46">
        <f t="shared" si="6"/>
        <v>5.242</v>
      </c>
      <c r="W33" s="96">
        <v>1.9</v>
      </c>
      <c r="X33" s="96">
        <f t="shared" si="1"/>
        <v>1.9</v>
      </c>
      <c r="Y33" s="97" t="s">
        <v>169</v>
      </c>
      <c r="Z33" s="158">
        <v>0</v>
      </c>
      <c r="AA33" s="158">
        <v>1016</v>
      </c>
      <c r="AB33" s="158">
        <v>0</v>
      </c>
      <c r="AC33" s="158">
        <v>1185</v>
      </c>
      <c r="AD33" s="158">
        <v>1187</v>
      </c>
      <c r="AE33" s="158">
        <v>1185</v>
      </c>
      <c r="AF33" s="47" t="s">
        <v>90</v>
      </c>
      <c r="AG33" s="47" t="s">
        <v>90</v>
      </c>
      <c r="AH33" s="98" t="s">
        <v>90</v>
      </c>
      <c r="AI33" s="103">
        <v>16011554</v>
      </c>
      <c r="AJ33" s="45">
        <f t="shared" si="7"/>
        <v>1154</v>
      </c>
      <c r="AK33" s="48">
        <f t="shared" si="8"/>
        <v>220.14498283098055</v>
      </c>
      <c r="AL33" s="155">
        <v>0</v>
      </c>
      <c r="AM33" s="155">
        <v>1</v>
      </c>
      <c r="AN33" s="155">
        <v>0</v>
      </c>
      <c r="AO33" s="155">
        <v>1</v>
      </c>
      <c r="AP33" s="155">
        <v>1</v>
      </c>
      <c r="AQ33" s="155">
        <v>1</v>
      </c>
      <c r="AR33" s="155">
        <v>0</v>
      </c>
      <c r="AS33" s="158"/>
      <c r="AT33" s="158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57">
        <v>43244</v>
      </c>
      <c r="B34" s="40">
        <v>2.875</v>
      </c>
      <c r="C34" s="40">
        <v>0.91666666666667096</v>
      </c>
      <c r="D34" s="156" t="s">
        <v>179</v>
      </c>
      <c r="E34" s="154" t="e">
        <f t="shared" si="2"/>
        <v>#VALUE!</v>
      </c>
      <c r="F34" s="154">
        <v>1</v>
      </c>
      <c r="G34" s="118">
        <v>76</v>
      </c>
      <c r="H34" s="154">
        <f t="shared" si="0"/>
        <v>53.521126760563384</v>
      </c>
      <c r="I34" s="154">
        <v>72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7" t="s">
        <v>179</v>
      </c>
      <c r="R34" s="157"/>
      <c r="S34" s="157">
        <v>95548380</v>
      </c>
      <c r="T34" s="45">
        <f t="shared" si="4"/>
        <v>5462</v>
      </c>
      <c r="U34" s="46">
        <f t="shared" si="5"/>
        <v>131.08799999999999</v>
      </c>
      <c r="V34" s="46">
        <f t="shared" si="6"/>
        <v>5.4619999999999997</v>
      </c>
      <c r="W34" s="96">
        <v>1.6</v>
      </c>
      <c r="X34" s="96">
        <f t="shared" si="1"/>
        <v>1.6</v>
      </c>
      <c r="Y34" s="97" t="s">
        <v>169</v>
      </c>
      <c r="Z34" s="158">
        <v>0</v>
      </c>
      <c r="AA34" s="158">
        <v>1016</v>
      </c>
      <c r="AB34" s="158">
        <v>0</v>
      </c>
      <c r="AC34" s="158">
        <v>1185</v>
      </c>
      <c r="AD34" s="158">
        <v>1187</v>
      </c>
      <c r="AE34" s="158">
        <v>1185</v>
      </c>
      <c r="AF34" s="47" t="s">
        <v>90</v>
      </c>
      <c r="AG34" s="47" t="s">
        <v>90</v>
      </c>
      <c r="AH34" s="98" t="s">
        <v>90</v>
      </c>
      <c r="AI34" s="103">
        <v>16012736</v>
      </c>
      <c r="AJ34" s="45">
        <f t="shared" si="7"/>
        <v>1182</v>
      </c>
      <c r="AK34" s="48">
        <f t="shared" si="8"/>
        <v>216.40424752837788</v>
      </c>
      <c r="AL34" s="155">
        <v>0</v>
      </c>
      <c r="AM34" s="155">
        <v>1</v>
      </c>
      <c r="AN34" s="155">
        <v>0</v>
      </c>
      <c r="AO34" s="155">
        <v>1</v>
      </c>
      <c r="AP34" s="155">
        <v>1</v>
      </c>
      <c r="AQ34" s="155">
        <v>1</v>
      </c>
      <c r="AR34" s="155">
        <v>0</v>
      </c>
      <c r="AS34" s="158"/>
      <c r="AT34" s="158">
        <f>AS34-AS33</f>
        <v>0</v>
      </c>
      <c r="AU34" s="119">
        <v>0.94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357">
        <v>43244</v>
      </c>
      <c r="B35" s="40">
        <v>2.9166666666666701</v>
      </c>
      <c r="C35" s="40">
        <v>0.95833333333333803</v>
      </c>
      <c r="D35" s="156">
        <v>3</v>
      </c>
      <c r="E35" s="154">
        <f t="shared" si="2"/>
        <v>2.1126760563380285</v>
      </c>
      <c r="F35" s="154">
        <v>1</v>
      </c>
      <c r="G35" s="118">
        <v>72</v>
      </c>
      <c r="H35" s="154">
        <f t="shared" si="0"/>
        <v>50.70422535211268</v>
      </c>
      <c r="I35" s="154">
        <v>69</v>
      </c>
      <c r="J35" s="41" t="s">
        <v>88</v>
      </c>
      <c r="K35" s="41">
        <f>L35-(2/1.42)</f>
        <v>45.774647887323944</v>
      </c>
      <c r="L35" s="42">
        <f>(G35-5)/1.42</f>
        <v>47.183098591549296</v>
      </c>
      <c r="M35" s="41">
        <f t="shared" si="12"/>
        <v>51.408450704225352</v>
      </c>
      <c r="N35" s="43">
        <v>14</v>
      </c>
      <c r="O35" s="44" t="s">
        <v>116</v>
      </c>
      <c r="P35" s="44">
        <v>11.9</v>
      </c>
      <c r="Q35" s="157">
        <v>137</v>
      </c>
      <c r="R35" s="157"/>
      <c r="S35" s="157">
        <v>95553350</v>
      </c>
      <c r="T35" s="45">
        <f t="shared" si="4"/>
        <v>4970</v>
      </c>
      <c r="U35" s="46">
        <f t="shared" si="5"/>
        <v>119.28</v>
      </c>
      <c r="V35" s="46">
        <f t="shared" si="6"/>
        <v>4.97</v>
      </c>
      <c r="W35" s="96">
        <v>1.8</v>
      </c>
      <c r="X35" s="96">
        <f t="shared" si="1"/>
        <v>1.8</v>
      </c>
      <c r="Y35" s="97" t="s">
        <v>138</v>
      </c>
      <c r="Z35" s="158">
        <v>0</v>
      </c>
      <c r="AA35" s="158">
        <v>0</v>
      </c>
      <c r="AB35" s="158">
        <v>0</v>
      </c>
      <c r="AC35" s="158">
        <v>1185</v>
      </c>
      <c r="AD35" s="158">
        <v>1187</v>
      </c>
      <c r="AE35" s="158">
        <v>1185</v>
      </c>
      <c r="AF35" s="47" t="s">
        <v>90</v>
      </c>
      <c r="AG35" s="47" t="s">
        <v>90</v>
      </c>
      <c r="AH35" s="98" t="s">
        <v>90</v>
      </c>
      <c r="AI35" s="103">
        <v>16013838</v>
      </c>
      <c r="AJ35" s="45">
        <f t="shared" si="7"/>
        <v>1102</v>
      </c>
      <c r="AK35" s="48">
        <f t="shared" si="8"/>
        <v>221.73038229376257</v>
      </c>
      <c r="AL35" s="155">
        <v>0</v>
      </c>
      <c r="AM35" s="155">
        <v>0</v>
      </c>
      <c r="AN35" s="155">
        <v>0</v>
      </c>
      <c r="AO35" s="155">
        <v>1</v>
      </c>
      <c r="AP35" s="155">
        <v>1</v>
      </c>
      <c r="AQ35" s="155">
        <v>1</v>
      </c>
      <c r="AR35" s="155">
        <v>0</v>
      </c>
      <c r="AS35" s="158"/>
      <c r="AT35" s="158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357">
        <v>43244</v>
      </c>
      <c r="B36" s="40">
        <v>2.9583333333333299</v>
      </c>
      <c r="C36" s="40">
        <v>1</v>
      </c>
      <c r="D36" s="156" t="s">
        <v>179</v>
      </c>
      <c r="E36" s="154" t="e">
        <f t="shared" si="2"/>
        <v>#VALUE!</v>
      </c>
      <c r="F36" s="154">
        <v>2</v>
      </c>
      <c r="G36" s="118">
        <v>69</v>
      </c>
      <c r="H36" s="154">
        <f t="shared" si="0"/>
        <v>48.591549295774648</v>
      </c>
      <c r="I36" s="154">
        <v>66</v>
      </c>
      <c r="J36" s="41" t="s">
        <v>88</v>
      </c>
      <c r="K36" s="41">
        <f t="shared" si="3"/>
        <v>43.661971830985919</v>
      </c>
      <c r="L36" s="42">
        <f>(G36-5)/1.42</f>
        <v>45.070422535211272</v>
      </c>
      <c r="M36" s="41">
        <f t="shared" si="12"/>
        <v>49.295774647887328</v>
      </c>
      <c r="N36" s="43">
        <v>14</v>
      </c>
      <c r="O36" s="44" t="s">
        <v>116</v>
      </c>
      <c r="P36" s="58">
        <v>11.5</v>
      </c>
      <c r="Q36" s="157" t="s">
        <v>179</v>
      </c>
      <c r="R36" s="157"/>
      <c r="S36" s="157">
        <v>95558340</v>
      </c>
      <c r="T36" s="45">
        <f t="shared" si="4"/>
        <v>4990</v>
      </c>
      <c r="U36" s="46">
        <f t="shared" si="5"/>
        <v>119.76</v>
      </c>
      <c r="V36" s="46">
        <f t="shared" si="6"/>
        <v>4.99</v>
      </c>
      <c r="W36" s="96">
        <v>2.7</v>
      </c>
      <c r="X36" s="96">
        <f t="shared" si="1"/>
        <v>2.7</v>
      </c>
      <c r="Y36" s="97" t="s">
        <v>138</v>
      </c>
      <c r="Z36" s="158">
        <v>0</v>
      </c>
      <c r="AA36" s="158">
        <v>0</v>
      </c>
      <c r="AB36" s="158">
        <v>0</v>
      </c>
      <c r="AC36" s="158">
        <v>1185</v>
      </c>
      <c r="AD36" s="158">
        <v>1187</v>
      </c>
      <c r="AE36" s="158">
        <v>1185</v>
      </c>
      <c r="AF36" s="47" t="s">
        <v>90</v>
      </c>
      <c r="AG36" s="47" t="s">
        <v>90</v>
      </c>
      <c r="AH36" s="98" t="s">
        <v>90</v>
      </c>
      <c r="AI36" s="103">
        <v>16014927</v>
      </c>
      <c r="AJ36" s="45">
        <f t="shared" si="7"/>
        <v>1089</v>
      </c>
      <c r="AK36" s="48">
        <f t="shared" si="8"/>
        <v>218.23647294589176</v>
      </c>
      <c r="AL36" s="155">
        <v>0</v>
      </c>
      <c r="AM36" s="155">
        <v>0</v>
      </c>
      <c r="AN36" s="155">
        <v>0</v>
      </c>
      <c r="AO36" s="155">
        <v>1</v>
      </c>
      <c r="AP36" s="155">
        <v>1</v>
      </c>
      <c r="AQ36" s="155">
        <v>1</v>
      </c>
      <c r="AR36" s="155">
        <v>0</v>
      </c>
      <c r="AS36" s="158"/>
      <c r="AT36" s="158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73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09" t="s">
        <v>118</v>
      </c>
      <c r="O37" s="310"/>
      <c r="P37" s="311"/>
      <c r="Q37" s="101"/>
      <c r="R37" s="101"/>
      <c r="S37" s="101"/>
      <c r="T37" s="60">
        <f>SUM(T13:T36)</f>
        <v>116355</v>
      </c>
      <c r="U37" s="46">
        <f t="shared" si="5"/>
        <v>2792.52</v>
      </c>
      <c r="V37" s="46">
        <f t="shared" si="6"/>
        <v>116.355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27634</v>
      </c>
      <c r="AK37" s="61">
        <f>$AJ$37/$V37</f>
        <v>237.49731425379227</v>
      </c>
      <c r="AL37" s="155"/>
      <c r="AM37" s="155"/>
      <c r="AN37" s="155"/>
      <c r="AO37" s="155"/>
      <c r="AP37" s="155"/>
      <c r="AQ37" s="155"/>
      <c r="AR37" s="62"/>
      <c r="AS37" s="63">
        <f>AS36-AS11</f>
        <v>0</v>
      </c>
      <c r="AT37" s="64">
        <f>SUM(AT13:AT36)</f>
        <v>0</v>
      </c>
      <c r="AU37" s="65">
        <f>AVERAGE(AU13:AU36)</f>
        <v>1.0466666666666666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7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8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8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4"/>
      <c r="D47" s="164"/>
      <c r="E47" s="164"/>
      <c r="F47" s="164"/>
      <c r="G47" s="164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71" t="s">
        <v>244</v>
      </c>
      <c r="C48" s="172"/>
      <c r="D48" s="172"/>
      <c r="E48" s="172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70"/>
      <c r="D49" s="170"/>
      <c r="E49" s="170"/>
      <c r="F49" s="161"/>
      <c r="G49" s="161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15" t="s">
        <v>164</v>
      </c>
      <c r="C50" s="143"/>
      <c r="D50" s="143"/>
      <c r="E50" s="143"/>
      <c r="F50" s="130"/>
      <c r="G50" s="130"/>
      <c r="H50" s="160"/>
      <c r="I50" s="160"/>
      <c r="J50" s="160"/>
      <c r="K50" s="160"/>
      <c r="L50" s="160"/>
      <c r="M50" s="160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210</v>
      </c>
      <c r="B51" s="132" t="s">
        <v>163</v>
      </c>
      <c r="C51" s="143"/>
      <c r="D51" s="143"/>
      <c r="E51" s="143"/>
      <c r="F51" s="130"/>
      <c r="G51" s="130"/>
      <c r="H51" s="160"/>
      <c r="I51" s="160"/>
      <c r="J51" s="160"/>
      <c r="K51" s="160"/>
      <c r="L51" s="160"/>
      <c r="M51" s="160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261</v>
      </c>
      <c r="C52" s="120"/>
      <c r="D52" s="115"/>
      <c r="E52" s="115"/>
      <c r="F52" s="115"/>
      <c r="G52" s="115"/>
      <c r="H52" s="160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70"/>
      <c r="D53" s="170"/>
      <c r="E53" s="170"/>
      <c r="F53" s="170"/>
      <c r="G53" s="115"/>
      <c r="H53" s="115"/>
      <c r="I53" s="115"/>
      <c r="J53" s="115"/>
      <c r="K53" s="115"/>
      <c r="L53" s="115"/>
      <c r="M53" s="115"/>
      <c r="N53" s="163"/>
      <c r="O53" s="163"/>
      <c r="P53" s="163"/>
      <c r="Q53" s="163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32" t="s">
        <v>170</v>
      </c>
      <c r="C54" s="153"/>
      <c r="D54" s="170"/>
      <c r="E54" s="170"/>
      <c r="F54" s="170"/>
      <c r="G54" s="170"/>
      <c r="H54" s="170"/>
      <c r="I54" s="170"/>
      <c r="J54" s="169"/>
      <c r="K54" s="166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70"/>
      <c r="E55" s="153"/>
      <c r="F55" s="153"/>
      <c r="G55" s="153"/>
      <c r="H55" s="153"/>
      <c r="I55" s="153"/>
      <c r="J55" s="169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172</v>
      </c>
      <c r="C56" s="115"/>
      <c r="D56" s="170"/>
      <c r="E56" s="153"/>
      <c r="F56" s="153"/>
      <c r="G56" s="153"/>
      <c r="H56" s="153"/>
      <c r="I56" s="153"/>
      <c r="J56" s="153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53" t="s">
        <v>201</v>
      </c>
      <c r="C57" s="170"/>
      <c r="D57" s="170"/>
      <c r="E57" s="153"/>
      <c r="F57" s="153"/>
      <c r="G57" s="153"/>
      <c r="H57" s="153"/>
      <c r="I57" s="153"/>
      <c r="J57" s="153"/>
      <c r="K57" s="166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174</v>
      </c>
      <c r="C58" s="170"/>
      <c r="D58" s="170"/>
      <c r="E58" s="115"/>
      <c r="F58" s="115"/>
      <c r="G58" s="115"/>
      <c r="H58" s="115"/>
      <c r="I58" s="153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62" t="s">
        <v>195</v>
      </c>
      <c r="C59" s="170"/>
      <c r="D59" s="170"/>
      <c r="E59" s="153"/>
      <c r="F59" s="153"/>
      <c r="G59" s="153"/>
      <c r="H59" s="153"/>
      <c r="I59" s="153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32"/>
      <c r="C60" s="170"/>
      <c r="D60" s="223"/>
      <c r="E60" s="223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32"/>
      <c r="C61" s="153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32"/>
      <c r="C62" s="115"/>
      <c r="D62" s="100"/>
      <c r="E62" s="100"/>
      <c r="F62" s="115"/>
      <c r="G62" s="115"/>
      <c r="H62" s="92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6"/>
      <c r="E63" s="166"/>
      <c r="F63" s="166"/>
      <c r="G63" s="166"/>
      <c r="H63" s="166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53"/>
      <c r="C64" s="115"/>
      <c r="D64" s="100"/>
      <c r="E64" s="100"/>
      <c r="F64" s="115"/>
      <c r="G64" s="115"/>
      <c r="H64" s="92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6"/>
      <c r="E65" s="166"/>
      <c r="F65" s="166"/>
      <c r="G65" s="166"/>
      <c r="H65" s="166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AV65" s="86"/>
      <c r="AW65" s="86"/>
      <c r="AX65" s="86"/>
      <c r="AY65" s="86"/>
      <c r="AZ65" s="86"/>
      <c r="BA65" s="86"/>
      <c r="BB65" s="86"/>
    </row>
    <row r="66" spans="2:54" x14ac:dyDescent="0.35">
      <c r="B66" s="162"/>
      <c r="C66" s="115"/>
      <c r="D66" s="166"/>
      <c r="E66" s="166"/>
      <c r="F66" s="166"/>
      <c r="G66" s="166"/>
      <c r="H66" s="166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6"/>
      <c r="E67" s="166"/>
      <c r="F67" s="166"/>
      <c r="G67" s="166"/>
      <c r="H67" s="166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3" name="Range1_16_1_1_1_1_1_1_2_2_2_2_2_2_2_2_2_2_2_2_2_2_2_2_2_2_2_2_2_2_2_1_2_2_2_2_2_2_2_2_2_2_3_2_2_2_2_2_2_2_2_2_2_1_1_1_1_2_2_1_1_1_1_1_1_1_1_1_1_1_1_1_1_3_1"/>
    <protectedRange sqref="R4:W4" name="Range1_16_1_1_1_1_1_1_2_2_2_2_2_2_2_2_2_2_2_2_2_2_2_2_2_2_2_2_2_2_2_1_2_2_2_2_2_2_2_2_2_2_3_2_2_2_2_2_2_2_2_2_2_1_1_1_1_2_2_1_1_1_1_1_1_1_1_1_1_1_1_1_1_2_1_2_1_1_1_1_1"/>
    <protectedRange sqref="R5:W5" name="Range1_16_1_1_1_1_1_1_2_2_2_2_2_2_2_2_2_2_2_2_2_2_2_2_2_2_2_2_2_2_2_1_2_2_2_2_2_2_2_2_2_2_3_2_2_2_2_2_2_2_2_2_2_1_1_1_1_2_2_1_1_1_1_1_1_1_1_1_1_3_1_3_2_1_2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4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135" priority="5" operator="containsText" text="N/A">
      <formula>NOT(ISERROR(SEARCH("N/A",Z13)))</formula>
    </cfRule>
    <cfRule type="cellIs" dxfId="134" priority="17" operator="equal">
      <formula>0</formula>
    </cfRule>
  </conditionalFormatting>
  <conditionalFormatting sqref="Z13:AG36">
    <cfRule type="cellIs" dxfId="133" priority="16" operator="greaterThanOrEqual">
      <formula>1185</formula>
    </cfRule>
  </conditionalFormatting>
  <conditionalFormatting sqref="Z13:AG36">
    <cfRule type="cellIs" dxfId="132" priority="15" operator="between">
      <formula>0.1</formula>
      <formula>1184</formula>
    </cfRule>
  </conditionalFormatting>
  <conditionalFormatting sqref="Z8:Z9 AT13:AT36 AL37:AQ37 AL13:AR36">
    <cfRule type="cellIs" dxfId="131" priority="14" operator="equal">
      <formula>0</formula>
    </cfRule>
  </conditionalFormatting>
  <conditionalFormatting sqref="Z8:Z9 AT13:AT36 AL37:AQ37 AL13:AR36">
    <cfRule type="cellIs" dxfId="130" priority="13" operator="greaterThan">
      <formula>1179</formula>
    </cfRule>
  </conditionalFormatting>
  <conditionalFormatting sqref="Z8:Z9 AT13:AT36 AL37:AQ37 AL13:AR36">
    <cfRule type="cellIs" dxfId="129" priority="12" operator="greaterThan">
      <formula>99</formula>
    </cfRule>
  </conditionalFormatting>
  <conditionalFormatting sqref="Z8:Z9 AT13:AT36 AL37:AQ37 AL13:AR36">
    <cfRule type="cellIs" dxfId="128" priority="11" operator="greaterThan">
      <formula>0.99</formula>
    </cfRule>
  </conditionalFormatting>
  <conditionalFormatting sqref="AD8:AD9">
    <cfRule type="cellIs" dxfId="127" priority="10" operator="equal">
      <formula>0</formula>
    </cfRule>
  </conditionalFormatting>
  <conditionalFormatting sqref="AD8:AD9">
    <cfRule type="cellIs" dxfId="126" priority="9" operator="greaterThan">
      <formula>1179</formula>
    </cfRule>
  </conditionalFormatting>
  <conditionalFormatting sqref="AD8:AD9">
    <cfRule type="cellIs" dxfId="125" priority="8" operator="greaterThan">
      <formula>99</formula>
    </cfRule>
  </conditionalFormatting>
  <conditionalFormatting sqref="AD8:AD9">
    <cfRule type="cellIs" dxfId="124" priority="7" operator="greaterThan">
      <formula>0.99</formula>
    </cfRule>
  </conditionalFormatting>
  <conditionalFormatting sqref="AK13:AK36">
    <cfRule type="cellIs" dxfId="123" priority="6" operator="greaterThan">
      <formula>$AK$8</formula>
    </cfRule>
  </conditionalFormatting>
  <conditionalFormatting sqref="AS13:AS36">
    <cfRule type="containsText" dxfId="122" priority="1" operator="containsText" text="N/A">
      <formula>NOT(ISERROR(SEARCH("N/A",AS13)))</formula>
    </cfRule>
    <cfRule type="cellIs" dxfId="121" priority="4" operator="equal">
      <formula>0</formula>
    </cfRule>
  </conditionalFormatting>
  <conditionalFormatting sqref="AS13:AS36">
    <cfRule type="cellIs" dxfId="120" priority="3" operator="greaterThanOrEqual">
      <formula>1185</formula>
    </cfRule>
  </conditionalFormatting>
  <conditionalFormatting sqref="AS13:AS36">
    <cfRule type="cellIs" dxfId="119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1700-000000000000}">
      <formula1>$AY$11:$AY$21</formula1>
    </dataValidation>
    <dataValidation type="list" allowBlank="1" showInputMessage="1" showErrorMessage="1" sqref="AS8:AT9 P11:P12 N11:N12 D8:E9 Q8:V9" xr:uid="{00000000-0002-0000-1700-000001000000}">
      <formula1>#REF!</formula1>
    </dataValidation>
    <dataValidation type="list" allowBlank="1" showInputMessage="1" showErrorMessage="1" sqref="AY33:AZ33" xr:uid="{00000000-0002-0000-1700-000002000000}">
      <formula1>$AY$26:$AY$30</formula1>
    </dataValidation>
    <dataValidation type="list" allowBlank="1" showInputMessage="1" showErrorMessage="1" sqref="R3:R5" xr:uid="{00000000-0002-0000-1700-000003000000}">
      <formula1>$BB$11:$BB$42</formula1>
    </dataValidation>
  </dataValidations>
  <hyperlinks>
    <hyperlink ref="J10:J11" location="'1'!AH8" display="Plant Status" xr:uid="{00000000-0004-0000-1700-000000000000}"/>
  </hyperlinks>
  <pageMargins left="0.7" right="0.7" top="0.75" bottom="0.75" header="0.3" footer="0.3"/>
  <pageSetup paperSize="9" orientation="portrait" horizontalDpi="4294967293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>
    <tabColor rgb="FF7030A0"/>
  </sheetPr>
  <dimension ref="A2:BB88"/>
  <sheetViews>
    <sheetView zoomScaleNormal="100" workbookViewId="0">
      <selection activeCell="G20" sqref="G20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47" t="s">
        <v>157</v>
      </c>
      <c r="S3" s="348"/>
      <c r="T3" s="348"/>
      <c r="U3" s="348"/>
      <c r="V3" s="348"/>
      <c r="W3" s="34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47" t="s">
        <v>143</v>
      </c>
      <c r="S4" s="348"/>
      <c r="T4" s="348"/>
      <c r="U4" s="348"/>
      <c r="V4" s="348"/>
      <c r="W4" s="34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47" t="s">
        <v>158</v>
      </c>
      <c r="S5" s="348"/>
      <c r="T5" s="348"/>
      <c r="U5" s="348"/>
      <c r="V5" s="348"/>
      <c r="W5" s="34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50" t="s">
        <v>6</v>
      </c>
      <c r="C6" s="351"/>
      <c r="D6" s="352" t="s">
        <v>7</v>
      </c>
      <c r="E6" s="353"/>
      <c r="F6" s="353"/>
      <c r="G6" s="353"/>
      <c r="H6" s="353"/>
      <c r="I6" s="353"/>
      <c r="J6" s="354"/>
      <c r="K6" s="87"/>
      <c r="L6" s="87"/>
      <c r="M6" s="273"/>
      <c r="N6" s="355">
        <v>41686</v>
      </c>
      <c r="O6" s="356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37" t="s">
        <v>8</v>
      </c>
      <c r="C7" s="338"/>
      <c r="D7" s="337" t="s">
        <v>9</v>
      </c>
      <c r="E7" s="339"/>
      <c r="F7" s="339"/>
      <c r="G7" s="339"/>
      <c r="H7" s="339"/>
      <c r="I7" s="338"/>
      <c r="J7" s="278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78" t="s">
        <v>14</v>
      </c>
      <c r="R7" s="337" t="s">
        <v>15</v>
      </c>
      <c r="S7" s="339"/>
      <c r="T7" s="339"/>
      <c r="U7" s="339"/>
      <c r="V7" s="338"/>
      <c r="W7" s="337" t="s">
        <v>16</v>
      </c>
      <c r="X7" s="338"/>
      <c r="Y7" s="99" t="s">
        <v>17</v>
      </c>
      <c r="Z7" s="337" t="s">
        <v>18</v>
      </c>
      <c r="AA7" s="338"/>
      <c r="AB7" s="337" t="s">
        <v>19</v>
      </c>
      <c r="AC7" s="338"/>
      <c r="AD7" s="337" t="s">
        <v>20</v>
      </c>
      <c r="AE7" s="338"/>
      <c r="AF7" s="337" t="s">
        <v>21</v>
      </c>
      <c r="AG7" s="338"/>
      <c r="AH7" s="99" t="s">
        <v>22</v>
      </c>
      <c r="AI7" s="99" t="s">
        <v>23</v>
      </c>
      <c r="AJ7" s="99" t="s">
        <v>24</v>
      </c>
      <c r="AK7" s="99" t="s">
        <v>25</v>
      </c>
      <c r="AL7" s="337" t="s">
        <v>26</v>
      </c>
      <c r="AM7" s="339"/>
      <c r="AN7" s="339"/>
      <c r="AO7" s="339"/>
      <c r="AP7" s="339"/>
      <c r="AQ7" s="338"/>
      <c r="AR7" s="337" t="s">
        <v>27</v>
      </c>
      <c r="AS7" s="339"/>
      <c r="AT7" s="33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40">
        <v>43245</v>
      </c>
      <c r="C8" s="341"/>
      <c r="D8" s="342" t="s">
        <v>29</v>
      </c>
      <c r="E8" s="343"/>
      <c r="F8" s="343"/>
      <c r="G8" s="343"/>
      <c r="H8" s="343"/>
      <c r="I8" s="344"/>
      <c r="J8" s="28"/>
      <c r="K8" s="342" t="s">
        <v>29</v>
      </c>
      <c r="L8" s="343"/>
      <c r="M8" s="34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42" t="s">
        <v>33</v>
      </c>
      <c r="X8" s="344"/>
      <c r="Y8" s="30" t="s">
        <v>34</v>
      </c>
      <c r="Z8" s="326">
        <v>0</v>
      </c>
      <c r="AA8" s="327"/>
      <c r="AB8" s="345" t="s">
        <v>35</v>
      </c>
      <c r="AC8" s="346"/>
      <c r="AD8" s="326">
        <v>1185</v>
      </c>
      <c r="AE8" s="327"/>
      <c r="AF8" s="328">
        <v>800</v>
      </c>
      <c r="AG8" s="329"/>
      <c r="AH8" s="28"/>
      <c r="AI8" s="30">
        <f>AI36-AI11</f>
        <v>27691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79"/>
      <c r="C9" s="280"/>
      <c r="D9" s="281"/>
      <c r="E9" s="282"/>
      <c r="F9" s="282"/>
      <c r="G9" s="282"/>
      <c r="H9" s="282"/>
      <c r="I9" s="283"/>
      <c r="J9" s="121"/>
      <c r="K9" s="281"/>
      <c r="L9" s="282"/>
      <c r="M9" s="283"/>
      <c r="N9" s="29"/>
      <c r="O9" s="29"/>
      <c r="P9" s="29"/>
      <c r="Q9" s="121"/>
      <c r="R9" s="121"/>
      <c r="S9" s="121"/>
      <c r="T9" s="122"/>
      <c r="U9" s="123"/>
      <c r="V9" s="124"/>
      <c r="W9" s="281"/>
      <c r="X9" s="283"/>
      <c r="Y9" s="30"/>
      <c r="Z9" s="276"/>
      <c r="AA9" s="125"/>
      <c r="AB9" s="126"/>
      <c r="AC9" s="126"/>
      <c r="AD9" s="125"/>
      <c r="AE9" s="125"/>
      <c r="AF9" s="127"/>
      <c r="AG9" s="277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30" t="s">
        <v>39</v>
      </c>
      <c r="C10" s="331"/>
      <c r="D10" s="330" t="s">
        <v>40</v>
      </c>
      <c r="E10" s="332"/>
      <c r="F10" s="331"/>
      <c r="G10" s="330" t="s">
        <v>41</v>
      </c>
      <c r="H10" s="332"/>
      <c r="I10" s="331"/>
      <c r="J10" s="333" t="s">
        <v>42</v>
      </c>
      <c r="K10" s="330" t="s">
        <v>43</v>
      </c>
      <c r="L10" s="332"/>
      <c r="M10" s="331"/>
      <c r="N10" s="99" t="s">
        <v>44</v>
      </c>
      <c r="O10" s="335" t="s">
        <v>45</v>
      </c>
      <c r="P10" s="33" t="s">
        <v>46</v>
      </c>
      <c r="Q10" s="324" t="s">
        <v>47</v>
      </c>
      <c r="R10" s="324" t="s">
        <v>48</v>
      </c>
      <c r="S10" s="34" t="s">
        <v>49</v>
      </c>
      <c r="T10" s="312" t="s">
        <v>50</v>
      </c>
      <c r="U10" s="313"/>
      <c r="V10" s="314"/>
      <c r="W10" s="274" t="s">
        <v>51</v>
      </c>
      <c r="X10" s="274" t="s">
        <v>52</v>
      </c>
      <c r="Y10" s="318" t="s">
        <v>53</v>
      </c>
      <c r="Z10" s="319" t="s">
        <v>54</v>
      </c>
      <c r="AA10" s="320"/>
      <c r="AB10" s="320"/>
      <c r="AC10" s="320"/>
      <c r="AD10" s="320"/>
      <c r="AE10" s="320"/>
      <c r="AF10" s="320"/>
      <c r="AG10" s="321"/>
      <c r="AH10" s="272" t="s">
        <v>55</v>
      </c>
      <c r="AI10" s="272" t="s">
        <v>56</v>
      </c>
      <c r="AJ10" s="307" t="s">
        <v>57</v>
      </c>
      <c r="AK10" s="322" t="s">
        <v>58</v>
      </c>
      <c r="AL10" s="274" t="s">
        <v>59</v>
      </c>
      <c r="AM10" s="274" t="s">
        <v>60</v>
      </c>
      <c r="AN10" s="274" t="s">
        <v>61</v>
      </c>
      <c r="AO10" s="274" t="s">
        <v>62</v>
      </c>
      <c r="AP10" s="274" t="s">
        <v>63</v>
      </c>
      <c r="AQ10" s="274" t="s">
        <v>123</v>
      </c>
      <c r="AR10" s="274" t="s">
        <v>64</v>
      </c>
      <c r="AS10" s="274" t="s">
        <v>65</v>
      </c>
      <c r="AT10" s="324" t="s">
        <v>66</v>
      </c>
      <c r="AU10" s="274" t="s">
        <v>67</v>
      </c>
      <c r="AV10" s="30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74" t="s">
        <v>72</v>
      </c>
      <c r="C11" s="274" t="s">
        <v>73</v>
      </c>
      <c r="D11" s="274" t="s">
        <v>74</v>
      </c>
      <c r="E11" s="274" t="s">
        <v>75</v>
      </c>
      <c r="F11" s="274" t="s">
        <v>126</v>
      </c>
      <c r="G11" s="274" t="s">
        <v>74</v>
      </c>
      <c r="H11" s="274" t="s">
        <v>75</v>
      </c>
      <c r="I11" s="274" t="s">
        <v>126</v>
      </c>
      <c r="J11" s="334"/>
      <c r="K11" s="274" t="s">
        <v>75</v>
      </c>
      <c r="L11" s="274" t="s">
        <v>75</v>
      </c>
      <c r="M11" s="274" t="s">
        <v>75</v>
      </c>
      <c r="N11" s="28" t="s">
        <v>29</v>
      </c>
      <c r="O11" s="336"/>
      <c r="P11" s="28" t="s">
        <v>29</v>
      </c>
      <c r="Q11" s="325"/>
      <c r="R11" s="325"/>
      <c r="S11" s="1">
        <f>'MAY 24'!S36</f>
        <v>95558340</v>
      </c>
      <c r="T11" s="315"/>
      <c r="U11" s="316"/>
      <c r="V11" s="317"/>
      <c r="W11" s="274" t="s">
        <v>75</v>
      </c>
      <c r="X11" s="274" t="s">
        <v>75</v>
      </c>
      <c r="Y11" s="31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'MAY 24'!AI36</f>
        <v>16014927</v>
      </c>
      <c r="AJ11" s="307"/>
      <c r="AK11" s="323"/>
      <c r="AL11" s="274" t="s">
        <v>84</v>
      </c>
      <c r="AM11" s="274" t="s">
        <v>84</v>
      </c>
      <c r="AN11" s="274" t="s">
        <v>84</v>
      </c>
      <c r="AO11" s="274" t="s">
        <v>84</v>
      </c>
      <c r="AP11" s="274" t="s">
        <v>84</v>
      </c>
      <c r="AQ11" s="274" t="s">
        <v>84</v>
      </c>
      <c r="AR11" s="274" t="s">
        <v>84</v>
      </c>
      <c r="AS11" s="1"/>
      <c r="AT11" s="325"/>
      <c r="AU11" s="275" t="s">
        <v>85</v>
      </c>
      <c r="AV11" s="307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283</v>
      </c>
      <c r="B12" s="305" t="s">
        <v>284</v>
      </c>
      <c r="C12" s="305" t="s">
        <v>285</v>
      </c>
      <c r="D12" s="305" t="s">
        <v>286</v>
      </c>
      <c r="E12" s="305" t="s">
        <v>287</v>
      </c>
      <c r="F12" s="305" t="s">
        <v>288</v>
      </c>
      <c r="G12" s="305" t="s">
        <v>289</v>
      </c>
      <c r="H12" s="305" t="s">
        <v>290</v>
      </c>
      <c r="I12" s="305" t="s">
        <v>291</v>
      </c>
      <c r="J12" s="297" t="s">
        <v>292</v>
      </c>
      <c r="K12" s="305" t="s">
        <v>293</v>
      </c>
      <c r="L12" s="305" t="s">
        <v>294</v>
      </c>
      <c r="M12" s="305" t="s">
        <v>295</v>
      </c>
      <c r="N12" s="28" t="s">
        <v>296</v>
      </c>
      <c r="O12" s="298" t="s">
        <v>297</v>
      </c>
      <c r="P12" s="28" t="s">
        <v>298</v>
      </c>
      <c r="Q12" s="300" t="s">
        <v>299</v>
      </c>
      <c r="R12" s="300" t="s">
        <v>300</v>
      </c>
      <c r="S12" s="1" t="s">
        <v>301</v>
      </c>
      <c r="T12" s="302" t="s">
        <v>302</v>
      </c>
      <c r="U12" s="303" t="s">
        <v>303</v>
      </c>
      <c r="V12" s="304" t="s">
        <v>304</v>
      </c>
      <c r="W12" s="305" t="s">
        <v>305</v>
      </c>
      <c r="X12" s="305" t="s">
        <v>306</v>
      </c>
      <c r="Y12" s="305" t="s">
        <v>307</v>
      </c>
      <c r="Z12" s="37" t="s">
        <v>308</v>
      </c>
      <c r="AA12" s="37" t="s">
        <v>309</v>
      </c>
      <c r="AB12" s="37" t="s">
        <v>310</v>
      </c>
      <c r="AC12" s="37" t="s">
        <v>311</v>
      </c>
      <c r="AD12" s="37" t="s">
        <v>312</v>
      </c>
      <c r="AE12" s="37" t="s">
        <v>313</v>
      </c>
      <c r="AF12" s="37" t="s">
        <v>314</v>
      </c>
      <c r="AG12" s="37" t="s">
        <v>315</v>
      </c>
      <c r="AH12" s="38" t="s">
        <v>316</v>
      </c>
      <c r="AI12" s="1" t="s">
        <v>317</v>
      </c>
      <c r="AJ12" s="301" t="s">
        <v>318</v>
      </c>
      <c r="AK12" s="306" t="s">
        <v>319</v>
      </c>
      <c r="AL12" s="305" t="s">
        <v>320</v>
      </c>
      <c r="AM12" s="305" t="s">
        <v>321</v>
      </c>
      <c r="AN12" s="305" t="s">
        <v>322</v>
      </c>
      <c r="AO12" s="305" t="s">
        <v>323</v>
      </c>
      <c r="AP12" s="305" t="s">
        <v>324</v>
      </c>
      <c r="AQ12" s="305" t="s">
        <v>325</v>
      </c>
      <c r="AR12" s="305" t="s">
        <v>326</v>
      </c>
      <c r="AS12" s="1" t="s">
        <v>327</v>
      </c>
      <c r="AT12" s="300" t="s">
        <v>328</v>
      </c>
      <c r="AU12" s="299" t="s">
        <v>329</v>
      </c>
      <c r="AV12" s="301"/>
      <c r="AY12" s="39"/>
      <c r="AZ12" s="39"/>
      <c r="BB12" s="136"/>
    </row>
    <row r="13" spans="1:54" x14ac:dyDescent="0.35">
      <c r="A13" s="357">
        <v>43245</v>
      </c>
      <c r="B13" s="40">
        <v>2</v>
      </c>
      <c r="C13" s="40">
        <v>4.1666666666666664E-2</v>
      </c>
      <c r="D13" s="156">
        <v>3</v>
      </c>
      <c r="E13" s="154">
        <f>D13/1.42</f>
        <v>2.1126760563380285</v>
      </c>
      <c r="F13" s="154">
        <v>0</v>
      </c>
      <c r="G13" s="118">
        <v>71</v>
      </c>
      <c r="H13" s="154">
        <f t="shared" ref="H13:H36" si="0">G13/1.42</f>
        <v>50</v>
      </c>
      <c r="I13" s="154">
        <v>69</v>
      </c>
      <c r="J13" s="41" t="s">
        <v>88</v>
      </c>
      <c r="K13" s="41">
        <f>L13-(2/1.42)</f>
        <v>45.070422535211272</v>
      </c>
      <c r="L13" s="42">
        <f>(G13-5)/1.42</f>
        <v>46.478873239436624</v>
      </c>
      <c r="M13" s="41">
        <f>L13+(6/1.42)</f>
        <v>50.70422535211268</v>
      </c>
      <c r="N13" s="43">
        <v>14</v>
      </c>
      <c r="O13" s="44" t="s">
        <v>89</v>
      </c>
      <c r="P13" s="44">
        <v>11.4</v>
      </c>
      <c r="Q13" s="157">
        <v>142</v>
      </c>
      <c r="R13" s="157"/>
      <c r="S13" s="157">
        <v>95563113</v>
      </c>
      <c r="T13" s="45">
        <f>IF(ISBLANK(S13),"-",S13-S11)</f>
        <v>4773</v>
      </c>
      <c r="U13" s="46">
        <f>T13*24/1000</f>
        <v>114.55200000000001</v>
      </c>
      <c r="V13" s="46">
        <f>T13/1000</f>
        <v>4.7729999999999997</v>
      </c>
      <c r="W13" s="96">
        <v>4.3</v>
      </c>
      <c r="X13" s="96">
        <f t="shared" ref="X13:X36" si="1">W13</f>
        <v>4.3</v>
      </c>
      <c r="Y13" s="97" t="s">
        <v>138</v>
      </c>
      <c r="Z13" s="158">
        <v>0</v>
      </c>
      <c r="AA13" s="158">
        <v>0</v>
      </c>
      <c r="AB13" s="158">
        <v>0</v>
      </c>
      <c r="AC13" s="158">
        <v>1185</v>
      </c>
      <c r="AD13" s="158">
        <v>1187</v>
      </c>
      <c r="AE13" s="158">
        <v>1185</v>
      </c>
      <c r="AF13" s="47" t="s">
        <v>90</v>
      </c>
      <c r="AG13" s="47" t="s">
        <v>90</v>
      </c>
      <c r="AH13" s="98" t="s">
        <v>90</v>
      </c>
      <c r="AI13" s="103">
        <v>16016048</v>
      </c>
      <c r="AJ13" s="45">
        <f>IF(ISBLANK(AI13),"-",AI13-AI11)</f>
        <v>1121</v>
      </c>
      <c r="AK13" s="48">
        <f>AJ13/V13</f>
        <v>234.8627697464907</v>
      </c>
      <c r="AL13" s="155">
        <v>0</v>
      </c>
      <c r="AM13" s="155">
        <v>0</v>
      </c>
      <c r="AN13" s="155">
        <v>0</v>
      </c>
      <c r="AO13" s="155">
        <v>1</v>
      </c>
      <c r="AP13" s="155">
        <v>1</v>
      </c>
      <c r="AQ13" s="155">
        <v>1</v>
      </c>
      <c r="AR13" s="155">
        <v>0.8</v>
      </c>
      <c r="AS13" s="158"/>
      <c r="AT13" s="158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357">
        <v>43245</v>
      </c>
      <c r="B14" s="40">
        <v>2.0416666666666701</v>
      </c>
      <c r="C14" s="40">
        <v>8.3333333333333329E-2</v>
      </c>
      <c r="D14" s="156">
        <v>3</v>
      </c>
      <c r="E14" s="154">
        <f t="shared" ref="E14:E36" si="2">D14/1.42</f>
        <v>2.1126760563380285</v>
      </c>
      <c r="F14" s="154">
        <v>2</v>
      </c>
      <c r="G14" s="118">
        <v>71</v>
      </c>
      <c r="H14" s="154">
        <f t="shared" si="0"/>
        <v>50</v>
      </c>
      <c r="I14" s="154">
        <v>69</v>
      </c>
      <c r="J14" s="41" t="s">
        <v>88</v>
      </c>
      <c r="K14" s="41">
        <f t="shared" ref="K14:K36" si="3">L14-(2/1.42)</f>
        <v>45.070422535211272</v>
      </c>
      <c r="L14" s="42">
        <f>(G14-5)/1.42</f>
        <v>46.478873239436624</v>
      </c>
      <c r="M14" s="41">
        <f>L14+(6/1.42)</f>
        <v>50.70422535211268</v>
      </c>
      <c r="N14" s="43">
        <v>14</v>
      </c>
      <c r="O14" s="44" t="s">
        <v>89</v>
      </c>
      <c r="P14" s="44">
        <v>11.2</v>
      </c>
      <c r="Q14" s="157">
        <v>147</v>
      </c>
      <c r="R14" s="157"/>
      <c r="S14" s="157">
        <v>95567255</v>
      </c>
      <c r="T14" s="45">
        <f t="shared" ref="T14:T36" si="4">IF(ISBLANK(S14),"-",S14-S13)</f>
        <v>4142</v>
      </c>
      <c r="U14" s="46">
        <f t="shared" ref="U14:U37" si="5">T14*24/1000</f>
        <v>99.408000000000001</v>
      </c>
      <c r="V14" s="46">
        <f t="shared" ref="V14:V37" si="6">T14/1000</f>
        <v>4.1420000000000003</v>
      </c>
      <c r="W14" s="96">
        <v>5.6</v>
      </c>
      <c r="X14" s="96">
        <f t="shared" si="1"/>
        <v>5.6</v>
      </c>
      <c r="Y14" s="97" t="s">
        <v>138</v>
      </c>
      <c r="Z14" s="158">
        <v>0</v>
      </c>
      <c r="AA14" s="158">
        <v>0</v>
      </c>
      <c r="AB14" s="158">
        <v>0</v>
      </c>
      <c r="AC14" s="158">
        <v>1185</v>
      </c>
      <c r="AD14" s="158">
        <v>1187</v>
      </c>
      <c r="AE14" s="158">
        <v>1185</v>
      </c>
      <c r="AF14" s="47" t="s">
        <v>90</v>
      </c>
      <c r="AG14" s="47" t="s">
        <v>90</v>
      </c>
      <c r="AH14" s="98" t="s">
        <v>90</v>
      </c>
      <c r="AI14" s="103">
        <v>16017141</v>
      </c>
      <c r="AJ14" s="45">
        <f t="shared" ref="AJ14:AJ36" si="7">IF(ISBLANK(AI14),"-",AI14-AI13)</f>
        <v>1093</v>
      </c>
      <c r="AK14" s="48">
        <f t="shared" ref="AK14:AK36" si="8">AJ14/V14</f>
        <v>263.88218252052144</v>
      </c>
      <c r="AL14" s="155">
        <v>0</v>
      </c>
      <c r="AM14" s="155">
        <v>0</v>
      </c>
      <c r="AN14" s="155">
        <v>0</v>
      </c>
      <c r="AO14" s="155">
        <v>1</v>
      </c>
      <c r="AP14" s="155">
        <v>1</v>
      </c>
      <c r="AQ14" s="155">
        <v>1</v>
      </c>
      <c r="AR14" s="155">
        <v>0.8</v>
      </c>
      <c r="AS14" s="158"/>
      <c r="AT14" s="158">
        <f t="shared" ref="AT14:AT35" si="9">AS14-AS13</f>
        <v>0</v>
      </c>
      <c r="AU14" s="119">
        <v>0.84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57">
        <v>43245</v>
      </c>
      <c r="B15" s="40">
        <v>2.0833333333333299</v>
      </c>
      <c r="C15" s="40">
        <v>0.125</v>
      </c>
      <c r="D15" s="156">
        <v>3</v>
      </c>
      <c r="E15" s="154">
        <f t="shared" si="2"/>
        <v>2.1126760563380285</v>
      </c>
      <c r="F15" s="154">
        <v>4</v>
      </c>
      <c r="G15" s="118">
        <v>73</v>
      </c>
      <c r="H15" s="154">
        <f t="shared" si="0"/>
        <v>51.408450704225352</v>
      </c>
      <c r="I15" s="154">
        <v>70</v>
      </c>
      <c r="J15" s="41" t="s">
        <v>88</v>
      </c>
      <c r="K15" s="41">
        <f t="shared" si="3"/>
        <v>46.478873239436624</v>
      </c>
      <c r="L15" s="42">
        <f>(G15-5)/1.42</f>
        <v>47.887323943661976</v>
      </c>
      <c r="M15" s="41">
        <f>L15+(6/1.42)</f>
        <v>52.112676056338032</v>
      </c>
      <c r="N15" s="43">
        <v>14</v>
      </c>
      <c r="O15" s="44" t="s">
        <v>89</v>
      </c>
      <c r="P15" s="44">
        <v>11.2</v>
      </c>
      <c r="Q15" s="157">
        <v>145</v>
      </c>
      <c r="R15" s="157"/>
      <c r="S15" s="157">
        <v>95571418</v>
      </c>
      <c r="T15" s="45">
        <f>IF(ISBLANK(S15),"-",S15-S14)</f>
        <v>4163</v>
      </c>
      <c r="U15" s="46">
        <f t="shared" si="5"/>
        <v>99.912000000000006</v>
      </c>
      <c r="V15" s="46">
        <f t="shared" si="6"/>
        <v>4.1630000000000003</v>
      </c>
      <c r="W15" s="96">
        <v>6.8</v>
      </c>
      <c r="X15" s="96">
        <f t="shared" si="1"/>
        <v>6.8</v>
      </c>
      <c r="Y15" s="97" t="s">
        <v>138</v>
      </c>
      <c r="Z15" s="158">
        <v>0</v>
      </c>
      <c r="AA15" s="158">
        <v>0</v>
      </c>
      <c r="AB15" s="158">
        <v>1187</v>
      </c>
      <c r="AC15" s="158">
        <v>0</v>
      </c>
      <c r="AD15" s="158">
        <v>1187</v>
      </c>
      <c r="AE15" s="158">
        <v>1185</v>
      </c>
      <c r="AF15" s="47" t="s">
        <v>90</v>
      </c>
      <c r="AG15" s="47" t="s">
        <v>90</v>
      </c>
      <c r="AH15" s="98" t="s">
        <v>90</v>
      </c>
      <c r="AI15" s="103">
        <v>16018217</v>
      </c>
      <c r="AJ15" s="45">
        <f t="shared" si="7"/>
        <v>1076</v>
      </c>
      <c r="AK15" s="48">
        <f t="shared" si="8"/>
        <v>258.46745135719431</v>
      </c>
      <c r="AL15" s="155">
        <v>0</v>
      </c>
      <c r="AM15" s="155">
        <v>0</v>
      </c>
      <c r="AN15" s="155">
        <v>1</v>
      </c>
      <c r="AO15" s="155">
        <v>0</v>
      </c>
      <c r="AP15" s="155">
        <v>1</v>
      </c>
      <c r="AQ15" s="155">
        <v>1</v>
      </c>
      <c r="AR15" s="155">
        <v>0.8</v>
      </c>
      <c r="AS15" s="158"/>
      <c r="AT15" s="158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357">
        <v>43245</v>
      </c>
      <c r="B16" s="40">
        <v>2.125</v>
      </c>
      <c r="C16" s="40">
        <v>0.16666666666666699</v>
      </c>
      <c r="D16" s="156" t="s">
        <v>179</v>
      </c>
      <c r="E16" s="154" t="e">
        <f t="shared" si="2"/>
        <v>#VALUE!</v>
      </c>
      <c r="F16" s="154">
        <v>7</v>
      </c>
      <c r="G16" s="118">
        <v>72</v>
      </c>
      <c r="H16" s="154">
        <f t="shared" si="0"/>
        <v>50.70422535211268</v>
      </c>
      <c r="I16" s="154">
        <v>69</v>
      </c>
      <c r="J16" s="41" t="s">
        <v>88</v>
      </c>
      <c r="K16" s="41">
        <f t="shared" si="3"/>
        <v>45.774647887323944</v>
      </c>
      <c r="L16" s="42">
        <f>(G16-5)/1.42</f>
        <v>47.183098591549296</v>
      </c>
      <c r="M16" s="41">
        <f>L16+(6/1.42)</f>
        <v>51.408450704225352</v>
      </c>
      <c r="N16" s="43">
        <v>14</v>
      </c>
      <c r="O16" s="44" t="s">
        <v>89</v>
      </c>
      <c r="P16" s="44">
        <v>12.8</v>
      </c>
      <c r="Q16" s="157" t="s">
        <v>179</v>
      </c>
      <c r="R16" s="157"/>
      <c r="S16" s="157">
        <v>95576348</v>
      </c>
      <c r="T16" s="45">
        <f t="shared" si="4"/>
        <v>4930</v>
      </c>
      <c r="U16" s="46">
        <f t="shared" si="5"/>
        <v>118.32</v>
      </c>
      <c r="V16" s="46">
        <f t="shared" si="6"/>
        <v>4.93</v>
      </c>
      <c r="W16" s="96">
        <v>8.3000000000000007</v>
      </c>
      <c r="X16" s="96">
        <f t="shared" si="1"/>
        <v>8.3000000000000007</v>
      </c>
      <c r="Y16" s="97" t="s">
        <v>138</v>
      </c>
      <c r="Z16" s="158">
        <v>0</v>
      </c>
      <c r="AA16" s="158">
        <v>0</v>
      </c>
      <c r="AB16" s="158">
        <v>1187</v>
      </c>
      <c r="AC16" s="158">
        <v>0</v>
      </c>
      <c r="AD16" s="158">
        <v>1187</v>
      </c>
      <c r="AE16" s="158">
        <v>1185</v>
      </c>
      <c r="AF16" s="47" t="s">
        <v>90</v>
      </c>
      <c r="AG16" s="47" t="s">
        <v>90</v>
      </c>
      <c r="AH16" s="98" t="s">
        <v>90</v>
      </c>
      <c r="AI16" s="103">
        <v>16019346</v>
      </c>
      <c r="AJ16" s="45">
        <f t="shared" si="7"/>
        <v>1129</v>
      </c>
      <c r="AK16" s="48">
        <f t="shared" si="8"/>
        <v>229.00608519269778</v>
      </c>
      <c r="AL16" s="155">
        <v>0</v>
      </c>
      <c r="AM16" s="155">
        <v>0</v>
      </c>
      <c r="AN16" s="155">
        <v>1</v>
      </c>
      <c r="AO16" s="155">
        <v>0</v>
      </c>
      <c r="AP16" s="155">
        <v>1</v>
      </c>
      <c r="AQ16" s="155">
        <v>1</v>
      </c>
      <c r="AR16" s="155">
        <v>0.8</v>
      </c>
      <c r="AS16" s="158"/>
      <c r="AT16" s="158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357">
        <v>43245</v>
      </c>
      <c r="B17" s="40">
        <v>2.1666666666666701</v>
      </c>
      <c r="C17" s="40">
        <v>0.20833333333333301</v>
      </c>
      <c r="D17" s="156" t="s">
        <v>179</v>
      </c>
      <c r="E17" s="154" t="e">
        <f t="shared" si="2"/>
        <v>#VALUE!</v>
      </c>
      <c r="F17" s="154">
        <v>8</v>
      </c>
      <c r="G17" s="118">
        <v>83</v>
      </c>
      <c r="H17" s="154">
        <f t="shared" si="0"/>
        <v>58.450704225352112</v>
      </c>
      <c r="I17" s="154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7" t="s">
        <v>179</v>
      </c>
      <c r="R17" s="157"/>
      <c r="S17" s="157">
        <v>95581044</v>
      </c>
      <c r="T17" s="45">
        <f t="shared" si="4"/>
        <v>4696</v>
      </c>
      <c r="U17" s="46">
        <f t="shared" si="5"/>
        <v>112.70399999999999</v>
      </c>
      <c r="V17" s="46">
        <f t="shared" si="6"/>
        <v>4.6959999999999997</v>
      </c>
      <c r="W17" s="96">
        <v>9.5</v>
      </c>
      <c r="X17" s="96">
        <f t="shared" si="1"/>
        <v>9.5</v>
      </c>
      <c r="Y17" s="97" t="s">
        <v>138</v>
      </c>
      <c r="Z17" s="158">
        <v>0</v>
      </c>
      <c r="AA17" s="158">
        <v>0</v>
      </c>
      <c r="AB17" s="158">
        <v>1147</v>
      </c>
      <c r="AC17" s="158">
        <v>0</v>
      </c>
      <c r="AD17" s="158">
        <v>1187</v>
      </c>
      <c r="AE17" s="158">
        <v>1185</v>
      </c>
      <c r="AF17" s="47" t="s">
        <v>90</v>
      </c>
      <c r="AG17" s="47" t="s">
        <v>90</v>
      </c>
      <c r="AH17" s="98" t="s">
        <v>90</v>
      </c>
      <c r="AI17" s="103">
        <v>16020460</v>
      </c>
      <c r="AJ17" s="45">
        <f t="shared" si="7"/>
        <v>1114</v>
      </c>
      <c r="AK17" s="48">
        <f t="shared" si="8"/>
        <v>237.22316865417378</v>
      </c>
      <c r="AL17" s="155">
        <v>0</v>
      </c>
      <c r="AM17" s="155">
        <v>0</v>
      </c>
      <c r="AN17" s="155">
        <v>1</v>
      </c>
      <c r="AO17" s="155">
        <v>0</v>
      </c>
      <c r="AP17" s="155">
        <v>1</v>
      </c>
      <c r="AQ17" s="155">
        <v>1</v>
      </c>
      <c r="AR17" s="155">
        <v>0</v>
      </c>
      <c r="AS17" s="158"/>
      <c r="AT17" s="158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57">
        <v>43245</v>
      </c>
      <c r="B18" s="40">
        <v>2.2083333333333299</v>
      </c>
      <c r="C18" s="40">
        <v>0.25</v>
      </c>
      <c r="D18" s="156" t="s">
        <v>179</v>
      </c>
      <c r="E18" s="154" t="e">
        <f t="shared" si="2"/>
        <v>#VALUE!</v>
      </c>
      <c r="F18" s="154">
        <v>8</v>
      </c>
      <c r="G18" s="118">
        <v>79</v>
      </c>
      <c r="H18" s="154">
        <f t="shared" si="0"/>
        <v>55.633802816901408</v>
      </c>
      <c r="I18" s="154">
        <v>77</v>
      </c>
      <c r="J18" s="41" t="s">
        <v>88</v>
      </c>
      <c r="K18" s="41">
        <f t="shared" si="3"/>
        <v>54.225352112676056</v>
      </c>
      <c r="L18" s="42">
        <f t="shared" ref="L18:L27" si="10">G18/1.42</f>
        <v>55.633802816901408</v>
      </c>
      <c r="M18" s="41">
        <f>L18+1.42</f>
        <v>57.05380281690141</v>
      </c>
      <c r="N18" s="43">
        <v>19</v>
      </c>
      <c r="O18" s="44" t="s">
        <v>100</v>
      </c>
      <c r="P18" s="44">
        <v>13.1</v>
      </c>
      <c r="Q18" s="157" t="s">
        <v>179</v>
      </c>
      <c r="R18" s="157"/>
      <c r="S18" s="157">
        <v>95586244</v>
      </c>
      <c r="T18" s="45">
        <f t="shared" si="4"/>
        <v>5200</v>
      </c>
      <c r="U18" s="46">
        <f t="shared" si="5"/>
        <v>124.8</v>
      </c>
      <c r="V18" s="46">
        <f t="shared" si="6"/>
        <v>5.2</v>
      </c>
      <c r="W18" s="96">
        <v>9.5</v>
      </c>
      <c r="X18" s="96">
        <f t="shared" si="1"/>
        <v>9.5</v>
      </c>
      <c r="Y18" s="97" t="s">
        <v>138</v>
      </c>
      <c r="Z18" s="158">
        <v>0</v>
      </c>
      <c r="AA18" s="158">
        <v>0</v>
      </c>
      <c r="AB18" s="158">
        <v>1187</v>
      </c>
      <c r="AC18" s="158">
        <v>0</v>
      </c>
      <c r="AD18" s="158">
        <v>1187</v>
      </c>
      <c r="AE18" s="158">
        <v>1185</v>
      </c>
      <c r="AF18" s="47" t="s">
        <v>90</v>
      </c>
      <c r="AG18" s="47" t="s">
        <v>90</v>
      </c>
      <c r="AH18" s="98" t="s">
        <v>90</v>
      </c>
      <c r="AI18" s="103">
        <v>16021554</v>
      </c>
      <c r="AJ18" s="45">
        <f t="shared" si="7"/>
        <v>1094</v>
      </c>
      <c r="AK18" s="48">
        <f t="shared" si="8"/>
        <v>210.38461538461539</v>
      </c>
      <c r="AL18" s="155">
        <v>0</v>
      </c>
      <c r="AM18" s="155">
        <v>0</v>
      </c>
      <c r="AN18" s="155">
        <v>1</v>
      </c>
      <c r="AO18" s="155">
        <v>0</v>
      </c>
      <c r="AP18" s="155">
        <v>1</v>
      </c>
      <c r="AQ18" s="155">
        <v>1</v>
      </c>
      <c r="AR18" s="155">
        <v>0</v>
      </c>
      <c r="AS18" s="158"/>
      <c r="AT18" s="158">
        <f t="shared" si="9"/>
        <v>0</v>
      </c>
      <c r="AU18" s="119">
        <v>0.8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57">
        <v>43245</v>
      </c>
      <c r="B19" s="40">
        <v>2.25</v>
      </c>
      <c r="C19" s="40">
        <v>0.29166666666666669</v>
      </c>
      <c r="D19" s="156">
        <v>3</v>
      </c>
      <c r="E19" s="154">
        <f t="shared" si="2"/>
        <v>2.1126760563380285</v>
      </c>
      <c r="F19" s="154">
        <v>8</v>
      </c>
      <c r="G19" s="118">
        <v>79</v>
      </c>
      <c r="H19" s="154">
        <f t="shared" si="0"/>
        <v>55.633802816901408</v>
      </c>
      <c r="I19" s="154">
        <v>77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7">
        <v>134</v>
      </c>
      <c r="R19" s="157"/>
      <c r="S19" s="157">
        <v>95591531</v>
      </c>
      <c r="T19" s="45">
        <f t="shared" si="4"/>
        <v>5287</v>
      </c>
      <c r="U19" s="46">
        <f t="shared" si="5"/>
        <v>126.88800000000001</v>
      </c>
      <c r="V19" s="46">
        <f t="shared" si="6"/>
        <v>5.2869999999999999</v>
      </c>
      <c r="W19" s="96">
        <v>9.5</v>
      </c>
      <c r="X19" s="96">
        <f t="shared" si="1"/>
        <v>9.5</v>
      </c>
      <c r="Y19" s="97" t="s">
        <v>169</v>
      </c>
      <c r="Z19" s="158">
        <v>1025</v>
      </c>
      <c r="AA19" s="158">
        <v>0</v>
      </c>
      <c r="AB19" s="158">
        <v>1187</v>
      </c>
      <c r="AC19" s="158">
        <v>0</v>
      </c>
      <c r="AD19" s="158">
        <v>1187</v>
      </c>
      <c r="AE19" s="158">
        <v>1185</v>
      </c>
      <c r="AF19" s="47" t="s">
        <v>90</v>
      </c>
      <c r="AG19" s="47" t="s">
        <v>90</v>
      </c>
      <c r="AH19" s="98" t="s">
        <v>90</v>
      </c>
      <c r="AI19" s="103">
        <v>16022627</v>
      </c>
      <c r="AJ19" s="45">
        <f t="shared" si="7"/>
        <v>1073</v>
      </c>
      <c r="AK19" s="48">
        <f t="shared" si="8"/>
        <v>202.95063362965766</v>
      </c>
      <c r="AL19" s="155">
        <v>1</v>
      </c>
      <c r="AM19" s="155">
        <v>0</v>
      </c>
      <c r="AN19" s="155">
        <v>1</v>
      </c>
      <c r="AO19" s="155">
        <v>0</v>
      </c>
      <c r="AP19" s="155">
        <v>1</v>
      </c>
      <c r="AQ19" s="155">
        <v>1</v>
      </c>
      <c r="AR19" s="155">
        <v>0</v>
      </c>
      <c r="AS19" s="158"/>
      <c r="AT19" s="158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57">
        <v>43245</v>
      </c>
      <c r="B20" s="40">
        <v>2.2916666666666701</v>
      </c>
      <c r="C20" s="40">
        <v>0.33333333333333298</v>
      </c>
      <c r="D20" s="156">
        <v>3</v>
      </c>
      <c r="E20" s="154">
        <f t="shared" si="2"/>
        <v>2.1126760563380285</v>
      </c>
      <c r="F20" s="154">
        <v>6</v>
      </c>
      <c r="G20" s="118">
        <v>78</v>
      </c>
      <c r="H20" s="154">
        <f t="shared" si="0"/>
        <v>54.929577464788736</v>
      </c>
      <c r="I20" s="154">
        <v>75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7">
        <v>131</v>
      </c>
      <c r="R20" s="157"/>
      <c r="S20" s="157">
        <v>95598031</v>
      </c>
      <c r="T20" s="45">
        <f t="shared" si="4"/>
        <v>6500</v>
      </c>
      <c r="U20" s="46">
        <f>T20*24/1000</f>
        <v>156</v>
      </c>
      <c r="V20" s="46">
        <f t="shared" si="6"/>
        <v>6.5</v>
      </c>
      <c r="W20" s="96">
        <v>8.8000000000000007</v>
      </c>
      <c r="X20" s="96">
        <f t="shared" si="1"/>
        <v>8.8000000000000007</v>
      </c>
      <c r="Y20" s="97" t="s">
        <v>169</v>
      </c>
      <c r="Z20" s="158">
        <v>1027</v>
      </c>
      <c r="AA20" s="158">
        <v>0</v>
      </c>
      <c r="AB20" s="158">
        <v>1187</v>
      </c>
      <c r="AC20" s="158">
        <v>0</v>
      </c>
      <c r="AD20" s="158">
        <v>1187</v>
      </c>
      <c r="AE20" s="158">
        <v>1185</v>
      </c>
      <c r="AF20" s="47" t="s">
        <v>90</v>
      </c>
      <c r="AG20" s="47" t="s">
        <v>90</v>
      </c>
      <c r="AH20" s="98" t="s">
        <v>90</v>
      </c>
      <c r="AI20" s="103">
        <v>16023896</v>
      </c>
      <c r="AJ20" s="45">
        <f t="shared" si="7"/>
        <v>1269</v>
      </c>
      <c r="AK20" s="48">
        <f t="shared" si="8"/>
        <v>195.23076923076923</v>
      </c>
      <c r="AL20" s="155">
        <v>1</v>
      </c>
      <c r="AM20" s="155">
        <v>0</v>
      </c>
      <c r="AN20" s="155">
        <v>1</v>
      </c>
      <c r="AO20" s="155">
        <v>0</v>
      </c>
      <c r="AP20" s="155">
        <v>1</v>
      </c>
      <c r="AQ20" s="155">
        <v>1</v>
      </c>
      <c r="AR20" s="155">
        <v>0</v>
      </c>
      <c r="AS20" s="158"/>
      <c r="AT20" s="158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357">
        <v>43245</v>
      </c>
      <c r="B21" s="40">
        <v>2.3333333333333299</v>
      </c>
      <c r="C21" s="40">
        <v>0.375</v>
      </c>
      <c r="D21" s="156" t="s">
        <v>179</v>
      </c>
      <c r="E21" s="154" t="e">
        <f t="shared" si="2"/>
        <v>#VALUE!</v>
      </c>
      <c r="F21" s="154">
        <v>5</v>
      </c>
      <c r="G21" s="118">
        <v>76</v>
      </c>
      <c r="H21" s="154">
        <f t="shared" si="0"/>
        <v>53.521126760563384</v>
      </c>
      <c r="I21" s="154">
        <v>74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7" t="s">
        <v>179</v>
      </c>
      <c r="R21" s="157"/>
      <c r="S21" s="157">
        <v>95602538</v>
      </c>
      <c r="T21" s="45">
        <f t="shared" si="4"/>
        <v>4507</v>
      </c>
      <c r="U21" s="46">
        <f t="shared" si="5"/>
        <v>108.16800000000001</v>
      </c>
      <c r="V21" s="46">
        <f t="shared" si="6"/>
        <v>4.5069999999999997</v>
      </c>
      <c r="W21" s="96">
        <v>8.1999999999999993</v>
      </c>
      <c r="X21" s="96">
        <f t="shared" si="1"/>
        <v>8.1999999999999993</v>
      </c>
      <c r="Y21" s="97" t="s">
        <v>169</v>
      </c>
      <c r="Z21" s="158">
        <v>1027</v>
      </c>
      <c r="AA21" s="158">
        <v>0</v>
      </c>
      <c r="AB21" s="158">
        <v>1187</v>
      </c>
      <c r="AC21" s="158">
        <v>0</v>
      </c>
      <c r="AD21" s="158">
        <v>1187</v>
      </c>
      <c r="AE21" s="158">
        <v>1185</v>
      </c>
      <c r="AF21" s="47" t="s">
        <v>90</v>
      </c>
      <c r="AG21" s="47" t="s">
        <v>90</v>
      </c>
      <c r="AH21" s="98" t="s">
        <v>90</v>
      </c>
      <c r="AI21" s="103">
        <v>16025091</v>
      </c>
      <c r="AJ21" s="45">
        <f t="shared" si="7"/>
        <v>1195</v>
      </c>
      <c r="AK21" s="48">
        <f t="shared" si="8"/>
        <v>265.14311071666299</v>
      </c>
      <c r="AL21" s="155">
        <v>1</v>
      </c>
      <c r="AM21" s="155">
        <v>0</v>
      </c>
      <c r="AN21" s="155">
        <v>1</v>
      </c>
      <c r="AO21" s="155">
        <v>0</v>
      </c>
      <c r="AP21" s="155">
        <v>1</v>
      </c>
      <c r="AQ21" s="155">
        <v>1</v>
      </c>
      <c r="AR21" s="155">
        <v>0</v>
      </c>
      <c r="AS21" s="158"/>
      <c r="AT21" s="158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205</v>
      </c>
    </row>
    <row r="22" spans="1:54" x14ac:dyDescent="0.35">
      <c r="A22" s="357">
        <v>43245</v>
      </c>
      <c r="B22" s="40">
        <v>2.375</v>
      </c>
      <c r="C22" s="40">
        <v>0.41666666666666669</v>
      </c>
      <c r="D22" s="156" t="s">
        <v>179</v>
      </c>
      <c r="E22" s="154" t="e">
        <f t="shared" si="2"/>
        <v>#VALUE!</v>
      </c>
      <c r="F22" s="154">
        <v>5</v>
      </c>
      <c r="G22" s="118">
        <v>76</v>
      </c>
      <c r="H22" s="154">
        <f t="shared" si="0"/>
        <v>53.521126760563384</v>
      </c>
      <c r="I22" s="154">
        <v>74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7" t="s">
        <v>179</v>
      </c>
      <c r="R22" s="157"/>
      <c r="S22" s="157">
        <v>95606391</v>
      </c>
      <c r="T22" s="45">
        <f t="shared" si="4"/>
        <v>3853</v>
      </c>
      <c r="U22" s="46">
        <f t="shared" si="5"/>
        <v>92.471999999999994</v>
      </c>
      <c r="V22" s="46">
        <f t="shared" si="6"/>
        <v>3.8530000000000002</v>
      </c>
      <c r="W22" s="96">
        <v>7.5</v>
      </c>
      <c r="X22" s="96">
        <f t="shared" si="1"/>
        <v>7.5</v>
      </c>
      <c r="Y22" s="97" t="s">
        <v>169</v>
      </c>
      <c r="Z22" s="158">
        <v>1027</v>
      </c>
      <c r="AA22" s="158">
        <v>0</v>
      </c>
      <c r="AB22" s="158">
        <v>1187</v>
      </c>
      <c r="AC22" s="158">
        <v>0</v>
      </c>
      <c r="AD22" s="158">
        <v>1187</v>
      </c>
      <c r="AE22" s="158">
        <v>1185</v>
      </c>
      <c r="AF22" s="47" t="s">
        <v>90</v>
      </c>
      <c r="AG22" s="47" t="s">
        <v>90</v>
      </c>
      <c r="AH22" s="98" t="s">
        <v>90</v>
      </c>
      <c r="AI22" s="103">
        <v>16026310</v>
      </c>
      <c r="AJ22" s="45">
        <f t="shared" si="7"/>
        <v>1219</v>
      </c>
      <c r="AK22" s="48">
        <f t="shared" si="8"/>
        <v>316.376849208409</v>
      </c>
      <c r="AL22" s="155">
        <v>1</v>
      </c>
      <c r="AM22" s="155">
        <v>0</v>
      </c>
      <c r="AN22" s="155">
        <v>1</v>
      </c>
      <c r="AO22" s="155">
        <v>0</v>
      </c>
      <c r="AP22" s="155">
        <v>1</v>
      </c>
      <c r="AQ22" s="155">
        <v>1</v>
      </c>
      <c r="AR22" s="155">
        <v>0</v>
      </c>
      <c r="AS22" s="158"/>
      <c r="AT22" s="158">
        <f t="shared" si="9"/>
        <v>0</v>
      </c>
      <c r="AU22" s="119">
        <v>1.02</v>
      </c>
      <c r="AV22" s="50" t="s">
        <v>125</v>
      </c>
      <c r="BB22" s="136" t="s">
        <v>157</v>
      </c>
    </row>
    <row r="23" spans="1:54" x14ac:dyDescent="0.35">
      <c r="A23" s="357">
        <v>43245</v>
      </c>
      <c r="B23" s="40">
        <v>2.4166666666666701</v>
      </c>
      <c r="C23" s="40">
        <v>0.45833333333333298</v>
      </c>
      <c r="D23" s="156">
        <v>3</v>
      </c>
      <c r="E23" s="154">
        <f t="shared" si="2"/>
        <v>2.1126760563380285</v>
      </c>
      <c r="F23" s="154">
        <v>3</v>
      </c>
      <c r="G23" s="118">
        <v>76</v>
      </c>
      <c r="H23" s="154">
        <f t="shared" si="0"/>
        <v>53.521126760563384</v>
      </c>
      <c r="I23" s="154">
        <v>74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7">
        <v>131</v>
      </c>
      <c r="R23" s="157"/>
      <c r="S23" s="157">
        <v>95610059</v>
      </c>
      <c r="T23" s="45">
        <f t="shared" si="4"/>
        <v>3668</v>
      </c>
      <c r="U23" s="46">
        <f t="shared" si="5"/>
        <v>88.031999999999996</v>
      </c>
      <c r="V23" s="46">
        <f t="shared" si="6"/>
        <v>3.6680000000000001</v>
      </c>
      <c r="W23" s="96">
        <v>6.9</v>
      </c>
      <c r="X23" s="96">
        <f>W23</f>
        <v>6.9</v>
      </c>
      <c r="Y23" s="97" t="s">
        <v>169</v>
      </c>
      <c r="Z23" s="158">
        <v>1026</v>
      </c>
      <c r="AA23" s="158">
        <v>0</v>
      </c>
      <c r="AB23" s="158">
        <v>1187</v>
      </c>
      <c r="AC23" s="158">
        <v>0</v>
      </c>
      <c r="AD23" s="158">
        <v>1187</v>
      </c>
      <c r="AE23" s="158">
        <v>1185</v>
      </c>
      <c r="AF23" s="47" t="s">
        <v>90</v>
      </c>
      <c r="AG23" s="47" t="s">
        <v>90</v>
      </c>
      <c r="AH23" s="98" t="s">
        <v>90</v>
      </c>
      <c r="AI23" s="103">
        <v>16027507</v>
      </c>
      <c r="AJ23" s="45">
        <f t="shared" si="7"/>
        <v>1197</v>
      </c>
      <c r="AK23" s="48">
        <f t="shared" si="8"/>
        <v>326.3358778625954</v>
      </c>
      <c r="AL23" s="155">
        <v>1</v>
      </c>
      <c r="AM23" s="155">
        <v>0</v>
      </c>
      <c r="AN23" s="155">
        <v>1</v>
      </c>
      <c r="AO23" s="155">
        <v>0</v>
      </c>
      <c r="AP23" s="155">
        <v>1</v>
      </c>
      <c r="AQ23" s="155">
        <v>1</v>
      </c>
      <c r="AR23" s="155">
        <v>0</v>
      </c>
      <c r="AS23" s="158"/>
      <c r="AT23" s="158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357">
        <v>43245</v>
      </c>
      <c r="B24" s="40">
        <v>2.4583333333333299</v>
      </c>
      <c r="C24" s="40">
        <v>0.5</v>
      </c>
      <c r="D24" s="156">
        <v>3</v>
      </c>
      <c r="E24" s="154">
        <f t="shared" si="2"/>
        <v>2.1126760563380285</v>
      </c>
      <c r="F24" s="154">
        <v>1</v>
      </c>
      <c r="G24" s="118">
        <v>75</v>
      </c>
      <c r="H24" s="154">
        <f t="shared" si="0"/>
        <v>52.816901408450704</v>
      </c>
      <c r="I24" s="154">
        <v>72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7">
        <v>129</v>
      </c>
      <c r="R24" s="157"/>
      <c r="S24" s="157">
        <v>95613640</v>
      </c>
      <c r="T24" s="45">
        <f t="shared" si="4"/>
        <v>3581</v>
      </c>
      <c r="U24" s="46">
        <f>T24*24/1000</f>
        <v>85.944000000000003</v>
      </c>
      <c r="V24" s="46">
        <f t="shared" si="6"/>
        <v>3.581</v>
      </c>
      <c r="W24" s="96">
        <v>6.3</v>
      </c>
      <c r="X24" s="96">
        <f t="shared" si="1"/>
        <v>6.3</v>
      </c>
      <c r="Y24" s="97" t="s">
        <v>169</v>
      </c>
      <c r="Z24" s="158">
        <v>1027</v>
      </c>
      <c r="AA24" s="158">
        <v>0</v>
      </c>
      <c r="AB24" s="158">
        <v>1187</v>
      </c>
      <c r="AC24" s="158">
        <v>0</v>
      </c>
      <c r="AD24" s="158">
        <v>1187</v>
      </c>
      <c r="AE24" s="158">
        <v>1185</v>
      </c>
      <c r="AF24" s="47" t="s">
        <v>90</v>
      </c>
      <c r="AG24" s="47" t="s">
        <v>90</v>
      </c>
      <c r="AH24" s="98" t="s">
        <v>90</v>
      </c>
      <c r="AI24" s="103">
        <v>16028640</v>
      </c>
      <c r="AJ24" s="45">
        <f t="shared" si="7"/>
        <v>1133</v>
      </c>
      <c r="AK24" s="48">
        <f t="shared" si="8"/>
        <v>316.39206925439822</v>
      </c>
      <c r="AL24" s="155">
        <v>1</v>
      </c>
      <c r="AM24" s="155">
        <v>0</v>
      </c>
      <c r="AN24" s="155">
        <v>1</v>
      </c>
      <c r="AO24" s="155">
        <v>0</v>
      </c>
      <c r="AP24" s="155">
        <v>1</v>
      </c>
      <c r="AQ24" s="155">
        <v>1</v>
      </c>
      <c r="AR24" s="155">
        <v>0</v>
      </c>
      <c r="AS24" s="158"/>
      <c r="AT24" s="158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357">
        <v>43245</v>
      </c>
      <c r="B25" s="40">
        <v>2.5</v>
      </c>
      <c r="C25" s="40">
        <v>0.54166666666666696</v>
      </c>
      <c r="D25" s="156">
        <v>3</v>
      </c>
      <c r="E25" s="154">
        <f t="shared" si="2"/>
        <v>2.1126760563380285</v>
      </c>
      <c r="F25" s="154">
        <v>1</v>
      </c>
      <c r="G25" s="118">
        <v>75</v>
      </c>
      <c r="H25" s="154">
        <f t="shared" si="0"/>
        <v>52.816901408450704</v>
      </c>
      <c r="I25" s="154">
        <v>72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7">
        <v>123</v>
      </c>
      <c r="R25" s="157"/>
      <c r="S25" s="157">
        <v>95617408</v>
      </c>
      <c r="T25" s="45">
        <f t="shared" si="4"/>
        <v>3768</v>
      </c>
      <c r="U25" s="46">
        <f>T25*24/1000</f>
        <v>90.432000000000002</v>
      </c>
      <c r="V25" s="46">
        <f t="shared" si="6"/>
        <v>3.7679999999999998</v>
      </c>
      <c r="W25" s="96">
        <v>5.8</v>
      </c>
      <c r="X25" s="96">
        <f t="shared" si="1"/>
        <v>5.8</v>
      </c>
      <c r="Y25" s="97" t="s">
        <v>169</v>
      </c>
      <c r="Z25" s="158">
        <v>1027</v>
      </c>
      <c r="AA25" s="158">
        <v>0</v>
      </c>
      <c r="AB25" s="158">
        <v>1187</v>
      </c>
      <c r="AC25" s="158">
        <v>0</v>
      </c>
      <c r="AD25" s="158">
        <v>1187</v>
      </c>
      <c r="AE25" s="158">
        <v>1185</v>
      </c>
      <c r="AF25" s="47" t="s">
        <v>90</v>
      </c>
      <c r="AG25" s="47" t="s">
        <v>90</v>
      </c>
      <c r="AH25" s="98" t="s">
        <v>90</v>
      </c>
      <c r="AI25" s="103">
        <v>16029810</v>
      </c>
      <c r="AJ25" s="45">
        <f t="shared" si="7"/>
        <v>1170</v>
      </c>
      <c r="AK25" s="48">
        <f t="shared" si="8"/>
        <v>310.50955414012742</v>
      </c>
      <c r="AL25" s="155">
        <v>1</v>
      </c>
      <c r="AM25" s="155">
        <v>0</v>
      </c>
      <c r="AN25" s="155">
        <v>1</v>
      </c>
      <c r="AO25" s="155">
        <v>0</v>
      </c>
      <c r="AP25" s="155">
        <v>1</v>
      </c>
      <c r="AQ25" s="155">
        <v>1</v>
      </c>
      <c r="AR25" s="155">
        <v>0</v>
      </c>
      <c r="AS25" s="158"/>
      <c r="AT25" s="158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57">
        <v>43245</v>
      </c>
      <c r="B26" s="40">
        <v>2.5416666666666701</v>
      </c>
      <c r="C26" s="40">
        <v>0.58333333333333404</v>
      </c>
      <c r="D26" s="156">
        <v>3</v>
      </c>
      <c r="E26" s="154">
        <f t="shared" si="2"/>
        <v>2.1126760563380285</v>
      </c>
      <c r="F26" s="154">
        <v>1</v>
      </c>
      <c r="G26" s="118">
        <v>75</v>
      </c>
      <c r="H26" s="154">
        <f t="shared" si="0"/>
        <v>52.816901408450704</v>
      </c>
      <c r="I26" s="154">
        <v>72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7">
        <v>129</v>
      </c>
      <c r="R26" s="157"/>
      <c r="S26" s="157">
        <v>95622479</v>
      </c>
      <c r="T26" s="45">
        <f t="shared" si="4"/>
        <v>5071</v>
      </c>
      <c r="U26" s="46">
        <f t="shared" si="5"/>
        <v>121.70399999999999</v>
      </c>
      <c r="V26" s="46">
        <f t="shared" si="6"/>
        <v>5.0709999999999997</v>
      </c>
      <c r="W26" s="96">
        <v>5.2</v>
      </c>
      <c r="X26" s="96">
        <f t="shared" si="1"/>
        <v>5.2</v>
      </c>
      <c r="Y26" s="97" t="s">
        <v>169</v>
      </c>
      <c r="Z26" s="158">
        <v>1027</v>
      </c>
      <c r="AA26" s="158">
        <v>0</v>
      </c>
      <c r="AB26" s="158">
        <v>1187</v>
      </c>
      <c r="AC26" s="158">
        <v>0</v>
      </c>
      <c r="AD26" s="158">
        <v>1186</v>
      </c>
      <c r="AE26" s="158">
        <v>1185</v>
      </c>
      <c r="AF26" s="47" t="s">
        <v>90</v>
      </c>
      <c r="AG26" s="47" t="s">
        <v>90</v>
      </c>
      <c r="AH26" s="98" t="s">
        <v>90</v>
      </c>
      <c r="AI26" s="103">
        <v>16030972</v>
      </c>
      <c r="AJ26" s="45">
        <f t="shared" si="7"/>
        <v>1162</v>
      </c>
      <c r="AK26" s="48">
        <f t="shared" si="8"/>
        <v>229.14612502464999</v>
      </c>
      <c r="AL26" s="155">
        <v>1</v>
      </c>
      <c r="AM26" s="155">
        <v>0</v>
      </c>
      <c r="AN26" s="155">
        <v>1</v>
      </c>
      <c r="AO26" s="155">
        <v>0</v>
      </c>
      <c r="AP26" s="155">
        <v>1</v>
      </c>
      <c r="AQ26" s="155">
        <v>1</v>
      </c>
      <c r="AR26" s="155">
        <v>0</v>
      </c>
      <c r="AS26" s="158"/>
      <c r="AT26" s="158">
        <f t="shared" si="9"/>
        <v>0</v>
      </c>
      <c r="AU26" s="119">
        <v>1.1000000000000001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57">
        <v>43245</v>
      </c>
      <c r="B27" s="40">
        <v>2.5833333333333299</v>
      </c>
      <c r="C27" s="40">
        <v>0.625</v>
      </c>
      <c r="D27" s="156">
        <v>3</v>
      </c>
      <c r="E27" s="154">
        <f t="shared" si="2"/>
        <v>2.1126760563380285</v>
      </c>
      <c r="F27" s="154">
        <v>0</v>
      </c>
      <c r="G27" s="118">
        <v>76</v>
      </c>
      <c r="H27" s="154">
        <f t="shared" si="0"/>
        <v>53.521126760563384</v>
      </c>
      <c r="I27" s="154">
        <v>72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7">
        <v>129</v>
      </c>
      <c r="R27" s="157"/>
      <c r="S27" s="157">
        <v>95628566</v>
      </c>
      <c r="T27" s="45">
        <f t="shared" si="4"/>
        <v>6087</v>
      </c>
      <c r="U27" s="46">
        <f t="shared" si="5"/>
        <v>146.08799999999999</v>
      </c>
      <c r="V27" s="46">
        <f t="shared" si="6"/>
        <v>6.0869999999999997</v>
      </c>
      <c r="W27" s="96">
        <v>4.8</v>
      </c>
      <c r="X27" s="96">
        <f t="shared" si="1"/>
        <v>4.8</v>
      </c>
      <c r="Y27" s="97" t="s">
        <v>169</v>
      </c>
      <c r="Z27" s="158">
        <v>0</v>
      </c>
      <c r="AA27" s="158">
        <v>1026</v>
      </c>
      <c r="AB27" s="158">
        <v>1187</v>
      </c>
      <c r="AC27" s="158">
        <v>0</v>
      </c>
      <c r="AD27" s="158">
        <v>1187</v>
      </c>
      <c r="AE27" s="158">
        <v>1185</v>
      </c>
      <c r="AF27" s="47" t="s">
        <v>90</v>
      </c>
      <c r="AG27" s="47" t="s">
        <v>90</v>
      </c>
      <c r="AH27" s="98" t="s">
        <v>90</v>
      </c>
      <c r="AI27" s="103">
        <v>16032154</v>
      </c>
      <c r="AJ27" s="45">
        <f t="shared" si="7"/>
        <v>1182</v>
      </c>
      <c r="AK27" s="48">
        <f t="shared" si="8"/>
        <v>194.18432725480534</v>
      </c>
      <c r="AL27" s="155">
        <v>0</v>
      </c>
      <c r="AM27" s="155">
        <v>1</v>
      </c>
      <c r="AN27" s="155">
        <v>1</v>
      </c>
      <c r="AO27" s="155">
        <v>0</v>
      </c>
      <c r="AP27" s="155">
        <v>1</v>
      </c>
      <c r="AQ27" s="155">
        <v>1</v>
      </c>
      <c r="AR27" s="155">
        <v>0</v>
      </c>
      <c r="AS27" s="158"/>
      <c r="AT27" s="158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57">
        <v>43245</v>
      </c>
      <c r="B28" s="40">
        <v>2.625</v>
      </c>
      <c r="C28" s="40">
        <v>0.66666666666666696</v>
      </c>
      <c r="D28" s="156">
        <v>3</v>
      </c>
      <c r="E28" s="154">
        <f t="shared" si="2"/>
        <v>2.1126760563380285</v>
      </c>
      <c r="F28" s="154">
        <v>-1</v>
      </c>
      <c r="G28" s="118">
        <v>77</v>
      </c>
      <c r="H28" s="154">
        <f t="shared" si="0"/>
        <v>54.225352112676056</v>
      </c>
      <c r="I28" s="154">
        <v>74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7">
        <v>132</v>
      </c>
      <c r="R28" s="157"/>
      <c r="S28" s="157">
        <v>95634360</v>
      </c>
      <c r="T28" s="45">
        <f t="shared" si="4"/>
        <v>5794</v>
      </c>
      <c r="U28" s="46">
        <f t="shared" si="5"/>
        <v>139.05600000000001</v>
      </c>
      <c r="V28" s="46">
        <f t="shared" si="6"/>
        <v>5.7939999999999996</v>
      </c>
      <c r="W28" s="96">
        <v>4.3</v>
      </c>
      <c r="X28" s="96">
        <f t="shared" si="1"/>
        <v>4.3</v>
      </c>
      <c r="Y28" s="97" t="s">
        <v>169</v>
      </c>
      <c r="Z28" s="158">
        <v>0</v>
      </c>
      <c r="AA28" s="158">
        <v>1026</v>
      </c>
      <c r="AB28" s="158">
        <v>1187</v>
      </c>
      <c r="AC28" s="158">
        <v>0</v>
      </c>
      <c r="AD28" s="158">
        <v>1187</v>
      </c>
      <c r="AE28" s="158">
        <v>1185</v>
      </c>
      <c r="AF28" s="47" t="s">
        <v>90</v>
      </c>
      <c r="AG28" s="47" t="s">
        <v>90</v>
      </c>
      <c r="AH28" s="98" t="s">
        <v>90</v>
      </c>
      <c r="AI28" s="103">
        <v>16033309</v>
      </c>
      <c r="AJ28" s="45">
        <f>IF(ISBLANK(AI28),"-",AI28-AI27)</f>
        <v>1155</v>
      </c>
      <c r="AK28" s="48">
        <f t="shared" si="8"/>
        <v>199.3441491197791</v>
      </c>
      <c r="AL28" s="155">
        <v>0</v>
      </c>
      <c r="AM28" s="155">
        <v>1</v>
      </c>
      <c r="AN28" s="155">
        <v>1</v>
      </c>
      <c r="AO28" s="155">
        <v>0</v>
      </c>
      <c r="AP28" s="155">
        <v>1</v>
      </c>
      <c r="AQ28" s="155">
        <v>1</v>
      </c>
      <c r="AR28" s="155">
        <v>0</v>
      </c>
      <c r="AS28" s="158"/>
      <c r="AT28" s="158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357">
        <v>43245</v>
      </c>
      <c r="B29" s="40">
        <v>2.6666666666666701</v>
      </c>
      <c r="C29" s="40">
        <v>0.70833333333333404</v>
      </c>
      <c r="D29" s="156">
        <v>3</v>
      </c>
      <c r="E29" s="154">
        <f t="shared" si="2"/>
        <v>2.1126760563380285</v>
      </c>
      <c r="F29" s="154">
        <v>-2</v>
      </c>
      <c r="G29" s="118">
        <v>75</v>
      </c>
      <c r="H29" s="154">
        <f t="shared" si="0"/>
        <v>52.816901408450704</v>
      </c>
      <c r="I29" s="154">
        <v>72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7">
        <v>129</v>
      </c>
      <c r="R29" s="157"/>
      <c r="S29" s="157">
        <v>95640219</v>
      </c>
      <c r="T29" s="45">
        <f t="shared" si="4"/>
        <v>5859</v>
      </c>
      <c r="U29" s="46">
        <f t="shared" si="5"/>
        <v>140.61600000000001</v>
      </c>
      <c r="V29" s="46">
        <f t="shared" si="6"/>
        <v>5.859</v>
      </c>
      <c r="W29" s="96">
        <v>3.7</v>
      </c>
      <c r="X29" s="96">
        <f t="shared" si="1"/>
        <v>3.7</v>
      </c>
      <c r="Y29" s="97" t="s">
        <v>169</v>
      </c>
      <c r="Z29" s="158">
        <v>0</v>
      </c>
      <c r="AA29" s="158">
        <v>1027</v>
      </c>
      <c r="AB29" s="158">
        <v>1188</v>
      </c>
      <c r="AC29" s="158">
        <v>0</v>
      </c>
      <c r="AD29" s="158">
        <v>1187</v>
      </c>
      <c r="AE29" s="158">
        <v>1185</v>
      </c>
      <c r="AF29" s="47" t="s">
        <v>90</v>
      </c>
      <c r="AG29" s="47" t="s">
        <v>90</v>
      </c>
      <c r="AH29" s="98" t="s">
        <v>90</v>
      </c>
      <c r="AI29" s="103">
        <v>16034473</v>
      </c>
      <c r="AJ29" s="45">
        <f t="shared" si="7"/>
        <v>1164</v>
      </c>
      <c r="AK29" s="48">
        <f>AJ28/V29</f>
        <v>197.13261648745521</v>
      </c>
      <c r="AL29" s="155">
        <v>0</v>
      </c>
      <c r="AM29" s="155">
        <v>1</v>
      </c>
      <c r="AN29" s="155">
        <v>1</v>
      </c>
      <c r="AO29" s="155">
        <v>0</v>
      </c>
      <c r="AP29" s="155">
        <v>1</v>
      </c>
      <c r="AQ29" s="155">
        <v>1</v>
      </c>
      <c r="AR29" s="155">
        <v>0</v>
      </c>
      <c r="AS29" s="158"/>
      <c r="AT29" s="158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357">
        <v>43245</v>
      </c>
      <c r="B30" s="40">
        <v>2.7083333333333299</v>
      </c>
      <c r="C30" s="40">
        <v>0.750000000000002</v>
      </c>
      <c r="D30" s="156">
        <v>3</v>
      </c>
      <c r="E30" s="154">
        <f t="shared" si="2"/>
        <v>2.1126760563380285</v>
      </c>
      <c r="F30" s="154">
        <v>-3</v>
      </c>
      <c r="G30" s="118">
        <v>75</v>
      </c>
      <c r="H30" s="154">
        <f t="shared" si="0"/>
        <v>52.816901408450704</v>
      </c>
      <c r="I30" s="154">
        <v>72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7">
        <v>128</v>
      </c>
      <c r="R30" s="157"/>
      <c r="S30" s="157">
        <v>95646270</v>
      </c>
      <c r="T30" s="45">
        <f t="shared" si="4"/>
        <v>6051</v>
      </c>
      <c r="U30" s="46">
        <f t="shared" si="5"/>
        <v>145.22399999999999</v>
      </c>
      <c r="V30" s="46">
        <f t="shared" si="6"/>
        <v>6.0510000000000002</v>
      </c>
      <c r="W30" s="96">
        <v>3.3</v>
      </c>
      <c r="X30" s="96">
        <f t="shared" si="1"/>
        <v>3.3</v>
      </c>
      <c r="Y30" s="97" t="s">
        <v>169</v>
      </c>
      <c r="Z30" s="158">
        <v>0</v>
      </c>
      <c r="AA30" s="158">
        <v>1026</v>
      </c>
      <c r="AB30" s="158">
        <v>1186</v>
      </c>
      <c r="AC30" s="158">
        <v>0</v>
      </c>
      <c r="AD30" s="158">
        <v>1186</v>
      </c>
      <c r="AE30" s="158">
        <v>1185</v>
      </c>
      <c r="AF30" s="47" t="s">
        <v>90</v>
      </c>
      <c r="AG30" s="47" t="s">
        <v>90</v>
      </c>
      <c r="AH30" s="98" t="s">
        <v>90</v>
      </c>
      <c r="AI30" s="103">
        <v>16035657</v>
      </c>
      <c r="AJ30" s="45">
        <f t="shared" si="7"/>
        <v>1184</v>
      </c>
      <c r="AK30" s="48">
        <f>AJ29/V30</f>
        <v>192.36489836390678</v>
      </c>
      <c r="AL30" s="155">
        <v>0</v>
      </c>
      <c r="AM30" s="155">
        <v>1</v>
      </c>
      <c r="AN30" s="155">
        <v>1</v>
      </c>
      <c r="AO30" s="155">
        <v>0</v>
      </c>
      <c r="AP30" s="155">
        <v>1</v>
      </c>
      <c r="AQ30" s="155">
        <v>1</v>
      </c>
      <c r="AR30" s="155">
        <v>0</v>
      </c>
      <c r="AS30" s="158"/>
      <c r="AT30" s="158">
        <f t="shared" si="9"/>
        <v>0</v>
      </c>
      <c r="AU30" s="159">
        <v>1.05</v>
      </c>
      <c r="AV30" s="50" t="s">
        <v>124</v>
      </c>
      <c r="AY30" s="55" t="s">
        <v>114</v>
      </c>
      <c r="AZ30" s="55">
        <v>101.325</v>
      </c>
      <c r="BB30" s="74" t="s">
        <v>143</v>
      </c>
    </row>
    <row r="31" spans="1:54" x14ac:dyDescent="0.35">
      <c r="A31" s="357">
        <v>43245</v>
      </c>
      <c r="B31" s="40">
        <v>2.75</v>
      </c>
      <c r="C31" s="40">
        <v>0.79166666666666896</v>
      </c>
      <c r="D31" s="156">
        <v>3</v>
      </c>
      <c r="E31" s="154">
        <f t="shared" si="2"/>
        <v>2.1126760563380285</v>
      </c>
      <c r="F31" s="154">
        <v>-4</v>
      </c>
      <c r="G31" s="118">
        <v>75</v>
      </c>
      <c r="H31" s="154">
        <f t="shared" si="0"/>
        <v>52.816901408450704</v>
      </c>
      <c r="I31" s="154">
        <v>71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7">
        <v>129</v>
      </c>
      <c r="R31" s="157"/>
      <c r="S31" s="157">
        <v>95651931</v>
      </c>
      <c r="T31" s="45">
        <f t="shared" si="4"/>
        <v>5661</v>
      </c>
      <c r="U31" s="46">
        <f t="shared" si="5"/>
        <v>135.864</v>
      </c>
      <c r="V31" s="46">
        <f t="shared" si="6"/>
        <v>5.6609999999999996</v>
      </c>
      <c r="W31" s="96">
        <v>2.9</v>
      </c>
      <c r="X31" s="96">
        <f t="shared" si="1"/>
        <v>2.9</v>
      </c>
      <c r="Y31" s="97" t="s">
        <v>169</v>
      </c>
      <c r="Z31" s="158">
        <v>0</v>
      </c>
      <c r="AA31" s="158">
        <v>1026</v>
      </c>
      <c r="AB31" s="158">
        <v>1187</v>
      </c>
      <c r="AC31" s="158">
        <v>0</v>
      </c>
      <c r="AD31" s="158">
        <v>1187</v>
      </c>
      <c r="AE31" s="158">
        <v>1185</v>
      </c>
      <c r="AF31" s="47" t="s">
        <v>90</v>
      </c>
      <c r="AG31" s="47" t="s">
        <v>90</v>
      </c>
      <c r="AH31" s="98" t="s">
        <v>90</v>
      </c>
      <c r="AI31" s="103">
        <v>16036788</v>
      </c>
      <c r="AJ31" s="45">
        <f t="shared" si="7"/>
        <v>1131</v>
      </c>
      <c r="AK31" s="48">
        <f t="shared" si="8"/>
        <v>199.78802331743509</v>
      </c>
      <c r="AL31" s="155">
        <v>0</v>
      </c>
      <c r="AM31" s="155">
        <v>1</v>
      </c>
      <c r="AN31" s="155">
        <v>1</v>
      </c>
      <c r="AO31" s="155">
        <v>0</v>
      </c>
      <c r="AP31" s="155">
        <v>1</v>
      </c>
      <c r="AQ31" s="155">
        <v>1</v>
      </c>
      <c r="AR31" s="155">
        <v>0</v>
      </c>
      <c r="AS31" s="158"/>
      <c r="AT31" s="158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357">
        <v>43245</v>
      </c>
      <c r="B32" s="40">
        <v>2.7916666666666701</v>
      </c>
      <c r="C32" s="40">
        <v>0.83333333333333703</v>
      </c>
      <c r="D32" s="156">
        <v>3</v>
      </c>
      <c r="E32" s="154">
        <f t="shared" si="2"/>
        <v>2.1126760563380285</v>
      </c>
      <c r="F32" s="154">
        <v>-4</v>
      </c>
      <c r="G32" s="118">
        <v>75</v>
      </c>
      <c r="H32" s="154">
        <f t="shared" si="0"/>
        <v>52.816901408450704</v>
      </c>
      <c r="I32" s="154">
        <v>72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7">
        <v>127</v>
      </c>
      <c r="R32" s="157"/>
      <c r="S32" s="157">
        <v>95657945</v>
      </c>
      <c r="T32" s="45">
        <f t="shared" si="4"/>
        <v>6014</v>
      </c>
      <c r="U32" s="46">
        <f t="shared" si="5"/>
        <v>144.33600000000001</v>
      </c>
      <c r="V32" s="46">
        <f t="shared" si="6"/>
        <v>6.0140000000000002</v>
      </c>
      <c r="W32" s="96">
        <v>2.5</v>
      </c>
      <c r="X32" s="96">
        <f t="shared" si="1"/>
        <v>2.5</v>
      </c>
      <c r="Y32" s="97" t="s">
        <v>169</v>
      </c>
      <c r="Z32" s="158">
        <v>0</v>
      </c>
      <c r="AA32" s="158">
        <v>1025</v>
      </c>
      <c r="AB32" s="158">
        <v>1187</v>
      </c>
      <c r="AC32" s="158">
        <v>0</v>
      </c>
      <c r="AD32" s="158">
        <v>1187</v>
      </c>
      <c r="AE32" s="158">
        <v>1185</v>
      </c>
      <c r="AF32" s="47" t="s">
        <v>90</v>
      </c>
      <c r="AG32" s="47" t="s">
        <v>90</v>
      </c>
      <c r="AH32" s="98" t="s">
        <v>90</v>
      </c>
      <c r="AI32" s="103">
        <v>16037964</v>
      </c>
      <c r="AJ32" s="45">
        <f t="shared" si="7"/>
        <v>1176</v>
      </c>
      <c r="AK32" s="48">
        <f t="shared" si="8"/>
        <v>195.54373129364814</v>
      </c>
      <c r="AL32" s="155">
        <v>0</v>
      </c>
      <c r="AM32" s="155">
        <v>1</v>
      </c>
      <c r="AN32" s="155">
        <v>1</v>
      </c>
      <c r="AO32" s="155">
        <v>0</v>
      </c>
      <c r="AP32" s="155">
        <v>1</v>
      </c>
      <c r="AQ32" s="155">
        <v>1</v>
      </c>
      <c r="AR32" s="155">
        <v>0</v>
      </c>
      <c r="AS32" s="158"/>
      <c r="AT32" s="158">
        <v>0</v>
      </c>
      <c r="AU32" s="49"/>
      <c r="AV32" s="50" t="s">
        <v>124</v>
      </c>
      <c r="AY32" s="308" t="s">
        <v>115</v>
      </c>
      <c r="AZ32" s="308"/>
      <c r="BB32" s="74" t="s">
        <v>156</v>
      </c>
    </row>
    <row r="33" spans="1:54" x14ac:dyDescent="0.35">
      <c r="A33" s="357">
        <v>43245</v>
      </c>
      <c r="B33" s="40">
        <v>2.8333333333333299</v>
      </c>
      <c r="C33" s="40">
        <v>0.875</v>
      </c>
      <c r="D33" s="156">
        <v>3</v>
      </c>
      <c r="E33" s="154">
        <f t="shared" si="2"/>
        <v>2.1126760563380285</v>
      </c>
      <c r="F33" s="154">
        <v>-5</v>
      </c>
      <c r="G33" s="118">
        <v>75</v>
      </c>
      <c r="H33" s="154">
        <f t="shared" si="0"/>
        <v>52.816901408450704</v>
      </c>
      <c r="I33" s="154">
        <v>73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7">
        <v>128</v>
      </c>
      <c r="R33" s="157"/>
      <c r="S33" s="157">
        <v>95663879</v>
      </c>
      <c r="T33" s="45">
        <f t="shared" si="4"/>
        <v>5934</v>
      </c>
      <c r="U33" s="46">
        <f t="shared" si="5"/>
        <v>142.416</v>
      </c>
      <c r="V33" s="46">
        <f t="shared" si="6"/>
        <v>5.9340000000000002</v>
      </c>
      <c r="W33" s="96">
        <v>2.1</v>
      </c>
      <c r="X33" s="96">
        <f t="shared" si="1"/>
        <v>2.1</v>
      </c>
      <c r="Y33" s="97" t="s">
        <v>169</v>
      </c>
      <c r="Z33" s="158">
        <v>0</v>
      </c>
      <c r="AA33" s="158">
        <v>1025</v>
      </c>
      <c r="AB33" s="158">
        <v>1187</v>
      </c>
      <c r="AC33" s="158">
        <v>0</v>
      </c>
      <c r="AD33" s="158">
        <v>1187</v>
      </c>
      <c r="AE33" s="158">
        <v>1185</v>
      </c>
      <c r="AF33" s="47" t="s">
        <v>90</v>
      </c>
      <c r="AG33" s="47" t="s">
        <v>90</v>
      </c>
      <c r="AH33" s="98" t="s">
        <v>90</v>
      </c>
      <c r="AI33" s="103">
        <v>16039123</v>
      </c>
      <c r="AJ33" s="45">
        <f t="shared" si="7"/>
        <v>1159</v>
      </c>
      <c r="AK33" s="48">
        <f t="shared" si="8"/>
        <v>195.31513313110887</v>
      </c>
      <c r="AL33" s="155">
        <v>0</v>
      </c>
      <c r="AM33" s="155">
        <v>1</v>
      </c>
      <c r="AN33" s="155">
        <v>1</v>
      </c>
      <c r="AO33" s="155">
        <v>0</v>
      </c>
      <c r="AP33" s="155">
        <v>1</v>
      </c>
      <c r="AQ33" s="155">
        <v>1</v>
      </c>
      <c r="AR33" s="155">
        <v>0</v>
      </c>
      <c r="AS33" s="158"/>
      <c r="AT33" s="158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57">
        <v>43245</v>
      </c>
      <c r="B34" s="40">
        <v>2.875</v>
      </c>
      <c r="C34" s="40">
        <v>0.91666666666667096</v>
      </c>
      <c r="D34" s="156">
        <v>3</v>
      </c>
      <c r="E34" s="154">
        <f t="shared" si="2"/>
        <v>2.1126760563380285</v>
      </c>
      <c r="F34" s="154">
        <v>-3</v>
      </c>
      <c r="G34" s="118">
        <v>76</v>
      </c>
      <c r="H34" s="154">
        <f t="shared" si="0"/>
        <v>53.521126760563384</v>
      </c>
      <c r="I34" s="154">
        <v>73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7">
        <v>129</v>
      </c>
      <c r="R34" s="157"/>
      <c r="S34" s="157">
        <v>95669972</v>
      </c>
      <c r="T34" s="45">
        <f t="shared" si="4"/>
        <v>6093</v>
      </c>
      <c r="U34" s="46">
        <f t="shared" si="5"/>
        <v>146.232</v>
      </c>
      <c r="V34" s="46">
        <f t="shared" si="6"/>
        <v>6.093</v>
      </c>
      <c r="W34" s="96">
        <v>1.8</v>
      </c>
      <c r="X34" s="96">
        <f t="shared" si="1"/>
        <v>1.8</v>
      </c>
      <c r="Y34" s="97" t="s">
        <v>169</v>
      </c>
      <c r="Z34" s="158">
        <v>0</v>
      </c>
      <c r="AA34" s="158">
        <v>1025</v>
      </c>
      <c r="AB34" s="158">
        <v>1187</v>
      </c>
      <c r="AC34" s="158">
        <v>0</v>
      </c>
      <c r="AD34" s="158">
        <v>1187</v>
      </c>
      <c r="AE34" s="158">
        <v>1185</v>
      </c>
      <c r="AF34" s="47" t="s">
        <v>90</v>
      </c>
      <c r="AG34" s="47" t="s">
        <v>90</v>
      </c>
      <c r="AH34" s="98" t="s">
        <v>90</v>
      </c>
      <c r="AI34" s="103">
        <v>16040318</v>
      </c>
      <c r="AJ34" s="45">
        <f t="shared" si="7"/>
        <v>1195</v>
      </c>
      <c r="AK34" s="48">
        <f t="shared" si="8"/>
        <v>196.12670277367471</v>
      </c>
      <c r="AL34" s="155">
        <v>0</v>
      </c>
      <c r="AM34" s="155">
        <v>1</v>
      </c>
      <c r="AN34" s="155">
        <v>1</v>
      </c>
      <c r="AO34" s="155">
        <v>0</v>
      </c>
      <c r="AP34" s="155">
        <v>1</v>
      </c>
      <c r="AQ34" s="155">
        <v>1</v>
      </c>
      <c r="AR34" s="155">
        <v>0</v>
      </c>
      <c r="AS34" s="158"/>
      <c r="AT34" s="158">
        <f>AS34-AS33</f>
        <v>0</v>
      </c>
      <c r="AU34" s="119">
        <v>1.01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357">
        <v>43245</v>
      </c>
      <c r="B35" s="40">
        <v>2.9166666666666701</v>
      </c>
      <c r="C35" s="40">
        <v>0.95833333333333803</v>
      </c>
      <c r="D35" s="156">
        <v>3</v>
      </c>
      <c r="E35" s="154">
        <f t="shared" si="2"/>
        <v>2.1126760563380285</v>
      </c>
      <c r="F35" s="154">
        <v>-1</v>
      </c>
      <c r="G35" s="118">
        <v>72</v>
      </c>
      <c r="H35" s="154">
        <f t="shared" si="0"/>
        <v>50.70422535211268</v>
      </c>
      <c r="I35" s="154">
        <v>71</v>
      </c>
      <c r="J35" s="41" t="s">
        <v>88</v>
      </c>
      <c r="K35" s="41">
        <f>L35-(2/1.42)</f>
        <v>45.774647887323944</v>
      </c>
      <c r="L35" s="42">
        <f>(G35-5)/1.42</f>
        <v>47.183098591549296</v>
      </c>
      <c r="M35" s="41">
        <f t="shared" si="12"/>
        <v>51.408450704225352</v>
      </c>
      <c r="N35" s="43">
        <v>14</v>
      </c>
      <c r="O35" s="44" t="s">
        <v>116</v>
      </c>
      <c r="P35" s="44">
        <v>11.9</v>
      </c>
      <c r="Q35" s="157">
        <v>138</v>
      </c>
      <c r="R35" s="157"/>
      <c r="S35" s="157">
        <v>95675938</v>
      </c>
      <c r="T35" s="45">
        <f t="shared" si="4"/>
        <v>5966</v>
      </c>
      <c r="U35" s="46">
        <f t="shared" si="5"/>
        <v>143.184</v>
      </c>
      <c r="V35" s="46">
        <f t="shared" si="6"/>
        <v>5.9660000000000002</v>
      </c>
      <c r="W35" s="96">
        <v>2</v>
      </c>
      <c r="X35" s="96">
        <f t="shared" si="1"/>
        <v>2</v>
      </c>
      <c r="Y35" s="97" t="s">
        <v>138</v>
      </c>
      <c r="Z35" s="158">
        <v>0</v>
      </c>
      <c r="AA35" s="158">
        <v>0</v>
      </c>
      <c r="AB35" s="158">
        <v>1187</v>
      </c>
      <c r="AC35" s="158">
        <v>0</v>
      </c>
      <c r="AD35" s="158">
        <v>1187</v>
      </c>
      <c r="AE35" s="158">
        <v>1185</v>
      </c>
      <c r="AF35" s="47" t="s">
        <v>90</v>
      </c>
      <c r="AG35" s="47" t="s">
        <v>90</v>
      </c>
      <c r="AH35" s="98" t="s">
        <v>90</v>
      </c>
      <c r="AI35" s="103">
        <v>16041426</v>
      </c>
      <c r="AJ35" s="45">
        <f t="shared" si="7"/>
        <v>1108</v>
      </c>
      <c r="AK35" s="48">
        <f t="shared" si="8"/>
        <v>185.71907475695608</v>
      </c>
      <c r="AL35" s="155">
        <v>0</v>
      </c>
      <c r="AM35" s="155">
        <v>0</v>
      </c>
      <c r="AN35" s="155">
        <v>1</v>
      </c>
      <c r="AO35" s="155">
        <v>0</v>
      </c>
      <c r="AP35" s="155">
        <v>1</v>
      </c>
      <c r="AQ35" s="155">
        <v>1</v>
      </c>
      <c r="AR35" s="155">
        <v>0.3</v>
      </c>
      <c r="AS35" s="158"/>
      <c r="AT35" s="158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357">
        <v>43245</v>
      </c>
      <c r="B36" s="40">
        <v>2.9583333333333299</v>
      </c>
      <c r="C36" s="40">
        <v>1</v>
      </c>
      <c r="D36" s="156" t="s">
        <v>179</v>
      </c>
      <c r="E36" s="154" t="e">
        <f t="shared" si="2"/>
        <v>#VALUE!</v>
      </c>
      <c r="F36" s="154">
        <v>1</v>
      </c>
      <c r="G36" s="118">
        <v>75</v>
      </c>
      <c r="H36" s="154">
        <f t="shared" si="0"/>
        <v>52.816901408450704</v>
      </c>
      <c r="I36" s="154">
        <v>73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7" t="s">
        <v>179</v>
      </c>
      <c r="R36" s="157"/>
      <c r="S36" s="157">
        <v>95682001</v>
      </c>
      <c r="T36" s="45">
        <f t="shared" si="4"/>
        <v>6063</v>
      </c>
      <c r="U36" s="46">
        <f t="shared" si="5"/>
        <v>145.512</v>
      </c>
      <c r="V36" s="46">
        <f t="shared" si="6"/>
        <v>6.0629999999999997</v>
      </c>
      <c r="W36" s="96">
        <v>2.6</v>
      </c>
      <c r="X36" s="96">
        <f t="shared" si="1"/>
        <v>2.6</v>
      </c>
      <c r="Y36" s="97" t="s">
        <v>138</v>
      </c>
      <c r="Z36" s="158">
        <v>0</v>
      </c>
      <c r="AA36" s="158">
        <v>0</v>
      </c>
      <c r="AB36" s="158">
        <v>1187</v>
      </c>
      <c r="AC36" s="158">
        <v>0</v>
      </c>
      <c r="AD36" s="158">
        <v>1187</v>
      </c>
      <c r="AE36" s="158">
        <v>1185</v>
      </c>
      <c r="AF36" s="47" t="s">
        <v>90</v>
      </c>
      <c r="AG36" s="47" t="s">
        <v>90</v>
      </c>
      <c r="AH36" s="98" t="s">
        <v>90</v>
      </c>
      <c r="AI36" s="103">
        <v>16042618</v>
      </c>
      <c r="AJ36" s="45">
        <f t="shared" si="7"/>
        <v>1192</v>
      </c>
      <c r="AK36" s="48">
        <f t="shared" si="8"/>
        <v>196.60234207488043</v>
      </c>
      <c r="AL36" s="155">
        <v>0</v>
      </c>
      <c r="AM36" s="155">
        <v>0</v>
      </c>
      <c r="AN36" s="155">
        <v>1</v>
      </c>
      <c r="AO36" s="155">
        <v>0</v>
      </c>
      <c r="AP36" s="155">
        <v>1</v>
      </c>
      <c r="AQ36" s="155">
        <v>1</v>
      </c>
      <c r="AR36" s="155">
        <v>0.3</v>
      </c>
      <c r="AS36" s="158"/>
      <c r="AT36" s="158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73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09" t="s">
        <v>118</v>
      </c>
      <c r="O37" s="310"/>
      <c r="P37" s="311"/>
      <c r="Q37" s="101"/>
      <c r="R37" s="101"/>
      <c r="S37" s="101"/>
      <c r="T37" s="60">
        <f>SUM(T13:T36)</f>
        <v>123661</v>
      </c>
      <c r="U37" s="46">
        <f t="shared" si="5"/>
        <v>2967.864</v>
      </c>
      <c r="V37" s="46">
        <f t="shared" si="6"/>
        <v>123.661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27691</v>
      </c>
      <c r="AK37" s="61">
        <f>$AJ$37/$V37</f>
        <v>223.92670284083098</v>
      </c>
      <c r="AL37" s="155"/>
      <c r="AM37" s="155"/>
      <c r="AN37" s="155"/>
      <c r="AO37" s="155"/>
      <c r="AP37" s="155"/>
      <c r="AQ37" s="155"/>
      <c r="AR37" s="62"/>
      <c r="AS37" s="63">
        <f>AS36-AS11</f>
        <v>0</v>
      </c>
      <c r="AT37" s="64">
        <f>SUM(AT13:AT36)</f>
        <v>0</v>
      </c>
      <c r="AU37" s="65">
        <f>AVERAGE(AU13:AU36)</f>
        <v>0.97000000000000008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7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8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8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284" t="s">
        <v>262</v>
      </c>
      <c r="C47" s="164"/>
      <c r="D47" s="164"/>
      <c r="E47" s="164"/>
      <c r="F47" s="164"/>
      <c r="G47" s="164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71" t="s">
        <v>263</v>
      </c>
      <c r="C48" s="172"/>
      <c r="D48" s="172"/>
      <c r="E48" s="172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139</v>
      </c>
      <c r="C49" s="170"/>
      <c r="D49" s="170"/>
      <c r="E49" s="170"/>
      <c r="F49" s="161"/>
      <c r="G49" s="161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71" t="s">
        <v>248</v>
      </c>
      <c r="C50" s="143"/>
      <c r="D50" s="143"/>
      <c r="E50" s="143"/>
      <c r="F50" s="130"/>
      <c r="G50" s="130"/>
      <c r="H50" s="160"/>
      <c r="I50" s="160"/>
      <c r="J50" s="160"/>
      <c r="K50" s="160"/>
      <c r="L50" s="160"/>
      <c r="M50" s="160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210</v>
      </c>
      <c r="B51" s="132" t="s">
        <v>152</v>
      </c>
      <c r="C51" s="143"/>
      <c r="D51" s="143"/>
      <c r="E51" s="143"/>
      <c r="F51" s="130"/>
      <c r="G51" s="130"/>
      <c r="H51" s="160"/>
      <c r="I51" s="160"/>
      <c r="J51" s="160"/>
      <c r="K51" s="160"/>
      <c r="L51" s="160"/>
      <c r="M51" s="160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163</v>
      </c>
      <c r="C52" s="120"/>
      <c r="D52" s="115"/>
      <c r="E52" s="115"/>
      <c r="F52" s="115"/>
      <c r="G52" s="115"/>
      <c r="H52" s="160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15" t="s">
        <v>264</v>
      </c>
      <c r="C53" s="170"/>
      <c r="D53" s="170"/>
      <c r="E53" s="170"/>
      <c r="F53" s="170"/>
      <c r="G53" s="115"/>
      <c r="H53" s="115"/>
      <c r="I53" s="115"/>
      <c r="J53" s="115"/>
      <c r="K53" s="115"/>
      <c r="L53" s="115"/>
      <c r="M53" s="115"/>
      <c r="N53" s="163"/>
      <c r="O53" s="163"/>
      <c r="P53" s="163"/>
      <c r="Q53" s="163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32" t="s">
        <v>265</v>
      </c>
      <c r="C54" s="153"/>
      <c r="D54" s="170"/>
      <c r="E54" s="170"/>
      <c r="F54" s="170"/>
      <c r="G54" s="170"/>
      <c r="H54" s="170"/>
      <c r="I54" s="170"/>
      <c r="J54" s="169"/>
      <c r="K54" s="166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166</v>
      </c>
      <c r="C55" s="115"/>
      <c r="D55" s="170"/>
      <c r="E55" s="153"/>
      <c r="F55" s="153"/>
      <c r="G55" s="153"/>
      <c r="H55" s="153"/>
      <c r="I55" s="153"/>
      <c r="J55" s="169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170</v>
      </c>
      <c r="C56" s="115"/>
      <c r="D56" s="170"/>
      <c r="E56" s="153"/>
      <c r="F56" s="153"/>
      <c r="G56" s="153"/>
      <c r="H56" s="153"/>
      <c r="I56" s="153"/>
      <c r="J56" s="153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32" t="s">
        <v>171</v>
      </c>
      <c r="C57" s="170"/>
      <c r="D57" s="170"/>
      <c r="E57" s="153"/>
      <c r="F57" s="153"/>
      <c r="G57" s="153"/>
      <c r="H57" s="153"/>
      <c r="I57" s="153"/>
      <c r="J57" s="153"/>
      <c r="K57" s="166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172</v>
      </c>
      <c r="C58" s="170"/>
      <c r="D58" s="170"/>
      <c r="E58" s="115"/>
      <c r="F58" s="115"/>
      <c r="G58" s="115"/>
      <c r="H58" s="115"/>
      <c r="I58" s="153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3" t="s">
        <v>266</v>
      </c>
      <c r="C59" s="170"/>
      <c r="D59" s="170"/>
      <c r="E59" s="153"/>
      <c r="F59" s="153"/>
      <c r="G59" s="153"/>
      <c r="H59" s="153"/>
      <c r="I59" s="153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32" t="s">
        <v>174</v>
      </c>
      <c r="C60" s="170"/>
      <c r="D60" s="223"/>
      <c r="E60" s="223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62" t="s">
        <v>195</v>
      </c>
      <c r="C61" s="153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32"/>
      <c r="C62" s="115"/>
      <c r="D62" s="100"/>
      <c r="E62" s="100"/>
      <c r="F62" s="115"/>
      <c r="G62" s="115"/>
      <c r="H62" s="92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6"/>
      <c r="E63" s="166"/>
      <c r="F63" s="166"/>
      <c r="G63" s="166"/>
      <c r="H63" s="166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53"/>
      <c r="C64" s="115"/>
      <c r="D64" s="100"/>
      <c r="E64" s="100"/>
      <c r="F64" s="115"/>
      <c r="G64" s="115"/>
      <c r="H64" s="92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6"/>
      <c r="E65" s="166"/>
      <c r="F65" s="166"/>
      <c r="G65" s="166"/>
      <c r="H65" s="166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AV65" s="86"/>
      <c r="AW65" s="86"/>
      <c r="AX65" s="86"/>
      <c r="AY65" s="86"/>
      <c r="AZ65" s="86"/>
      <c r="BA65" s="86"/>
      <c r="BB65" s="86"/>
    </row>
    <row r="66" spans="2:54" x14ac:dyDescent="0.35">
      <c r="B66" s="162"/>
      <c r="C66" s="115"/>
      <c r="D66" s="166"/>
      <c r="E66" s="166"/>
      <c r="F66" s="166"/>
      <c r="G66" s="166"/>
      <c r="H66" s="166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6"/>
      <c r="E67" s="166"/>
      <c r="F67" s="166"/>
      <c r="G67" s="166"/>
      <c r="H67" s="166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Q13:Q36 S13:S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3" name="Range1_16_1_1_1_1_1_1_2_2_2_2_2_2_2_2_2_2_2_2_2_2_2_2_2_2_2_2_2_2_2_1_2_2_2_2_2_2_2_2_2_2_3_2_2_2_2_2_2_2_2_2_2_1_1_1_1_2_2_1_1_1_1_1_1_1_1_1_1_1_1_1_1_3_1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B53" name="Range2_12_5_1_1_1_2_1_1_1_1_1_1_1_1_1_1_1_2_1_1_1_1_1_1_1_1_1_1_1_1_1_1_1_1_1_1_1_1_1_1_2_1_1_1_1_1_1_1_1_1_1_1_2_1_1_1_1_2_1_1_1_1_1_1_1_1_1_1_1_2_1_1_1_1_1_1_1_1_1_1_1_1_1_1_3_1_1_1_1_2_1_1_1_1_1_1_1_2_1_1_1_1_1_1_1_1_1_1_1_1_1_1_1_1_1_1_1_1_1_1_1_1__6"/>
    <protectedRange sqref="B54" name="Range2_12_5_1_1_1_2_1_1_1_1_1_1_1_1_1_1_1_2_1_1_1_1_1_1_1_1_1_1_1_1_1_1_1_1_1_1_1_1_1_1_2_1_1_1_1_1_1_1_1_1_1_1_2_1_1_1_1_2_1_1_1_1_1_1_1_1_1_1_1_2_1_1_1_1_1_1_1_1_1_1_1_1_1_1_3_1_1_1_1_2_1_1_1_1_1_1_1_2_1_1_1_1_1_1_1_1_1_1_1_1_1_1_1_1_1_1_1_1_1_1_1_1__5"/>
    <protectedRange sqref="R4:W4" name="Range1_16_1_1_1_1_1_1_2_2_2_2_2_2_2_2_2_2_2_2_2_2_2_2_2_2_2_2_2_2_2_1_2_2_2_2_2_2_2_2_2_2_3_2_2_2_2_2_2_2_2_2_2_1_1_1_1_2_2_1_1_1_1_1_1_1_1_1_1_1_1_1_1_2_1_2_1_1_1_1_1_2"/>
    <protectedRange sqref="R5:W5" name="Range1_16_1_1_1_1_1_1_2_2_2_2_2_2_2_2_2_2_2_2_2_2_2_2_2_2_2_2_2_2_2_1_2_2_2_2_2_2_2_2_2_2_3_2_2_2_2_2_2_2_2_2_2_1_1_1_1_2_2_1_1_1_1_1_1_1_1_1_1_3_1_3_2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118" priority="5" operator="containsText" text="N/A">
      <formula>NOT(ISERROR(SEARCH("N/A",Z13)))</formula>
    </cfRule>
    <cfRule type="cellIs" dxfId="117" priority="17" operator="equal">
      <formula>0</formula>
    </cfRule>
  </conditionalFormatting>
  <conditionalFormatting sqref="Z13:AG36">
    <cfRule type="cellIs" dxfId="116" priority="16" operator="greaterThanOrEqual">
      <formula>1185</formula>
    </cfRule>
  </conditionalFormatting>
  <conditionalFormatting sqref="Z13:AG36">
    <cfRule type="cellIs" dxfId="115" priority="15" operator="between">
      <formula>0.1</formula>
      <formula>1184</formula>
    </cfRule>
  </conditionalFormatting>
  <conditionalFormatting sqref="Z8:Z9 AT13:AT36 AL37:AQ37 AL13:AR36">
    <cfRule type="cellIs" dxfId="114" priority="14" operator="equal">
      <formula>0</formula>
    </cfRule>
  </conditionalFormatting>
  <conditionalFormatting sqref="Z8:Z9 AT13:AT36 AL37:AQ37 AL13:AR36">
    <cfRule type="cellIs" dxfId="113" priority="13" operator="greaterThan">
      <formula>1179</formula>
    </cfRule>
  </conditionalFormatting>
  <conditionalFormatting sqref="Z8:Z9 AT13:AT36 AL37:AQ37 AL13:AR36">
    <cfRule type="cellIs" dxfId="112" priority="12" operator="greaterThan">
      <formula>99</formula>
    </cfRule>
  </conditionalFormatting>
  <conditionalFormatting sqref="Z8:Z9 AT13:AT36 AL37:AQ37 AL13:AR36">
    <cfRule type="cellIs" dxfId="111" priority="11" operator="greaterThan">
      <formula>0.99</formula>
    </cfRule>
  </conditionalFormatting>
  <conditionalFormatting sqref="AD8:AD9">
    <cfRule type="cellIs" dxfId="110" priority="10" operator="equal">
      <formula>0</formula>
    </cfRule>
  </conditionalFormatting>
  <conditionalFormatting sqref="AD8:AD9">
    <cfRule type="cellIs" dxfId="109" priority="9" operator="greaterThan">
      <formula>1179</formula>
    </cfRule>
  </conditionalFormatting>
  <conditionalFormatting sqref="AD8:AD9">
    <cfRule type="cellIs" dxfId="108" priority="8" operator="greaterThan">
      <formula>99</formula>
    </cfRule>
  </conditionalFormatting>
  <conditionalFormatting sqref="AD8:AD9">
    <cfRule type="cellIs" dxfId="107" priority="7" operator="greaterThan">
      <formula>0.99</formula>
    </cfRule>
  </conditionalFormatting>
  <conditionalFormatting sqref="AK13:AK36">
    <cfRule type="cellIs" dxfId="106" priority="6" operator="greaterThan">
      <formula>$AK$8</formula>
    </cfRule>
  </conditionalFormatting>
  <conditionalFormatting sqref="AS13:AS36">
    <cfRule type="containsText" dxfId="105" priority="1" operator="containsText" text="N/A">
      <formula>NOT(ISERROR(SEARCH("N/A",AS13)))</formula>
    </cfRule>
    <cfRule type="cellIs" dxfId="104" priority="4" operator="equal">
      <formula>0</formula>
    </cfRule>
  </conditionalFormatting>
  <conditionalFormatting sqref="AS13:AS36">
    <cfRule type="cellIs" dxfId="103" priority="3" operator="greaterThanOrEqual">
      <formula>1185</formula>
    </cfRule>
  </conditionalFormatting>
  <conditionalFormatting sqref="AS13:AS36">
    <cfRule type="cellIs" dxfId="102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800-000000000000}">
      <formula1>$BB$11:$BB$42</formula1>
    </dataValidation>
    <dataValidation type="list" allowBlank="1" showInputMessage="1" showErrorMessage="1" sqref="AY33:AZ33" xr:uid="{00000000-0002-0000-1800-000001000000}">
      <formula1>$AY$26:$AY$30</formula1>
    </dataValidation>
    <dataValidation type="list" allowBlank="1" showInputMessage="1" showErrorMessage="1" sqref="AS8:AT9 P11:P12 N11:N12 D8:E9 Q8:V9" xr:uid="{00000000-0002-0000-1800-000002000000}">
      <formula1>#REF!</formula1>
    </dataValidation>
    <dataValidation type="list" allowBlank="1" showInputMessage="1" showErrorMessage="1" sqref="J13:J36" xr:uid="{00000000-0002-0000-1800-000003000000}">
      <formula1>$AY$11:$AY$21</formula1>
    </dataValidation>
  </dataValidations>
  <hyperlinks>
    <hyperlink ref="J10:J11" location="'1'!AH8" display="Plant Status" xr:uid="{00000000-0004-0000-1800-000000000000}"/>
  </hyperlinks>
  <pageMargins left="0.7" right="0.7" top="0.75" bottom="0.75" header="0.3" footer="0.3"/>
  <pageSetup paperSize="9" orientation="portrait" horizontalDpi="429496729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>
    <tabColor rgb="FF7030A0"/>
  </sheetPr>
  <dimension ref="A2:BB88"/>
  <sheetViews>
    <sheetView topLeftCell="A49" zoomScaleNormal="100" workbookViewId="0">
      <selection activeCell="B56" sqref="B56:B5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47" t="s">
        <v>157</v>
      </c>
      <c r="S3" s="348"/>
      <c r="T3" s="348"/>
      <c r="U3" s="348"/>
      <c r="V3" s="348"/>
      <c r="W3" s="34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47" t="s">
        <v>155</v>
      </c>
      <c r="S4" s="348"/>
      <c r="T4" s="348"/>
      <c r="U4" s="348"/>
      <c r="V4" s="348"/>
      <c r="W4" s="34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47" t="s">
        <v>158</v>
      </c>
      <c r="S5" s="348"/>
      <c r="T5" s="348"/>
      <c r="U5" s="348"/>
      <c r="V5" s="348"/>
      <c r="W5" s="34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50" t="s">
        <v>6</v>
      </c>
      <c r="C6" s="351"/>
      <c r="D6" s="352" t="s">
        <v>7</v>
      </c>
      <c r="E6" s="353"/>
      <c r="F6" s="353"/>
      <c r="G6" s="353"/>
      <c r="H6" s="353"/>
      <c r="I6" s="353"/>
      <c r="J6" s="354"/>
      <c r="K6" s="87"/>
      <c r="L6" s="87"/>
      <c r="M6" s="273"/>
      <c r="N6" s="355">
        <v>41686</v>
      </c>
      <c r="O6" s="356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37" t="s">
        <v>8</v>
      </c>
      <c r="C7" s="338"/>
      <c r="D7" s="337" t="s">
        <v>9</v>
      </c>
      <c r="E7" s="339"/>
      <c r="F7" s="339"/>
      <c r="G7" s="339"/>
      <c r="H7" s="339"/>
      <c r="I7" s="338"/>
      <c r="J7" s="278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78" t="s">
        <v>14</v>
      </c>
      <c r="R7" s="337" t="s">
        <v>15</v>
      </c>
      <c r="S7" s="339"/>
      <c r="T7" s="339"/>
      <c r="U7" s="339"/>
      <c r="V7" s="338"/>
      <c r="W7" s="337" t="s">
        <v>16</v>
      </c>
      <c r="X7" s="338"/>
      <c r="Y7" s="99" t="s">
        <v>17</v>
      </c>
      <c r="Z7" s="337" t="s">
        <v>18</v>
      </c>
      <c r="AA7" s="338"/>
      <c r="AB7" s="337" t="s">
        <v>19</v>
      </c>
      <c r="AC7" s="338"/>
      <c r="AD7" s="337" t="s">
        <v>20</v>
      </c>
      <c r="AE7" s="338"/>
      <c r="AF7" s="337" t="s">
        <v>21</v>
      </c>
      <c r="AG7" s="338"/>
      <c r="AH7" s="99" t="s">
        <v>22</v>
      </c>
      <c r="AI7" s="99" t="s">
        <v>23</v>
      </c>
      <c r="AJ7" s="99" t="s">
        <v>24</v>
      </c>
      <c r="AK7" s="99" t="s">
        <v>25</v>
      </c>
      <c r="AL7" s="337" t="s">
        <v>26</v>
      </c>
      <c r="AM7" s="339"/>
      <c r="AN7" s="339"/>
      <c r="AO7" s="339"/>
      <c r="AP7" s="339"/>
      <c r="AQ7" s="338"/>
      <c r="AR7" s="337" t="s">
        <v>27</v>
      </c>
      <c r="AS7" s="339"/>
      <c r="AT7" s="33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40">
        <v>43246</v>
      </c>
      <c r="C8" s="341"/>
      <c r="D8" s="342" t="s">
        <v>29</v>
      </c>
      <c r="E8" s="343"/>
      <c r="F8" s="343"/>
      <c r="G8" s="343"/>
      <c r="H8" s="343"/>
      <c r="I8" s="344"/>
      <c r="J8" s="28"/>
      <c r="K8" s="342" t="s">
        <v>29</v>
      </c>
      <c r="L8" s="343"/>
      <c r="M8" s="34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42" t="s">
        <v>33</v>
      </c>
      <c r="X8" s="344"/>
      <c r="Y8" s="30" t="s">
        <v>34</v>
      </c>
      <c r="Z8" s="326">
        <v>0</v>
      </c>
      <c r="AA8" s="327"/>
      <c r="AB8" s="345" t="s">
        <v>35</v>
      </c>
      <c r="AC8" s="346"/>
      <c r="AD8" s="326">
        <v>1185</v>
      </c>
      <c r="AE8" s="327"/>
      <c r="AF8" s="328">
        <v>800</v>
      </c>
      <c r="AG8" s="329"/>
      <c r="AH8" s="28"/>
      <c r="AI8" s="30">
        <f>AI36-AI11</f>
        <v>27631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79"/>
      <c r="C9" s="280"/>
      <c r="D9" s="281"/>
      <c r="E9" s="282"/>
      <c r="F9" s="282"/>
      <c r="G9" s="282"/>
      <c r="H9" s="282"/>
      <c r="I9" s="283"/>
      <c r="J9" s="121"/>
      <c r="K9" s="281"/>
      <c r="L9" s="282"/>
      <c r="M9" s="283"/>
      <c r="N9" s="29"/>
      <c r="O9" s="29"/>
      <c r="P9" s="29"/>
      <c r="Q9" s="121"/>
      <c r="R9" s="121"/>
      <c r="S9" s="121"/>
      <c r="T9" s="122"/>
      <c r="U9" s="123"/>
      <c r="V9" s="124"/>
      <c r="W9" s="281"/>
      <c r="X9" s="283"/>
      <c r="Y9" s="30"/>
      <c r="Z9" s="276"/>
      <c r="AA9" s="125"/>
      <c r="AB9" s="126"/>
      <c r="AC9" s="126"/>
      <c r="AD9" s="125"/>
      <c r="AE9" s="125"/>
      <c r="AF9" s="127"/>
      <c r="AG9" s="277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30" t="s">
        <v>39</v>
      </c>
      <c r="C10" s="331"/>
      <c r="D10" s="330" t="s">
        <v>40</v>
      </c>
      <c r="E10" s="332"/>
      <c r="F10" s="331"/>
      <c r="G10" s="330" t="s">
        <v>41</v>
      </c>
      <c r="H10" s="332"/>
      <c r="I10" s="331"/>
      <c r="J10" s="333" t="s">
        <v>42</v>
      </c>
      <c r="K10" s="330" t="s">
        <v>43</v>
      </c>
      <c r="L10" s="332"/>
      <c r="M10" s="331"/>
      <c r="N10" s="99" t="s">
        <v>44</v>
      </c>
      <c r="O10" s="335" t="s">
        <v>45</v>
      </c>
      <c r="P10" s="33" t="s">
        <v>46</v>
      </c>
      <c r="Q10" s="324" t="s">
        <v>47</v>
      </c>
      <c r="R10" s="324" t="s">
        <v>48</v>
      </c>
      <c r="S10" s="34" t="s">
        <v>49</v>
      </c>
      <c r="T10" s="312" t="s">
        <v>50</v>
      </c>
      <c r="U10" s="313"/>
      <c r="V10" s="314"/>
      <c r="W10" s="274" t="s">
        <v>51</v>
      </c>
      <c r="X10" s="274" t="s">
        <v>52</v>
      </c>
      <c r="Y10" s="318" t="s">
        <v>53</v>
      </c>
      <c r="Z10" s="319" t="s">
        <v>54</v>
      </c>
      <c r="AA10" s="320"/>
      <c r="AB10" s="320"/>
      <c r="AC10" s="320"/>
      <c r="AD10" s="320"/>
      <c r="AE10" s="320"/>
      <c r="AF10" s="320"/>
      <c r="AG10" s="321"/>
      <c r="AH10" s="272" t="s">
        <v>55</v>
      </c>
      <c r="AI10" s="272" t="s">
        <v>56</v>
      </c>
      <c r="AJ10" s="307" t="s">
        <v>57</v>
      </c>
      <c r="AK10" s="322" t="s">
        <v>58</v>
      </c>
      <c r="AL10" s="274" t="s">
        <v>59</v>
      </c>
      <c r="AM10" s="274" t="s">
        <v>60</v>
      </c>
      <c r="AN10" s="274" t="s">
        <v>61</v>
      </c>
      <c r="AO10" s="274" t="s">
        <v>62</v>
      </c>
      <c r="AP10" s="274" t="s">
        <v>63</v>
      </c>
      <c r="AQ10" s="274" t="s">
        <v>123</v>
      </c>
      <c r="AR10" s="274" t="s">
        <v>64</v>
      </c>
      <c r="AS10" s="274" t="s">
        <v>65</v>
      </c>
      <c r="AT10" s="324" t="s">
        <v>66</v>
      </c>
      <c r="AU10" s="274" t="s">
        <v>67</v>
      </c>
      <c r="AV10" s="30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74" t="s">
        <v>72</v>
      </c>
      <c r="C11" s="274" t="s">
        <v>73</v>
      </c>
      <c r="D11" s="274" t="s">
        <v>74</v>
      </c>
      <c r="E11" s="274" t="s">
        <v>75</v>
      </c>
      <c r="F11" s="274" t="s">
        <v>126</v>
      </c>
      <c r="G11" s="274" t="s">
        <v>74</v>
      </c>
      <c r="H11" s="274" t="s">
        <v>75</v>
      </c>
      <c r="I11" s="274" t="s">
        <v>126</v>
      </c>
      <c r="J11" s="334"/>
      <c r="K11" s="274" t="s">
        <v>75</v>
      </c>
      <c r="L11" s="274" t="s">
        <v>75</v>
      </c>
      <c r="M11" s="274" t="s">
        <v>75</v>
      </c>
      <c r="N11" s="28" t="s">
        <v>29</v>
      </c>
      <c r="O11" s="336"/>
      <c r="P11" s="28" t="s">
        <v>29</v>
      </c>
      <c r="Q11" s="325"/>
      <c r="R11" s="325"/>
      <c r="S11" s="1">
        <f>'MAY 25'!S36</f>
        <v>95682001</v>
      </c>
      <c r="T11" s="315"/>
      <c r="U11" s="316"/>
      <c r="V11" s="317"/>
      <c r="W11" s="274" t="s">
        <v>75</v>
      </c>
      <c r="X11" s="274" t="s">
        <v>75</v>
      </c>
      <c r="Y11" s="31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'MAY 25'!AI36</f>
        <v>16042618</v>
      </c>
      <c r="AJ11" s="307"/>
      <c r="AK11" s="323"/>
      <c r="AL11" s="274" t="s">
        <v>84</v>
      </c>
      <c r="AM11" s="274" t="s">
        <v>84</v>
      </c>
      <c r="AN11" s="274" t="s">
        <v>84</v>
      </c>
      <c r="AO11" s="274" t="s">
        <v>84</v>
      </c>
      <c r="AP11" s="274" t="s">
        <v>84</v>
      </c>
      <c r="AQ11" s="274" t="s">
        <v>84</v>
      </c>
      <c r="AR11" s="274" t="s">
        <v>84</v>
      </c>
      <c r="AS11" s="1"/>
      <c r="AT11" s="325"/>
      <c r="AU11" s="275" t="s">
        <v>85</v>
      </c>
      <c r="AV11" s="307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283</v>
      </c>
      <c r="B12" s="305" t="s">
        <v>284</v>
      </c>
      <c r="C12" s="305" t="s">
        <v>285</v>
      </c>
      <c r="D12" s="305" t="s">
        <v>286</v>
      </c>
      <c r="E12" s="305" t="s">
        <v>287</v>
      </c>
      <c r="F12" s="305" t="s">
        <v>288</v>
      </c>
      <c r="G12" s="305" t="s">
        <v>289</v>
      </c>
      <c r="H12" s="305" t="s">
        <v>290</v>
      </c>
      <c r="I12" s="305" t="s">
        <v>291</v>
      </c>
      <c r="J12" s="297" t="s">
        <v>292</v>
      </c>
      <c r="K12" s="305" t="s">
        <v>293</v>
      </c>
      <c r="L12" s="305" t="s">
        <v>294</v>
      </c>
      <c r="M12" s="305" t="s">
        <v>295</v>
      </c>
      <c r="N12" s="28" t="s">
        <v>296</v>
      </c>
      <c r="O12" s="298" t="s">
        <v>297</v>
      </c>
      <c r="P12" s="28" t="s">
        <v>298</v>
      </c>
      <c r="Q12" s="300" t="s">
        <v>299</v>
      </c>
      <c r="R12" s="300" t="s">
        <v>300</v>
      </c>
      <c r="S12" s="1" t="s">
        <v>301</v>
      </c>
      <c r="T12" s="302" t="s">
        <v>302</v>
      </c>
      <c r="U12" s="303" t="s">
        <v>303</v>
      </c>
      <c r="V12" s="304" t="s">
        <v>304</v>
      </c>
      <c r="W12" s="305" t="s">
        <v>305</v>
      </c>
      <c r="X12" s="305" t="s">
        <v>306</v>
      </c>
      <c r="Y12" s="305" t="s">
        <v>307</v>
      </c>
      <c r="Z12" s="37" t="s">
        <v>308</v>
      </c>
      <c r="AA12" s="37" t="s">
        <v>309</v>
      </c>
      <c r="AB12" s="37" t="s">
        <v>310</v>
      </c>
      <c r="AC12" s="37" t="s">
        <v>311</v>
      </c>
      <c r="AD12" s="37" t="s">
        <v>312</v>
      </c>
      <c r="AE12" s="37" t="s">
        <v>313</v>
      </c>
      <c r="AF12" s="37" t="s">
        <v>314</v>
      </c>
      <c r="AG12" s="37" t="s">
        <v>315</v>
      </c>
      <c r="AH12" s="38" t="s">
        <v>316</v>
      </c>
      <c r="AI12" s="1" t="s">
        <v>317</v>
      </c>
      <c r="AJ12" s="301" t="s">
        <v>318</v>
      </c>
      <c r="AK12" s="306" t="s">
        <v>319</v>
      </c>
      <c r="AL12" s="305" t="s">
        <v>320</v>
      </c>
      <c r="AM12" s="305" t="s">
        <v>321</v>
      </c>
      <c r="AN12" s="305" t="s">
        <v>322</v>
      </c>
      <c r="AO12" s="305" t="s">
        <v>323</v>
      </c>
      <c r="AP12" s="305" t="s">
        <v>324</v>
      </c>
      <c r="AQ12" s="305" t="s">
        <v>325</v>
      </c>
      <c r="AR12" s="305" t="s">
        <v>326</v>
      </c>
      <c r="AS12" s="1" t="s">
        <v>327</v>
      </c>
      <c r="AT12" s="300" t="s">
        <v>328</v>
      </c>
      <c r="AU12" s="299" t="s">
        <v>329</v>
      </c>
      <c r="AV12" s="301"/>
      <c r="AY12" s="39"/>
      <c r="AZ12" s="39"/>
      <c r="BB12" s="136"/>
    </row>
    <row r="13" spans="1:54" x14ac:dyDescent="0.35">
      <c r="A13" s="357">
        <v>43246</v>
      </c>
      <c r="B13" s="40">
        <v>2</v>
      </c>
      <c r="C13" s="40">
        <v>4.1666666666666664E-2</v>
      </c>
      <c r="D13" s="156">
        <v>3</v>
      </c>
      <c r="E13" s="154">
        <f>D13/1.42</f>
        <v>2.1126760563380285</v>
      </c>
      <c r="F13" s="154">
        <v>2</v>
      </c>
      <c r="G13" s="118">
        <v>69</v>
      </c>
      <c r="H13" s="154">
        <f t="shared" ref="H13:H36" si="0">G13/1.42</f>
        <v>48.591549295774648</v>
      </c>
      <c r="I13" s="154">
        <v>69</v>
      </c>
      <c r="J13" s="41" t="s">
        <v>88</v>
      </c>
      <c r="K13" s="41">
        <f>L13-(2/1.42)</f>
        <v>43.661971830985919</v>
      </c>
      <c r="L13" s="42">
        <f>(G13-5)/1.42</f>
        <v>45.070422535211272</v>
      </c>
      <c r="M13" s="41">
        <f>L13+(6/1.42)</f>
        <v>49.295774647887328</v>
      </c>
      <c r="N13" s="43">
        <v>14</v>
      </c>
      <c r="O13" s="44" t="s">
        <v>89</v>
      </c>
      <c r="P13" s="44">
        <v>11.4</v>
      </c>
      <c r="Q13" s="157">
        <v>145</v>
      </c>
      <c r="R13" s="157"/>
      <c r="S13" s="157">
        <v>95686239</v>
      </c>
      <c r="T13" s="45">
        <f>IF(ISBLANK(S13),"-",S13-S11)</f>
        <v>4238</v>
      </c>
      <c r="U13" s="46">
        <f>T13*24/1000</f>
        <v>101.712</v>
      </c>
      <c r="V13" s="46">
        <f>T13/1000</f>
        <v>4.2380000000000004</v>
      </c>
      <c r="W13" s="96">
        <v>4</v>
      </c>
      <c r="X13" s="96">
        <f t="shared" ref="X13:X36" si="1">W13</f>
        <v>4</v>
      </c>
      <c r="Y13" s="97" t="s">
        <v>138</v>
      </c>
      <c r="Z13" s="158">
        <v>0</v>
      </c>
      <c r="AA13" s="158">
        <v>0</v>
      </c>
      <c r="AB13" s="158">
        <v>1187</v>
      </c>
      <c r="AC13" s="158">
        <v>0</v>
      </c>
      <c r="AD13" s="158">
        <v>1187</v>
      </c>
      <c r="AE13" s="158">
        <v>1185</v>
      </c>
      <c r="AF13" s="47" t="s">
        <v>90</v>
      </c>
      <c r="AG13" s="47" t="s">
        <v>90</v>
      </c>
      <c r="AH13" s="98" t="s">
        <v>90</v>
      </c>
      <c r="AI13" s="103">
        <v>16043606</v>
      </c>
      <c r="AJ13" s="45">
        <f>IF(ISBLANK(AI13),"-",AI13-AI11)</f>
        <v>988</v>
      </c>
      <c r="AK13" s="48">
        <f>AJ13/V13</f>
        <v>233.12883435582819</v>
      </c>
      <c r="AL13" s="155">
        <v>0</v>
      </c>
      <c r="AM13" s="155">
        <v>0</v>
      </c>
      <c r="AN13" s="155">
        <v>1</v>
      </c>
      <c r="AO13" s="155">
        <v>0</v>
      </c>
      <c r="AP13" s="155">
        <v>1</v>
      </c>
      <c r="AQ13" s="155">
        <v>1</v>
      </c>
      <c r="AR13" s="155">
        <v>0.8</v>
      </c>
      <c r="AS13" s="158"/>
      <c r="AT13" s="158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357">
        <v>43246</v>
      </c>
      <c r="B14" s="40">
        <v>2.0416666666666701</v>
      </c>
      <c r="C14" s="40">
        <v>8.3333333333333329E-2</v>
      </c>
      <c r="D14" s="156">
        <v>3</v>
      </c>
      <c r="E14" s="154">
        <f t="shared" ref="E14:E36" si="2">D14/1.42</f>
        <v>2.1126760563380285</v>
      </c>
      <c r="F14" s="154">
        <v>3</v>
      </c>
      <c r="G14" s="118">
        <v>70</v>
      </c>
      <c r="H14" s="154">
        <f t="shared" si="0"/>
        <v>49.295774647887328</v>
      </c>
      <c r="I14" s="154">
        <v>70</v>
      </c>
      <c r="J14" s="41" t="s">
        <v>88</v>
      </c>
      <c r="K14" s="41">
        <f t="shared" ref="K14:K36" si="3">L14-(2/1.42)</f>
        <v>44.366197183098592</v>
      </c>
      <c r="L14" s="42">
        <f>(G14-5)/1.42</f>
        <v>45.774647887323944</v>
      </c>
      <c r="M14" s="41">
        <f>L14+(6/1.42)</f>
        <v>50</v>
      </c>
      <c r="N14" s="43">
        <v>14</v>
      </c>
      <c r="O14" s="44" t="s">
        <v>89</v>
      </c>
      <c r="P14" s="44">
        <v>11.2</v>
      </c>
      <c r="Q14" s="157">
        <v>146</v>
      </c>
      <c r="R14" s="157"/>
      <c r="S14" s="157">
        <v>95691177</v>
      </c>
      <c r="T14" s="45">
        <f t="shared" ref="T14:T36" si="4">IF(ISBLANK(S14),"-",S14-S13)</f>
        <v>4938</v>
      </c>
      <c r="U14" s="46">
        <f t="shared" ref="U14:U37" si="5">T14*24/1000</f>
        <v>118.512</v>
      </c>
      <c r="V14" s="46">
        <f t="shared" ref="V14:V37" si="6">T14/1000</f>
        <v>4.9379999999999997</v>
      </c>
      <c r="W14" s="96">
        <v>5.3</v>
      </c>
      <c r="X14" s="96">
        <f t="shared" si="1"/>
        <v>5.3</v>
      </c>
      <c r="Y14" s="97" t="s">
        <v>138</v>
      </c>
      <c r="Z14" s="158">
        <v>0</v>
      </c>
      <c r="AA14" s="158">
        <v>0</v>
      </c>
      <c r="AB14" s="158">
        <v>1187</v>
      </c>
      <c r="AC14" s="158">
        <v>0</v>
      </c>
      <c r="AD14" s="158">
        <v>1187</v>
      </c>
      <c r="AE14" s="158">
        <v>1185</v>
      </c>
      <c r="AF14" s="47" t="s">
        <v>90</v>
      </c>
      <c r="AG14" s="47" t="s">
        <v>90</v>
      </c>
      <c r="AH14" s="98" t="s">
        <v>90</v>
      </c>
      <c r="AI14" s="103">
        <v>16044742</v>
      </c>
      <c r="AJ14" s="45">
        <f t="shared" ref="AJ14:AJ36" si="7">IF(ISBLANK(AI14),"-",AI14-AI13)</f>
        <v>1136</v>
      </c>
      <c r="AK14" s="48">
        <f t="shared" ref="AK14:AK36" si="8">AJ14/V14</f>
        <v>230.05265289590929</v>
      </c>
      <c r="AL14" s="155">
        <v>0</v>
      </c>
      <c r="AM14" s="155">
        <v>0</v>
      </c>
      <c r="AN14" s="155">
        <v>1</v>
      </c>
      <c r="AO14" s="155">
        <v>0</v>
      </c>
      <c r="AP14" s="155">
        <v>1</v>
      </c>
      <c r="AQ14" s="155">
        <v>1</v>
      </c>
      <c r="AR14" s="155">
        <v>0.8</v>
      </c>
      <c r="AS14" s="158"/>
      <c r="AT14" s="158">
        <f t="shared" ref="AT14:AT35" si="9">AS14-AS13</f>
        <v>0</v>
      </c>
      <c r="AU14" s="119">
        <v>0.97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57">
        <v>43246</v>
      </c>
      <c r="B15" s="40">
        <v>2.0833333333333299</v>
      </c>
      <c r="C15" s="40">
        <v>0.125</v>
      </c>
      <c r="D15" s="156">
        <v>3</v>
      </c>
      <c r="E15" s="154">
        <f t="shared" si="2"/>
        <v>2.1126760563380285</v>
      </c>
      <c r="F15" s="154">
        <v>5</v>
      </c>
      <c r="G15" s="118">
        <v>71</v>
      </c>
      <c r="H15" s="154">
        <f t="shared" si="0"/>
        <v>50</v>
      </c>
      <c r="I15" s="154">
        <v>70</v>
      </c>
      <c r="J15" s="41" t="s">
        <v>88</v>
      </c>
      <c r="K15" s="41">
        <f t="shared" si="3"/>
        <v>45.070422535211272</v>
      </c>
      <c r="L15" s="42">
        <f>(G15-5)/1.42</f>
        <v>46.478873239436624</v>
      </c>
      <c r="M15" s="41">
        <f>L15+(6/1.42)</f>
        <v>50.70422535211268</v>
      </c>
      <c r="N15" s="43">
        <v>14</v>
      </c>
      <c r="O15" s="44" t="s">
        <v>89</v>
      </c>
      <c r="P15" s="44">
        <v>11.2</v>
      </c>
      <c r="Q15" s="157">
        <v>146</v>
      </c>
      <c r="R15" s="157"/>
      <c r="S15" s="157">
        <v>95696296</v>
      </c>
      <c r="T15" s="45">
        <f>IF(ISBLANK(S15),"-",S15-S14)</f>
        <v>5119</v>
      </c>
      <c r="U15" s="46">
        <f t="shared" si="5"/>
        <v>122.85599999999999</v>
      </c>
      <c r="V15" s="46">
        <f t="shared" si="6"/>
        <v>5.1189999999999998</v>
      </c>
      <c r="W15" s="96">
        <v>6.9</v>
      </c>
      <c r="X15" s="96">
        <f t="shared" si="1"/>
        <v>6.9</v>
      </c>
      <c r="Y15" s="97" t="s">
        <v>138</v>
      </c>
      <c r="Z15" s="158">
        <v>0</v>
      </c>
      <c r="AA15" s="158">
        <v>0</v>
      </c>
      <c r="AB15" s="158">
        <v>1187</v>
      </c>
      <c r="AC15" s="158">
        <v>0</v>
      </c>
      <c r="AD15" s="158">
        <v>1187</v>
      </c>
      <c r="AE15" s="158">
        <v>1185</v>
      </c>
      <c r="AF15" s="47" t="s">
        <v>90</v>
      </c>
      <c r="AG15" s="47" t="s">
        <v>90</v>
      </c>
      <c r="AH15" s="98" t="s">
        <v>90</v>
      </c>
      <c r="AI15" s="103">
        <v>16045883</v>
      </c>
      <c r="AJ15" s="45">
        <f t="shared" si="7"/>
        <v>1141</v>
      </c>
      <c r="AK15" s="48">
        <f t="shared" si="8"/>
        <v>222.89509669857395</v>
      </c>
      <c r="AL15" s="155">
        <v>0</v>
      </c>
      <c r="AM15" s="155">
        <v>0</v>
      </c>
      <c r="AN15" s="155">
        <v>1</v>
      </c>
      <c r="AO15" s="155">
        <v>0</v>
      </c>
      <c r="AP15" s="155">
        <v>1</v>
      </c>
      <c r="AQ15" s="155">
        <v>1</v>
      </c>
      <c r="AR15" s="155">
        <v>0.8</v>
      </c>
      <c r="AS15" s="158"/>
      <c r="AT15" s="158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357">
        <v>43246</v>
      </c>
      <c r="B16" s="40">
        <v>2.125</v>
      </c>
      <c r="C16" s="40">
        <v>0.16666666666666699</v>
      </c>
      <c r="D16" s="156" t="s">
        <v>179</v>
      </c>
      <c r="E16" s="154" t="e">
        <f t="shared" si="2"/>
        <v>#VALUE!</v>
      </c>
      <c r="F16" s="154">
        <v>6</v>
      </c>
      <c r="G16" s="118">
        <v>71</v>
      </c>
      <c r="H16" s="154">
        <f t="shared" si="0"/>
        <v>50</v>
      </c>
      <c r="I16" s="154">
        <v>70</v>
      </c>
      <c r="J16" s="41" t="s">
        <v>88</v>
      </c>
      <c r="K16" s="41">
        <f t="shared" si="3"/>
        <v>45.070422535211272</v>
      </c>
      <c r="L16" s="42">
        <f>(G16-5)/1.42</f>
        <v>46.478873239436624</v>
      </c>
      <c r="M16" s="41">
        <f>L16+(6/1.42)</f>
        <v>50.70422535211268</v>
      </c>
      <c r="N16" s="43">
        <v>14</v>
      </c>
      <c r="O16" s="44" t="s">
        <v>89</v>
      </c>
      <c r="P16" s="44">
        <v>12.8</v>
      </c>
      <c r="Q16" s="157" t="s">
        <v>179</v>
      </c>
      <c r="R16" s="157"/>
      <c r="S16" s="157">
        <v>95701014</v>
      </c>
      <c r="T16" s="45">
        <f t="shared" si="4"/>
        <v>4718</v>
      </c>
      <c r="U16" s="46">
        <f t="shared" si="5"/>
        <v>113.232</v>
      </c>
      <c r="V16" s="46">
        <f t="shared" si="6"/>
        <v>4.718</v>
      </c>
      <c r="W16" s="96">
        <v>8.4</v>
      </c>
      <c r="X16" s="96">
        <f t="shared" si="1"/>
        <v>8.4</v>
      </c>
      <c r="Y16" s="97" t="s">
        <v>138</v>
      </c>
      <c r="Z16" s="158">
        <v>0</v>
      </c>
      <c r="AA16" s="158">
        <v>0</v>
      </c>
      <c r="AB16" s="158">
        <v>1187</v>
      </c>
      <c r="AC16" s="158">
        <v>0</v>
      </c>
      <c r="AD16" s="158">
        <v>1187</v>
      </c>
      <c r="AE16" s="158">
        <v>1185</v>
      </c>
      <c r="AF16" s="47" t="s">
        <v>90</v>
      </c>
      <c r="AG16" s="47" t="s">
        <v>90</v>
      </c>
      <c r="AH16" s="98" t="s">
        <v>90</v>
      </c>
      <c r="AI16" s="103">
        <v>16046994</v>
      </c>
      <c r="AJ16" s="45">
        <f t="shared" si="7"/>
        <v>1111</v>
      </c>
      <c r="AK16" s="48">
        <f t="shared" si="8"/>
        <v>235.48113607460789</v>
      </c>
      <c r="AL16" s="155">
        <v>0</v>
      </c>
      <c r="AM16" s="155">
        <v>0</v>
      </c>
      <c r="AN16" s="155">
        <v>1</v>
      </c>
      <c r="AO16" s="155">
        <v>0</v>
      </c>
      <c r="AP16" s="155">
        <v>1</v>
      </c>
      <c r="AQ16" s="155">
        <v>1</v>
      </c>
      <c r="AR16" s="155">
        <v>0.8</v>
      </c>
      <c r="AS16" s="158"/>
      <c r="AT16" s="158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357">
        <v>43246</v>
      </c>
      <c r="B17" s="40">
        <v>2.1666666666666701</v>
      </c>
      <c r="C17" s="40">
        <v>0.20833333333333301</v>
      </c>
      <c r="D17" s="156" t="s">
        <v>179</v>
      </c>
      <c r="E17" s="154" t="e">
        <f t="shared" si="2"/>
        <v>#VALUE!</v>
      </c>
      <c r="F17" s="154">
        <v>7</v>
      </c>
      <c r="G17" s="118">
        <v>82</v>
      </c>
      <c r="H17" s="154">
        <f t="shared" si="0"/>
        <v>57.74647887323944</v>
      </c>
      <c r="I17" s="154">
        <v>78</v>
      </c>
      <c r="J17" s="41" t="s">
        <v>88</v>
      </c>
      <c r="K17" s="41">
        <f t="shared" si="3"/>
        <v>52.816901408450704</v>
      </c>
      <c r="L17" s="42">
        <f>(G17-5)/1.42</f>
        <v>54.225352112676056</v>
      </c>
      <c r="M17" s="41">
        <f>L17+(6/1.42)</f>
        <v>58.450704225352112</v>
      </c>
      <c r="N17" s="43">
        <v>18</v>
      </c>
      <c r="O17" s="44" t="s">
        <v>89</v>
      </c>
      <c r="P17" s="44">
        <v>13.1</v>
      </c>
      <c r="Q17" s="157" t="s">
        <v>179</v>
      </c>
      <c r="R17" s="157"/>
      <c r="S17" s="157">
        <v>95705720</v>
      </c>
      <c r="T17" s="45">
        <f t="shared" si="4"/>
        <v>4706</v>
      </c>
      <c r="U17" s="46">
        <f t="shared" si="5"/>
        <v>112.944</v>
      </c>
      <c r="V17" s="46">
        <f t="shared" si="6"/>
        <v>4.7060000000000004</v>
      </c>
      <c r="W17" s="96">
        <v>9.5</v>
      </c>
      <c r="X17" s="96">
        <f t="shared" si="1"/>
        <v>9.5</v>
      </c>
      <c r="Y17" s="97" t="s">
        <v>138</v>
      </c>
      <c r="Z17" s="158">
        <v>0</v>
      </c>
      <c r="AA17" s="158">
        <v>0</v>
      </c>
      <c r="AB17" s="158">
        <v>1187</v>
      </c>
      <c r="AC17" s="158">
        <v>0</v>
      </c>
      <c r="AD17" s="158">
        <v>1187</v>
      </c>
      <c r="AE17" s="158">
        <v>1185</v>
      </c>
      <c r="AF17" s="47" t="s">
        <v>90</v>
      </c>
      <c r="AG17" s="47" t="s">
        <v>90</v>
      </c>
      <c r="AH17" s="98" t="s">
        <v>90</v>
      </c>
      <c r="AI17" s="103">
        <v>16048077</v>
      </c>
      <c r="AJ17" s="45">
        <f t="shared" si="7"/>
        <v>1083</v>
      </c>
      <c r="AK17" s="48">
        <f t="shared" si="8"/>
        <v>230.13174670633231</v>
      </c>
      <c r="AL17" s="155">
        <v>0</v>
      </c>
      <c r="AM17" s="155">
        <v>0</v>
      </c>
      <c r="AN17" s="155">
        <v>1</v>
      </c>
      <c r="AO17" s="155">
        <v>0</v>
      </c>
      <c r="AP17" s="155">
        <v>1</v>
      </c>
      <c r="AQ17" s="155">
        <v>1</v>
      </c>
      <c r="AR17" s="155">
        <v>0</v>
      </c>
      <c r="AS17" s="158"/>
      <c r="AT17" s="158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57">
        <v>43246</v>
      </c>
      <c r="B18" s="40">
        <v>2.2083333333333299</v>
      </c>
      <c r="C18" s="40">
        <v>0.25</v>
      </c>
      <c r="D18" s="156" t="s">
        <v>179</v>
      </c>
      <c r="E18" s="154" t="e">
        <f t="shared" si="2"/>
        <v>#VALUE!</v>
      </c>
      <c r="F18" s="154">
        <v>8</v>
      </c>
      <c r="G18" s="118">
        <v>79</v>
      </c>
      <c r="H18" s="154">
        <f t="shared" si="0"/>
        <v>55.633802816901408</v>
      </c>
      <c r="I18" s="154">
        <v>77</v>
      </c>
      <c r="J18" s="41" t="s">
        <v>88</v>
      </c>
      <c r="K18" s="41">
        <f t="shared" si="3"/>
        <v>54.225352112676056</v>
      </c>
      <c r="L18" s="42">
        <f t="shared" ref="L18:L27" si="10">G18/1.42</f>
        <v>55.633802816901408</v>
      </c>
      <c r="M18" s="41">
        <f>L18+1.42</f>
        <v>57.05380281690141</v>
      </c>
      <c r="N18" s="43">
        <v>19</v>
      </c>
      <c r="O18" s="44" t="s">
        <v>100</v>
      </c>
      <c r="P18" s="44">
        <v>13.1</v>
      </c>
      <c r="Q18" s="157" t="s">
        <v>179</v>
      </c>
      <c r="R18" s="157"/>
      <c r="S18" s="157">
        <v>95710755</v>
      </c>
      <c r="T18" s="45">
        <f t="shared" si="4"/>
        <v>5035</v>
      </c>
      <c r="U18" s="46">
        <f t="shared" si="5"/>
        <v>120.84</v>
      </c>
      <c r="V18" s="46">
        <f t="shared" si="6"/>
        <v>5.0350000000000001</v>
      </c>
      <c r="W18" s="96">
        <v>9.5</v>
      </c>
      <c r="X18" s="96">
        <f t="shared" si="1"/>
        <v>9.5</v>
      </c>
      <c r="Y18" s="97" t="s">
        <v>138</v>
      </c>
      <c r="Z18" s="158">
        <v>0</v>
      </c>
      <c r="AA18" s="158">
        <v>0</v>
      </c>
      <c r="AB18" s="158">
        <v>1187</v>
      </c>
      <c r="AC18" s="158">
        <v>0</v>
      </c>
      <c r="AD18" s="158">
        <v>1187</v>
      </c>
      <c r="AE18" s="158">
        <v>1185</v>
      </c>
      <c r="AF18" s="47" t="s">
        <v>90</v>
      </c>
      <c r="AG18" s="47" t="s">
        <v>90</v>
      </c>
      <c r="AH18" s="98" t="s">
        <v>90</v>
      </c>
      <c r="AI18" s="103">
        <v>16049226</v>
      </c>
      <c r="AJ18" s="45">
        <f t="shared" si="7"/>
        <v>1149</v>
      </c>
      <c r="AK18" s="48">
        <f t="shared" si="8"/>
        <v>228.2025819265144</v>
      </c>
      <c r="AL18" s="155">
        <v>0</v>
      </c>
      <c r="AM18" s="155">
        <v>0</v>
      </c>
      <c r="AN18" s="155">
        <v>1</v>
      </c>
      <c r="AO18" s="155">
        <v>0</v>
      </c>
      <c r="AP18" s="155">
        <v>1</v>
      </c>
      <c r="AQ18" s="155">
        <v>1</v>
      </c>
      <c r="AR18" s="155">
        <v>0</v>
      </c>
      <c r="AS18" s="158"/>
      <c r="AT18" s="158">
        <f t="shared" si="9"/>
        <v>0</v>
      </c>
      <c r="AU18" s="119">
        <v>1.05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57">
        <v>43246</v>
      </c>
      <c r="B19" s="40">
        <v>2.25</v>
      </c>
      <c r="C19" s="40">
        <v>0.29166666666666669</v>
      </c>
      <c r="D19" s="156">
        <v>3</v>
      </c>
      <c r="E19" s="154">
        <f t="shared" si="2"/>
        <v>2.1126760563380285</v>
      </c>
      <c r="F19" s="154">
        <v>8</v>
      </c>
      <c r="G19" s="118">
        <v>77</v>
      </c>
      <c r="H19" s="154">
        <f t="shared" si="0"/>
        <v>54.225352112676056</v>
      </c>
      <c r="I19" s="154">
        <v>75</v>
      </c>
      <c r="J19" s="41" t="s">
        <v>88</v>
      </c>
      <c r="K19" s="41">
        <f t="shared" si="3"/>
        <v>52.816901408450704</v>
      </c>
      <c r="L19" s="42">
        <f t="shared" si="10"/>
        <v>54.225352112676056</v>
      </c>
      <c r="M19" s="41">
        <f>L19+1.42</f>
        <v>55.645352112676058</v>
      </c>
      <c r="N19" s="43">
        <v>19</v>
      </c>
      <c r="O19" s="44" t="s">
        <v>100</v>
      </c>
      <c r="P19" s="44">
        <v>16.7</v>
      </c>
      <c r="Q19" s="157">
        <v>140</v>
      </c>
      <c r="R19" s="157"/>
      <c r="S19" s="157">
        <v>95716080</v>
      </c>
      <c r="T19" s="45">
        <f t="shared" si="4"/>
        <v>5325</v>
      </c>
      <c r="U19" s="46">
        <f t="shared" si="5"/>
        <v>127.8</v>
      </c>
      <c r="V19" s="46">
        <f t="shared" si="6"/>
        <v>5.3250000000000002</v>
      </c>
      <c r="W19" s="96">
        <v>9.5</v>
      </c>
      <c r="X19" s="96">
        <f t="shared" si="1"/>
        <v>9.5</v>
      </c>
      <c r="Y19" s="97" t="s">
        <v>138</v>
      </c>
      <c r="Z19" s="158">
        <v>0</v>
      </c>
      <c r="AA19" s="158">
        <v>0</v>
      </c>
      <c r="AB19" s="158">
        <v>1187</v>
      </c>
      <c r="AC19" s="158">
        <v>0</v>
      </c>
      <c r="AD19" s="158">
        <v>1187</v>
      </c>
      <c r="AE19" s="158">
        <v>1185</v>
      </c>
      <c r="AF19" s="47" t="s">
        <v>90</v>
      </c>
      <c r="AG19" s="47" t="s">
        <v>90</v>
      </c>
      <c r="AH19" s="98" t="s">
        <v>90</v>
      </c>
      <c r="AI19" s="103">
        <v>16050346</v>
      </c>
      <c r="AJ19" s="45">
        <f t="shared" si="7"/>
        <v>1120</v>
      </c>
      <c r="AK19" s="48">
        <f t="shared" si="8"/>
        <v>210.32863849765258</v>
      </c>
      <c r="AL19" s="155">
        <v>0</v>
      </c>
      <c r="AM19" s="155">
        <v>0</v>
      </c>
      <c r="AN19" s="155">
        <v>1</v>
      </c>
      <c r="AO19" s="155">
        <v>0</v>
      </c>
      <c r="AP19" s="155">
        <v>1</v>
      </c>
      <c r="AQ19" s="155">
        <v>1</v>
      </c>
      <c r="AR19" s="155">
        <v>0</v>
      </c>
      <c r="AS19" s="158"/>
      <c r="AT19" s="158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57">
        <v>43246</v>
      </c>
      <c r="B20" s="40">
        <v>2.2916666666666701</v>
      </c>
      <c r="C20" s="40">
        <v>0.33333333333333298</v>
      </c>
      <c r="D20" s="156">
        <v>3</v>
      </c>
      <c r="E20" s="154">
        <f t="shared" si="2"/>
        <v>2.1126760563380285</v>
      </c>
      <c r="F20" s="154">
        <v>6</v>
      </c>
      <c r="G20" s="118">
        <v>79</v>
      </c>
      <c r="H20" s="154">
        <f t="shared" si="0"/>
        <v>55.633802816901408</v>
      </c>
      <c r="I20" s="154">
        <v>77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7">
        <v>130</v>
      </c>
      <c r="R20" s="157"/>
      <c r="S20" s="157">
        <v>95721555</v>
      </c>
      <c r="T20" s="45">
        <f t="shared" si="4"/>
        <v>5475</v>
      </c>
      <c r="U20" s="46">
        <f>T20*24/1000</f>
        <v>131.4</v>
      </c>
      <c r="V20" s="46">
        <f t="shared" si="6"/>
        <v>5.4749999999999996</v>
      </c>
      <c r="W20" s="96">
        <v>9.1</v>
      </c>
      <c r="X20" s="96">
        <f t="shared" si="1"/>
        <v>9.1</v>
      </c>
      <c r="Y20" s="97" t="s">
        <v>169</v>
      </c>
      <c r="Z20" s="158">
        <v>1027</v>
      </c>
      <c r="AA20" s="158">
        <v>0</v>
      </c>
      <c r="AB20" s="158">
        <v>1187</v>
      </c>
      <c r="AC20" s="158">
        <v>0</v>
      </c>
      <c r="AD20" s="158">
        <v>1187</v>
      </c>
      <c r="AE20" s="158">
        <v>1185</v>
      </c>
      <c r="AF20" s="47" t="s">
        <v>90</v>
      </c>
      <c r="AG20" s="47" t="s">
        <v>90</v>
      </c>
      <c r="AH20" s="98" t="s">
        <v>90</v>
      </c>
      <c r="AI20" s="103">
        <v>16051508</v>
      </c>
      <c r="AJ20" s="45">
        <f t="shared" si="7"/>
        <v>1162</v>
      </c>
      <c r="AK20" s="48">
        <f t="shared" si="8"/>
        <v>212.23744292237444</v>
      </c>
      <c r="AL20" s="155">
        <v>1</v>
      </c>
      <c r="AM20" s="155">
        <v>0</v>
      </c>
      <c r="AN20" s="155">
        <v>1</v>
      </c>
      <c r="AO20" s="155">
        <v>0</v>
      </c>
      <c r="AP20" s="155">
        <v>1</v>
      </c>
      <c r="AQ20" s="155">
        <v>1</v>
      </c>
      <c r="AR20" s="155">
        <v>0</v>
      </c>
      <c r="AS20" s="158"/>
      <c r="AT20" s="158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357">
        <v>43246</v>
      </c>
      <c r="B21" s="40">
        <v>2.3333333333333299</v>
      </c>
      <c r="C21" s="40">
        <v>0.375</v>
      </c>
      <c r="D21" s="156" t="s">
        <v>179</v>
      </c>
      <c r="E21" s="154" t="e">
        <f t="shared" si="2"/>
        <v>#VALUE!</v>
      </c>
      <c r="F21" s="154">
        <v>5</v>
      </c>
      <c r="G21" s="118">
        <v>77</v>
      </c>
      <c r="H21" s="154">
        <f t="shared" si="0"/>
        <v>54.225352112676056</v>
      </c>
      <c r="I21" s="154">
        <v>75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7" t="s">
        <v>179</v>
      </c>
      <c r="R21" s="157"/>
      <c r="S21" s="157">
        <v>95726218</v>
      </c>
      <c r="T21" s="45">
        <f t="shared" si="4"/>
        <v>4663</v>
      </c>
      <c r="U21" s="46">
        <f t="shared" si="5"/>
        <v>111.91200000000001</v>
      </c>
      <c r="V21" s="46">
        <f t="shared" si="6"/>
        <v>4.6630000000000003</v>
      </c>
      <c r="W21" s="96">
        <v>8.4</v>
      </c>
      <c r="X21" s="96">
        <f t="shared" si="1"/>
        <v>8.4</v>
      </c>
      <c r="Y21" s="97" t="s">
        <v>169</v>
      </c>
      <c r="Z21" s="158">
        <v>1027</v>
      </c>
      <c r="AA21" s="158">
        <v>0</v>
      </c>
      <c r="AB21" s="158">
        <v>1187</v>
      </c>
      <c r="AC21" s="158">
        <v>0</v>
      </c>
      <c r="AD21" s="158">
        <v>1187</v>
      </c>
      <c r="AE21" s="158">
        <v>1185</v>
      </c>
      <c r="AF21" s="47" t="s">
        <v>90</v>
      </c>
      <c r="AG21" s="47" t="s">
        <v>90</v>
      </c>
      <c r="AH21" s="98" t="s">
        <v>90</v>
      </c>
      <c r="AI21" s="103">
        <v>16052737</v>
      </c>
      <c r="AJ21" s="45">
        <f t="shared" si="7"/>
        <v>1229</v>
      </c>
      <c r="AK21" s="48">
        <f t="shared" si="8"/>
        <v>263.56422903710057</v>
      </c>
      <c r="AL21" s="155">
        <v>1</v>
      </c>
      <c r="AM21" s="155">
        <v>0</v>
      </c>
      <c r="AN21" s="155">
        <v>1</v>
      </c>
      <c r="AO21" s="155">
        <v>0</v>
      </c>
      <c r="AP21" s="155">
        <v>1</v>
      </c>
      <c r="AQ21" s="155">
        <v>1</v>
      </c>
      <c r="AR21" s="155">
        <v>0</v>
      </c>
      <c r="AS21" s="158"/>
      <c r="AT21" s="158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205</v>
      </c>
    </row>
    <row r="22" spans="1:54" x14ac:dyDescent="0.35">
      <c r="A22" s="357">
        <v>43246</v>
      </c>
      <c r="B22" s="40">
        <v>2.375</v>
      </c>
      <c r="C22" s="40">
        <v>0.41666666666666669</v>
      </c>
      <c r="D22" s="156">
        <v>3</v>
      </c>
      <c r="E22" s="154">
        <f t="shared" si="2"/>
        <v>2.1126760563380285</v>
      </c>
      <c r="F22" s="154">
        <v>5</v>
      </c>
      <c r="G22" s="118">
        <v>76</v>
      </c>
      <c r="H22" s="154">
        <f t="shared" si="0"/>
        <v>53.521126760563384</v>
      </c>
      <c r="I22" s="154">
        <v>73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7">
        <v>131</v>
      </c>
      <c r="R22" s="157"/>
      <c r="S22" s="157">
        <v>95729888</v>
      </c>
      <c r="T22" s="45">
        <f t="shared" si="4"/>
        <v>3670</v>
      </c>
      <c r="U22" s="46">
        <f t="shared" si="5"/>
        <v>88.08</v>
      </c>
      <c r="V22" s="46">
        <f t="shared" si="6"/>
        <v>3.67</v>
      </c>
      <c r="W22" s="96">
        <v>7.8</v>
      </c>
      <c r="X22" s="96">
        <f t="shared" si="1"/>
        <v>7.8</v>
      </c>
      <c r="Y22" s="97" t="s">
        <v>169</v>
      </c>
      <c r="Z22" s="158">
        <v>1028</v>
      </c>
      <c r="AA22" s="158">
        <v>0</v>
      </c>
      <c r="AB22" s="158">
        <v>1187</v>
      </c>
      <c r="AC22" s="158">
        <v>0</v>
      </c>
      <c r="AD22" s="158">
        <v>1187</v>
      </c>
      <c r="AE22" s="158">
        <v>1185</v>
      </c>
      <c r="AF22" s="47" t="s">
        <v>90</v>
      </c>
      <c r="AG22" s="47" t="s">
        <v>90</v>
      </c>
      <c r="AH22" s="98" t="s">
        <v>90</v>
      </c>
      <c r="AI22" s="103">
        <v>16053929</v>
      </c>
      <c r="AJ22" s="45">
        <f t="shared" si="7"/>
        <v>1192</v>
      </c>
      <c r="AK22" s="48">
        <f t="shared" si="8"/>
        <v>324.7956403269755</v>
      </c>
      <c r="AL22" s="155">
        <v>1</v>
      </c>
      <c r="AM22" s="155">
        <v>0</v>
      </c>
      <c r="AN22" s="155">
        <v>1</v>
      </c>
      <c r="AO22" s="155">
        <v>0</v>
      </c>
      <c r="AP22" s="155">
        <v>1</v>
      </c>
      <c r="AQ22" s="155">
        <v>1</v>
      </c>
      <c r="AR22" s="155">
        <v>0</v>
      </c>
      <c r="AS22" s="158"/>
      <c r="AT22" s="158">
        <f t="shared" si="9"/>
        <v>0</v>
      </c>
      <c r="AU22" s="119">
        <v>0.88</v>
      </c>
      <c r="AV22" s="50" t="s">
        <v>125</v>
      </c>
      <c r="BB22" s="136" t="s">
        <v>157</v>
      </c>
    </row>
    <row r="23" spans="1:54" x14ac:dyDescent="0.35">
      <c r="A23" s="357">
        <v>43246</v>
      </c>
      <c r="B23" s="40">
        <v>2.4166666666666701</v>
      </c>
      <c r="C23" s="40">
        <v>0.45833333333333298</v>
      </c>
      <c r="D23" s="156">
        <v>3</v>
      </c>
      <c r="E23" s="154">
        <f t="shared" si="2"/>
        <v>2.1126760563380285</v>
      </c>
      <c r="F23" s="154">
        <v>3</v>
      </c>
      <c r="G23" s="118">
        <v>76</v>
      </c>
      <c r="H23" s="154">
        <f t="shared" si="0"/>
        <v>53.521126760563384</v>
      </c>
      <c r="I23" s="154">
        <v>73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7">
        <v>131</v>
      </c>
      <c r="R23" s="157"/>
      <c r="S23" s="157">
        <v>95733627</v>
      </c>
      <c r="T23" s="45">
        <f t="shared" si="4"/>
        <v>3739</v>
      </c>
      <c r="U23" s="46">
        <f t="shared" si="5"/>
        <v>89.736000000000004</v>
      </c>
      <c r="V23" s="46">
        <f t="shared" si="6"/>
        <v>3.7389999999999999</v>
      </c>
      <c r="W23" s="96">
        <v>7.2</v>
      </c>
      <c r="X23" s="96">
        <f>W23</f>
        <v>7.2</v>
      </c>
      <c r="Y23" s="97" t="s">
        <v>169</v>
      </c>
      <c r="Z23" s="158">
        <v>1027</v>
      </c>
      <c r="AA23" s="158">
        <v>0</v>
      </c>
      <c r="AB23" s="158">
        <v>1188</v>
      </c>
      <c r="AC23" s="158">
        <v>0</v>
      </c>
      <c r="AD23" s="158">
        <v>1187</v>
      </c>
      <c r="AE23" s="158">
        <v>1185</v>
      </c>
      <c r="AF23" s="47" t="s">
        <v>90</v>
      </c>
      <c r="AG23" s="47" t="s">
        <v>90</v>
      </c>
      <c r="AH23" s="98" t="s">
        <v>90</v>
      </c>
      <c r="AI23" s="103">
        <v>16055133</v>
      </c>
      <c r="AJ23" s="45">
        <f t="shared" si="7"/>
        <v>1204</v>
      </c>
      <c r="AK23" s="48">
        <f t="shared" si="8"/>
        <v>322.01123294998666</v>
      </c>
      <c r="AL23" s="155">
        <v>1</v>
      </c>
      <c r="AM23" s="155">
        <v>0</v>
      </c>
      <c r="AN23" s="155">
        <v>1</v>
      </c>
      <c r="AO23" s="155">
        <v>0</v>
      </c>
      <c r="AP23" s="155">
        <v>1</v>
      </c>
      <c r="AQ23" s="155">
        <v>1</v>
      </c>
      <c r="AR23" s="155">
        <v>0</v>
      </c>
      <c r="AS23" s="158"/>
      <c r="AT23" s="158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357">
        <v>43246</v>
      </c>
      <c r="B24" s="40">
        <v>2.4583333333333299</v>
      </c>
      <c r="C24" s="40">
        <v>0.5</v>
      </c>
      <c r="D24" s="156">
        <v>3</v>
      </c>
      <c r="E24" s="154">
        <f t="shared" si="2"/>
        <v>2.1126760563380285</v>
      </c>
      <c r="F24" s="154">
        <v>3</v>
      </c>
      <c r="G24" s="118">
        <v>75</v>
      </c>
      <c r="H24" s="154">
        <f t="shared" si="0"/>
        <v>52.816901408450704</v>
      </c>
      <c r="I24" s="154">
        <v>72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7">
        <v>128</v>
      </c>
      <c r="R24" s="157"/>
      <c r="S24" s="157">
        <v>95737225</v>
      </c>
      <c r="T24" s="45">
        <f t="shared" si="4"/>
        <v>3598</v>
      </c>
      <c r="U24" s="46">
        <f>T24*24/1000</f>
        <v>86.352000000000004</v>
      </c>
      <c r="V24" s="46">
        <f t="shared" si="6"/>
        <v>3.5979999999999999</v>
      </c>
      <c r="W24" s="96">
        <v>6.6</v>
      </c>
      <c r="X24" s="96">
        <f t="shared" si="1"/>
        <v>6.6</v>
      </c>
      <c r="Y24" s="97" t="s">
        <v>169</v>
      </c>
      <c r="Z24" s="158">
        <v>1026</v>
      </c>
      <c r="AA24" s="158">
        <v>0</v>
      </c>
      <c r="AB24" s="158">
        <v>1187</v>
      </c>
      <c r="AC24" s="158">
        <v>0</v>
      </c>
      <c r="AD24" s="158">
        <v>1187</v>
      </c>
      <c r="AE24" s="158">
        <v>1185</v>
      </c>
      <c r="AF24" s="47" t="s">
        <v>90</v>
      </c>
      <c r="AG24" s="47" t="s">
        <v>90</v>
      </c>
      <c r="AH24" s="98" t="s">
        <v>90</v>
      </c>
      <c r="AI24" s="103">
        <v>16056311</v>
      </c>
      <c r="AJ24" s="45">
        <f t="shared" si="7"/>
        <v>1178</v>
      </c>
      <c r="AK24" s="48">
        <f t="shared" si="8"/>
        <v>327.4041133963313</v>
      </c>
      <c r="AL24" s="155">
        <v>1</v>
      </c>
      <c r="AM24" s="155">
        <v>0</v>
      </c>
      <c r="AN24" s="155">
        <v>1</v>
      </c>
      <c r="AO24" s="155">
        <v>0</v>
      </c>
      <c r="AP24" s="155">
        <v>1</v>
      </c>
      <c r="AQ24" s="155">
        <v>1</v>
      </c>
      <c r="AR24" s="155">
        <v>0</v>
      </c>
      <c r="AS24" s="158"/>
      <c r="AT24" s="158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357">
        <v>43246</v>
      </c>
      <c r="B25" s="40">
        <v>2.5</v>
      </c>
      <c r="C25" s="40">
        <v>0.54166666666666696</v>
      </c>
      <c r="D25" s="156">
        <v>3</v>
      </c>
      <c r="E25" s="154">
        <f t="shared" si="2"/>
        <v>2.1126760563380285</v>
      </c>
      <c r="F25" s="154">
        <v>1</v>
      </c>
      <c r="G25" s="118">
        <v>75</v>
      </c>
      <c r="H25" s="154">
        <f t="shared" si="0"/>
        <v>52.816901408450704</v>
      </c>
      <c r="I25" s="154">
        <v>72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7">
        <v>129</v>
      </c>
      <c r="R25" s="157"/>
      <c r="S25" s="157">
        <v>95741138</v>
      </c>
      <c r="T25" s="45">
        <f t="shared" si="4"/>
        <v>3913</v>
      </c>
      <c r="U25" s="46">
        <f>T25*24/1000</f>
        <v>93.912000000000006</v>
      </c>
      <c r="V25" s="46">
        <f t="shared" si="6"/>
        <v>3.9129999999999998</v>
      </c>
      <c r="W25" s="96">
        <v>6</v>
      </c>
      <c r="X25" s="96">
        <f t="shared" si="1"/>
        <v>6</v>
      </c>
      <c r="Y25" s="97" t="s">
        <v>169</v>
      </c>
      <c r="Z25" s="158">
        <v>1026</v>
      </c>
      <c r="AA25" s="158">
        <v>0</v>
      </c>
      <c r="AB25" s="158">
        <v>1187</v>
      </c>
      <c r="AC25" s="158">
        <v>0</v>
      </c>
      <c r="AD25" s="158">
        <v>1187</v>
      </c>
      <c r="AE25" s="158">
        <v>1185</v>
      </c>
      <c r="AF25" s="47" t="s">
        <v>90</v>
      </c>
      <c r="AG25" s="47" t="s">
        <v>90</v>
      </c>
      <c r="AH25" s="98" t="s">
        <v>90</v>
      </c>
      <c r="AI25" s="103">
        <v>16057521</v>
      </c>
      <c r="AJ25" s="45">
        <f t="shared" si="7"/>
        <v>1210</v>
      </c>
      <c r="AK25" s="48">
        <f t="shared" si="8"/>
        <v>309.22565806286735</v>
      </c>
      <c r="AL25" s="155">
        <v>1</v>
      </c>
      <c r="AM25" s="155">
        <v>0</v>
      </c>
      <c r="AN25" s="155">
        <v>1</v>
      </c>
      <c r="AO25" s="155">
        <v>0</v>
      </c>
      <c r="AP25" s="155">
        <v>1</v>
      </c>
      <c r="AQ25" s="155">
        <v>1</v>
      </c>
      <c r="AR25" s="155">
        <v>0</v>
      </c>
      <c r="AS25" s="158"/>
      <c r="AT25" s="158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57">
        <v>43246</v>
      </c>
      <c r="B26" s="40">
        <v>2.5416666666666701</v>
      </c>
      <c r="C26" s="40">
        <v>0.58333333333333404</v>
      </c>
      <c r="D26" s="156">
        <v>3</v>
      </c>
      <c r="E26" s="154">
        <f t="shared" si="2"/>
        <v>2.1126760563380285</v>
      </c>
      <c r="F26" s="154">
        <v>0</v>
      </c>
      <c r="G26" s="118">
        <v>75</v>
      </c>
      <c r="H26" s="154">
        <f t="shared" si="0"/>
        <v>52.816901408450704</v>
      </c>
      <c r="I26" s="154">
        <v>72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7">
        <v>128</v>
      </c>
      <c r="R26" s="157"/>
      <c r="S26" s="157">
        <v>95746433</v>
      </c>
      <c r="T26" s="45">
        <f t="shared" si="4"/>
        <v>5295</v>
      </c>
      <c r="U26" s="46">
        <f t="shared" si="5"/>
        <v>127.08</v>
      </c>
      <c r="V26" s="46">
        <f t="shared" si="6"/>
        <v>5.2949999999999999</v>
      </c>
      <c r="W26" s="96">
        <v>5.5</v>
      </c>
      <c r="X26" s="96">
        <f t="shared" si="1"/>
        <v>5.5</v>
      </c>
      <c r="Y26" s="97" t="s">
        <v>169</v>
      </c>
      <c r="Z26" s="158">
        <v>1016</v>
      </c>
      <c r="AA26" s="158">
        <v>0</v>
      </c>
      <c r="AB26" s="158">
        <v>1187</v>
      </c>
      <c r="AC26" s="158">
        <v>0</v>
      </c>
      <c r="AD26" s="158">
        <v>1187</v>
      </c>
      <c r="AE26" s="158">
        <v>1185</v>
      </c>
      <c r="AF26" s="47" t="s">
        <v>90</v>
      </c>
      <c r="AG26" s="47" t="s">
        <v>90</v>
      </c>
      <c r="AH26" s="98" t="s">
        <v>90</v>
      </c>
      <c r="AI26" s="103">
        <v>16058729</v>
      </c>
      <c r="AJ26" s="45">
        <f t="shared" si="7"/>
        <v>1208</v>
      </c>
      <c r="AK26" s="48">
        <f t="shared" si="8"/>
        <v>228.13975448536354</v>
      </c>
      <c r="AL26" s="155">
        <v>1</v>
      </c>
      <c r="AM26" s="155">
        <v>0</v>
      </c>
      <c r="AN26" s="155">
        <v>1</v>
      </c>
      <c r="AO26" s="155">
        <v>0</v>
      </c>
      <c r="AP26" s="155">
        <v>1</v>
      </c>
      <c r="AQ26" s="155">
        <v>1</v>
      </c>
      <c r="AR26" s="155">
        <v>0</v>
      </c>
      <c r="AS26" s="158"/>
      <c r="AT26" s="158">
        <f t="shared" si="9"/>
        <v>0</v>
      </c>
      <c r="AU26" s="119">
        <v>1.02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57">
        <v>43246</v>
      </c>
      <c r="B27" s="40">
        <v>2.5833333333333299</v>
      </c>
      <c r="C27" s="40">
        <v>0.625</v>
      </c>
      <c r="D27" s="156">
        <v>3</v>
      </c>
      <c r="E27" s="154">
        <f t="shared" si="2"/>
        <v>2.1126760563380285</v>
      </c>
      <c r="F27" s="154">
        <v>0</v>
      </c>
      <c r="G27" s="118">
        <v>75</v>
      </c>
      <c r="H27" s="154">
        <f t="shared" si="0"/>
        <v>52.816901408450704</v>
      </c>
      <c r="I27" s="154">
        <v>72</v>
      </c>
      <c r="J27" s="41" t="s">
        <v>88</v>
      </c>
      <c r="K27" s="41">
        <f t="shared" si="3"/>
        <v>51.408450704225352</v>
      </c>
      <c r="L27" s="42">
        <f t="shared" si="10"/>
        <v>52.816901408450704</v>
      </c>
      <c r="M27" s="41">
        <f t="shared" si="12"/>
        <v>57.04225352112676</v>
      </c>
      <c r="N27" s="43">
        <v>18</v>
      </c>
      <c r="O27" s="44" t="s">
        <v>100</v>
      </c>
      <c r="P27" s="44">
        <v>16.899999999999999</v>
      </c>
      <c r="Q27" s="157">
        <v>129</v>
      </c>
      <c r="R27" s="157"/>
      <c r="S27" s="157">
        <v>95751835</v>
      </c>
      <c r="T27" s="45">
        <f t="shared" si="4"/>
        <v>5402</v>
      </c>
      <c r="U27" s="46">
        <f t="shared" si="5"/>
        <v>129.648</v>
      </c>
      <c r="V27" s="46">
        <f t="shared" si="6"/>
        <v>5.4020000000000001</v>
      </c>
      <c r="W27" s="96">
        <v>5</v>
      </c>
      <c r="X27" s="96">
        <f t="shared" si="1"/>
        <v>5</v>
      </c>
      <c r="Y27" s="97" t="s">
        <v>169</v>
      </c>
      <c r="Z27" s="158">
        <v>1016</v>
      </c>
      <c r="AA27" s="158">
        <v>0</v>
      </c>
      <c r="AB27" s="158">
        <v>1187</v>
      </c>
      <c r="AC27" s="158">
        <v>0</v>
      </c>
      <c r="AD27" s="158">
        <v>1187</v>
      </c>
      <c r="AE27" s="158">
        <v>1185</v>
      </c>
      <c r="AF27" s="47" t="s">
        <v>90</v>
      </c>
      <c r="AG27" s="47" t="s">
        <v>90</v>
      </c>
      <c r="AH27" s="98" t="s">
        <v>90</v>
      </c>
      <c r="AI27" s="103">
        <v>16059834</v>
      </c>
      <c r="AJ27" s="45">
        <f t="shared" si="7"/>
        <v>1105</v>
      </c>
      <c r="AK27" s="48">
        <f t="shared" si="8"/>
        <v>204.55386893743056</v>
      </c>
      <c r="AL27" s="155">
        <v>1</v>
      </c>
      <c r="AM27" s="155">
        <v>0</v>
      </c>
      <c r="AN27" s="155">
        <v>1</v>
      </c>
      <c r="AO27" s="155">
        <v>0</v>
      </c>
      <c r="AP27" s="155">
        <v>1</v>
      </c>
      <c r="AQ27" s="155">
        <v>1</v>
      </c>
      <c r="AR27" s="155">
        <v>0</v>
      </c>
      <c r="AS27" s="158"/>
      <c r="AT27" s="158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57">
        <v>43246</v>
      </c>
      <c r="B28" s="40">
        <v>2.625</v>
      </c>
      <c r="C28" s="40">
        <v>0.66666666666666696</v>
      </c>
      <c r="D28" s="156">
        <v>3</v>
      </c>
      <c r="E28" s="154">
        <f t="shared" si="2"/>
        <v>2.1126760563380285</v>
      </c>
      <c r="F28" s="154">
        <v>-1</v>
      </c>
      <c r="G28" s="118">
        <v>75</v>
      </c>
      <c r="H28" s="154">
        <f t="shared" si="0"/>
        <v>52.816901408450704</v>
      </c>
      <c r="I28" s="154">
        <v>73</v>
      </c>
      <c r="J28" s="41" t="s">
        <v>88</v>
      </c>
      <c r="K28" s="41">
        <f t="shared" si="3"/>
        <v>49.295774647887328</v>
      </c>
      <c r="L28" s="42">
        <f>(G28-3)/1.42</f>
        <v>50.70422535211268</v>
      </c>
      <c r="M28" s="41">
        <f t="shared" si="12"/>
        <v>54.929577464788736</v>
      </c>
      <c r="N28" s="43">
        <v>18</v>
      </c>
      <c r="O28" s="44" t="s">
        <v>100</v>
      </c>
      <c r="P28" s="44">
        <v>16.7</v>
      </c>
      <c r="Q28" s="157">
        <v>131</v>
      </c>
      <c r="R28" s="157"/>
      <c r="S28" s="157">
        <v>95757610</v>
      </c>
      <c r="T28" s="45">
        <f t="shared" si="4"/>
        <v>5775</v>
      </c>
      <c r="U28" s="46">
        <f t="shared" si="5"/>
        <v>138.6</v>
      </c>
      <c r="V28" s="46">
        <f t="shared" si="6"/>
        <v>5.7750000000000004</v>
      </c>
      <c r="W28" s="96">
        <v>4.5999999999999996</v>
      </c>
      <c r="X28" s="96">
        <f t="shared" si="1"/>
        <v>4.5999999999999996</v>
      </c>
      <c r="Y28" s="97" t="s">
        <v>169</v>
      </c>
      <c r="Z28" s="158">
        <v>1016</v>
      </c>
      <c r="AA28" s="158">
        <v>0</v>
      </c>
      <c r="AB28" s="158">
        <v>1187</v>
      </c>
      <c r="AC28" s="158">
        <v>0</v>
      </c>
      <c r="AD28" s="158">
        <v>1187</v>
      </c>
      <c r="AE28" s="158">
        <v>1185</v>
      </c>
      <c r="AF28" s="47" t="s">
        <v>90</v>
      </c>
      <c r="AG28" s="47" t="s">
        <v>90</v>
      </c>
      <c r="AH28" s="98" t="s">
        <v>90</v>
      </c>
      <c r="AI28" s="103">
        <v>16060982</v>
      </c>
      <c r="AJ28" s="45">
        <f>IF(ISBLANK(AI28),"-",AI28-AI27)</f>
        <v>1148</v>
      </c>
      <c r="AK28" s="48">
        <f t="shared" si="8"/>
        <v>198.78787878787878</v>
      </c>
      <c r="AL28" s="155">
        <v>1</v>
      </c>
      <c r="AM28" s="155">
        <v>0</v>
      </c>
      <c r="AN28" s="155">
        <v>1</v>
      </c>
      <c r="AO28" s="155">
        <v>0</v>
      </c>
      <c r="AP28" s="155">
        <v>1</v>
      </c>
      <c r="AQ28" s="155">
        <v>1</v>
      </c>
      <c r="AR28" s="155">
        <v>0</v>
      </c>
      <c r="AS28" s="158"/>
      <c r="AT28" s="158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357">
        <v>43246</v>
      </c>
      <c r="B29" s="40">
        <v>2.6666666666666701</v>
      </c>
      <c r="C29" s="40">
        <v>0.70833333333333404</v>
      </c>
      <c r="D29" s="156">
        <v>3</v>
      </c>
      <c r="E29" s="154">
        <f t="shared" si="2"/>
        <v>2.1126760563380285</v>
      </c>
      <c r="F29" s="154">
        <v>-2</v>
      </c>
      <c r="G29" s="118">
        <v>74</v>
      </c>
      <c r="H29" s="154">
        <f t="shared" si="0"/>
        <v>52.112676056338032</v>
      </c>
      <c r="I29" s="154">
        <v>72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7">
        <v>130</v>
      </c>
      <c r="R29" s="157"/>
      <c r="S29" s="157">
        <v>95763697</v>
      </c>
      <c r="T29" s="45">
        <f t="shared" si="4"/>
        <v>6087</v>
      </c>
      <c r="U29" s="46">
        <f t="shared" si="5"/>
        <v>146.08799999999999</v>
      </c>
      <c r="V29" s="46">
        <f t="shared" si="6"/>
        <v>6.0869999999999997</v>
      </c>
      <c r="W29" s="96">
        <v>4.0999999999999996</v>
      </c>
      <c r="X29" s="96">
        <f t="shared" si="1"/>
        <v>4.0999999999999996</v>
      </c>
      <c r="Y29" s="97" t="s">
        <v>169</v>
      </c>
      <c r="Z29" s="158">
        <v>1015</v>
      </c>
      <c r="AA29" s="158">
        <v>0</v>
      </c>
      <c r="AB29" s="158">
        <v>1187</v>
      </c>
      <c r="AC29" s="158">
        <v>0</v>
      </c>
      <c r="AD29" s="158">
        <v>1187</v>
      </c>
      <c r="AE29" s="158">
        <v>1185</v>
      </c>
      <c r="AF29" s="47" t="s">
        <v>90</v>
      </c>
      <c r="AG29" s="47" t="s">
        <v>90</v>
      </c>
      <c r="AH29" s="98" t="s">
        <v>90</v>
      </c>
      <c r="AI29" s="103">
        <v>16062159</v>
      </c>
      <c r="AJ29" s="45">
        <f t="shared" si="7"/>
        <v>1177</v>
      </c>
      <c r="AK29" s="48">
        <f>AJ28/V29</f>
        <v>188.59865286676524</v>
      </c>
      <c r="AL29" s="155">
        <v>1</v>
      </c>
      <c r="AM29" s="155">
        <v>0</v>
      </c>
      <c r="AN29" s="155">
        <v>1</v>
      </c>
      <c r="AO29" s="155">
        <v>0</v>
      </c>
      <c r="AP29" s="155">
        <v>1</v>
      </c>
      <c r="AQ29" s="155">
        <v>1</v>
      </c>
      <c r="AR29" s="155">
        <v>0</v>
      </c>
      <c r="AS29" s="158"/>
      <c r="AT29" s="158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357">
        <v>43246</v>
      </c>
      <c r="B30" s="40">
        <v>2.7083333333333299</v>
      </c>
      <c r="C30" s="40">
        <v>0.750000000000002</v>
      </c>
      <c r="D30" s="156">
        <v>3</v>
      </c>
      <c r="E30" s="154">
        <f t="shared" si="2"/>
        <v>2.1126760563380285</v>
      </c>
      <c r="F30" s="154">
        <v>-3</v>
      </c>
      <c r="G30" s="118">
        <v>75</v>
      </c>
      <c r="H30" s="154">
        <f t="shared" si="0"/>
        <v>52.816901408450704</v>
      </c>
      <c r="I30" s="154">
        <v>73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7">
        <v>130</v>
      </c>
      <c r="R30" s="157"/>
      <c r="S30" s="157">
        <v>95769543</v>
      </c>
      <c r="T30" s="45">
        <f t="shared" si="4"/>
        <v>5846</v>
      </c>
      <c r="U30" s="46">
        <f t="shared" si="5"/>
        <v>140.304</v>
      </c>
      <c r="V30" s="46">
        <f t="shared" si="6"/>
        <v>5.8460000000000001</v>
      </c>
      <c r="W30" s="96">
        <v>3.7</v>
      </c>
      <c r="X30" s="96">
        <f t="shared" si="1"/>
        <v>3.7</v>
      </c>
      <c r="Y30" s="97" t="s">
        <v>169</v>
      </c>
      <c r="Z30" s="158">
        <v>1016</v>
      </c>
      <c r="AA30" s="158">
        <v>0</v>
      </c>
      <c r="AB30" s="158">
        <v>1187</v>
      </c>
      <c r="AC30" s="158">
        <v>0</v>
      </c>
      <c r="AD30" s="158">
        <v>1187</v>
      </c>
      <c r="AE30" s="158">
        <v>1185</v>
      </c>
      <c r="AF30" s="47" t="s">
        <v>90</v>
      </c>
      <c r="AG30" s="47" t="s">
        <v>90</v>
      </c>
      <c r="AH30" s="98" t="s">
        <v>90</v>
      </c>
      <c r="AI30" s="103">
        <v>16063315</v>
      </c>
      <c r="AJ30" s="45">
        <f t="shared" si="7"/>
        <v>1156</v>
      </c>
      <c r="AK30" s="48">
        <f>AJ29/V30</f>
        <v>201.33424563804311</v>
      </c>
      <c r="AL30" s="155">
        <v>1</v>
      </c>
      <c r="AM30" s="155">
        <v>0</v>
      </c>
      <c r="AN30" s="155">
        <v>1</v>
      </c>
      <c r="AO30" s="155">
        <v>0</v>
      </c>
      <c r="AP30" s="155">
        <v>1</v>
      </c>
      <c r="AQ30" s="155">
        <v>1</v>
      </c>
      <c r="AR30" s="155">
        <v>0</v>
      </c>
      <c r="AS30" s="158"/>
      <c r="AT30" s="158">
        <f t="shared" si="9"/>
        <v>0</v>
      </c>
      <c r="AU30" s="159">
        <v>1.05</v>
      </c>
      <c r="AV30" s="50" t="s">
        <v>124</v>
      </c>
      <c r="AY30" s="55" t="s">
        <v>114</v>
      </c>
      <c r="AZ30" s="55">
        <v>101.325</v>
      </c>
      <c r="BB30" s="74" t="s">
        <v>143</v>
      </c>
    </row>
    <row r="31" spans="1:54" x14ac:dyDescent="0.35">
      <c r="A31" s="357">
        <v>43246</v>
      </c>
      <c r="B31" s="40">
        <v>2.75</v>
      </c>
      <c r="C31" s="40">
        <v>0.79166666666666896</v>
      </c>
      <c r="D31" s="156">
        <v>3</v>
      </c>
      <c r="E31" s="154">
        <f t="shared" si="2"/>
        <v>2.1126760563380285</v>
      </c>
      <c r="F31" s="154">
        <v>-4</v>
      </c>
      <c r="G31" s="118">
        <v>75</v>
      </c>
      <c r="H31" s="154">
        <f t="shared" si="0"/>
        <v>52.816901408450704</v>
      </c>
      <c r="I31" s="154">
        <v>73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7">
        <v>129</v>
      </c>
      <c r="R31" s="157"/>
      <c r="S31" s="157">
        <v>95775368</v>
      </c>
      <c r="T31" s="45">
        <f t="shared" si="4"/>
        <v>5825</v>
      </c>
      <c r="U31" s="46">
        <f t="shared" si="5"/>
        <v>139.80000000000001</v>
      </c>
      <c r="V31" s="46">
        <f t="shared" si="6"/>
        <v>5.8250000000000002</v>
      </c>
      <c r="W31" s="96">
        <v>3.3</v>
      </c>
      <c r="X31" s="96">
        <f t="shared" si="1"/>
        <v>3.3</v>
      </c>
      <c r="Y31" s="97" t="s">
        <v>169</v>
      </c>
      <c r="Z31" s="158">
        <v>1015</v>
      </c>
      <c r="AA31" s="158">
        <v>0</v>
      </c>
      <c r="AB31" s="158">
        <v>1187</v>
      </c>
      <c r="AC31" s="158">
        <v>0</v>
      </c>
      <c r="AD31" s="158">
        <v>1187</v>
      </c>
      <c r="AE31" s="158">
        <v>1185</v>
      </c>
      <c r="AF31" s="47" t="s">
        <v>90</v>
      </c>
      <c r="AG31" s="47" t="s">
        <v>90</v>
      </c>
      <c r="AH31" s="98" t="s">
        <v>90</v>
      </c>
      <c r="AI31" s="103">
        <v>16064509</v>
      </c>
      <c r="AJ31" s="45">
        <f t="shared" si="7"/>
        <v>1194</v>
      </c>
      <c r="AK31" s="48">
        <f t="shared" si="8"/>
        <v>204.97854077253217</v>
      </c>
      <c r="AL31" s="155">
        <v>1</v>
      </c>
      <c r="AM31" s="155">
        <v>0</v>
      </c>
      <c r="AN31" s="155">
        <v>1</v>
      </c>
      <c r="AO31" s="155">
        <v>0</v>
      </c>
      <c r="AP31" s="155">
        <v>1</v>
      </c>
      <c r="AQ31" s="155">
        <v>1</v>
      </c>
      <c r="AR31" s="155">
        <v>0</v>
      </c>
      <c r="AS31" s="158"/>
      <c r="AT31" s="158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357">
        <v>43246</v>
      </c>
      <c r="B32" s="40">
        <v>2.7916666666666701</v>
      </c>
      <c r="C32" s="40">
        <v>0.83333333333333703</v>
      </c>
      <c r="D32" s="156">
        <v>3</v>
      </c>
      <c r="E32" s="154">
        <f t="shared" si="2"/>
        <v>2.1126760563380285</v>
      </c>
      <c r="F32" s="154">
        <v>-5</v>
      </c>
      <c r="G32" s="118">
        <v>75</v>
      </c>
      <c r="H32" s="154">
        <f t="shared" si="0"/>
        <v>52.816901408450704</v>
      </c>
      <c r="I32" s="154">
        <v>71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7">
        <v>128</v>
      </c>
      <c r="R32" s="157"/>
      <c r="S32" s="157">
        <v>95781047</v>
      </c>
      <c r="T32" s="45">
        <f t="shared" si="4"/>
        <v>5679</v>
      </c>
      <c r="U32" s="46">
        <f t="shared" si="5"/>
        <v>136.29599999999999</v>
      </c>
      <c r="V32" s="46">
        <f t="shared" si="6"/>
        <v>5.6790000000000003</v>
      </c>
      <c r="W32" s="96">
        <v>2.9</v>
      </c>
      <c r="X32" s="96">
        <f t="shared" si="1"/>
        <v>2.9</v>
      </c>
      <c r="Y32" s="97" t="s">
        <v>169</v>
      </c>
      <c r="Z32" s="158">
        <v>1015</v>
      </c>
      <c r="AA32" s="158">
        <v>0</v>
      </c>
      <c r="AB32" s="158">
        <v>1187</v>
      </c>
      <c r="AC32" s="158">
        <v>0</v>
      </c>
      <c r="AD32" s="158">
        <v>1186</v>
      </c>
      <c r="AE32" s="158">
        <v>1185</v>
      </c>
      <c r="AF32" s="47" t="s">
        <v>90</v>
      </c>
      <c r="AG32" s="47" t="s">
        <v>90</v>
      </c>
      <c r="AH32" s="98" t="s">
        <v>90</v>
      </c>
      <c r="AI32" s="103">
        <v>16065649</v>
      </c>
      <c r="AJ32" s="45">
        <f t="shared" si="7"/>
        <v>1140</v>
      </c>
      <c r="AK32" s="48">
        <f t="shared" si="8"/>
        <v>200.73956682514526</v>
      </c>
      <c r="AL32" s="155">
        <v>1</v>
      </c>
      <c r="AM32" s="155">
        <v>0</v>
      </c>
      <c r="AN32" s="155">
        <v>1</v>
      </c>
      <c r="AO32" s="155">
        <v>0</v>
      </c>
      <c r="AP32" s="155">
        <v>1</v>
      </c>
      <c r="AQ32" s="155">
        <v>1</v>
      </c>
      <c r="AR32" s="155">
        <v>0</v>
      </c>
      <c r="AS32" s="158"/>
      <c r="AT32" s="158">
        <v>0</v>
      </c>
      <c r="AU32" s="49"/>
      <c r="AV32" s="50" t="s">
        <v>124</v>
      </c>
      <c r="AY32" s="308" t="s">
        <v>115</v>
      </c>
      <c r="AZ32" s="308"/>
      <c r="BB32" s="74" t="s">
        <v>156</v>
      </c>
    </row>
    <row r="33" spans="1:54" x14ac:dyDescent="0.35">
      <c r="A33" s="357">
        <v>43246</v>
      </c>
      <c r="B33" s="40">
        <v>2.8333333333333299</v>
      </c>
      <c r="C33" s="40">
        <v>0.875</v>
      </c>
      <c r="D33" s="156">
        <v>3</v>
      </c>
      <c r="E33" s="154">
        <f t="shared" si="2"/>
        <v>2.1126760563380285</v>
      </c>
      <c r="F33" s="154">
        <v>-5</v>
      </c>
      <c r="G33" s="118">
        <v>75</v>
      </c>
      <c r="H33" s="154">
        <f t="shared" si="0"/>
        <v>52.816901408450704</v>
      </c>
      <c r="I33" s="154">
        <v>72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7">
        <v>129</v>
      </c>
      <c r="R33" s="157"/>
      <c r="S33" s="157">
        <v>95786957</v>
      </c>
      <c r="T33" s="45">
        <f t="shared" si="4"/>
        <v>5910</v>
      </c>
      <c r="U33" s="46">
        <f t="shared" si="5"/>
        <v>141.84</v>
      </c>
      <c r="V33" s="46">
        <f t="shared" si="6"/>
        <v>5.91</v>
      </c>
      <c r="W33" s="96">
        <v>2.6</v>
      </c>
      <c r="X33" s="96">
        <f t="shared" si="1"/>
        <v>2.6</v>
      </c>
      <c r="Y33" s="97" t="s">
        <v>169</v>
      </c>
      <c r="Z33" s="158">
        <v>1015</v>
      </c>
      <c r="AA33" s="158">
        <v>0</v>
      </c>
      <c r="AB33" s="158">
        <v>1187</v>
      </c>
      <c r="AC33" s="158">
        <v>0</v>
      </c>
      <c r="AD33" s="158">
        <v>1187</v>
      </c>
      <c r="AE33" s="158">
        <v>1185</v>
      </c>
      <c r="AF33" s="47" t="s">
        <v>90</v>
      </c>
      <c r="AG33" s="47" t="s">
        <v>90</v>
      </c>
      <c r="AH33" s="98" t="s">
        <v>90</v>
      </c>
      <c r="AI33" s="103">
        <v>16066844</v>
      </c>
      <c r="AJ33" s="45">
        <f t="shared" si="7"/>
        <v>1195</v>
      </c>
      <c r="AK33" s="48">
        <f t="shared" si="8"/>
        <v>202.19966159052453</v>
      </c>
      <c r="AL33" s="155">
        <v>1</v>
      </c>
      <c r="AM33" s="155">
        <v>0</v>
      </c>
      <c r="AN33" s="155">
        <v>1</v>
      </c>
      <c r="AO33" s="155">
        <v>0</v>
      </c>
      <c r="AP33" s="155">
        <v>1</v>
      </c>
      <c r="AQ33" s="155">
        <v>1</v>
      </c>
      <c r="AR33" s="155">
        <v>0</v>
      </c>
      <c r="AS33" s="158"/>
      <c r="AT33" s="158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57">
        <v>43246</v>
      </c>
      <c r="B34" s="40">
        <v>2.875</v>
      </c>
      <c r="C34" s="40">
        <v>0.91666666666667096</v>
      </c>
      <c r="D34" s="156">
        <v>3</v>
      </c>
      <c r="E34" s="154">
        <f t="shared" si="2"/>
        <v>2.1126760563380285</v>
      </c>
      <c r="F34" s="154">
        <v>-3</v>
      </c>
      <c r="G34" s="118">
        <v>77</v>
      </c>
      <c r="H34" s="154">
        <f t="shared" si="0"/>
        <v>54.225352112676056</v>
      </c>
      <c r="I34" s="154">
        <v>73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7">
        <v>128</v>
      </c>
      <c r="R34" s="157"/>
      <c r="S34" s="157">
        <v>95792939</v>
      </c>
      <c r="T34" s="45">
        <f t="shared" si="4"/>
        <v>5982</v>
      </c>
      <c r="U34" s="46">
        <f t="shared" si="5"/>
        <v>143.56800000000001</v>
      </c>
      <c r="V34" s="46">
        <f t="shared" si="6"/>
        <v>5.9820000000000002</v>
      </c>
      <c r="W34" s="96">
        <v>2.2999999999999998</v>
      </c>
      <c r="X34" s="96">
        <f t="shared" si="1"/>
        <v>2.2999999999999998</v>
      </c>
      <c r="Y34" s="97" t="s">
        <v>169</v>
      </c>
      <c r="Z34" s="158">
        <v>1025</v>
      </c>
      <c r="AA34" s="158">
        <v>0</v>
      </c>
      <c r="AB34" s="158">
        <v>1187</v>
      </c>
      <c r="AC34" s="158">
        <v>0</v>
      </c>
      <c r="AD34" s="158">
        <v>1187</v>
      </c>
      <c r="AE34" s="158">
        <v>1185</v>
      </c>
      <c r="AF34" s="47" t="s">
        <v>90</v>
      </c>
      <c r="AG34" s="47" t="s">
        <v>90</v>
      </c>
      <c r="AH34" s="98" t="s">
        <v>90</v>
      </c>
      <c r="AI34" s="103">
        <v>16068047</v>
      </c>
      <c r="AJ34" s="45">
        <f t="shared" si="7"/>
        <v>1203</v>
      </c>
      <c r="AK34" s="48">
        <f t="shared" si="8"/>
        <v>201.10330992978936</v>
      </c>
      <c r="AL34" s="155">
        <v>1</v>
      </c>
      <c r="AM34" s="155">
        <v>0</v>
      </c>
      <c r="AN34" s="155">
        <v>1</v>
      </c>
      <c r="AO34" s="155">
        <v>0</v>
      </c>
      <c r="AP34" s="155">
        <v>1</v>
      </c>
      <c r="AQ34" s="155">
        <v>1</v>
      </c>
      <c r="AR34" s="155">
        <v>0</v>
      </c>
      <c r="AS34" s="158"/>
      <c r="AT34" s="158">
        <f>AS34-AS33</f>
        <v>0</v>
      </c>
      <c r="AU34" s="119">
        <v>0.98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357">
        <v>43246</v>
      </c>
      <c r="B35" s="40">
        <v>2.9166666666666701</v>
      </c>
      <c r="C35" s="40">
        <v>0.95833333333333803</v>
      </c>
      <c r="D35" s="156">
        <v>3</v>
      </c>
      <c r="E35" s="154">
        <f t="shared" si="2"/>
        <v>2.1126760563380285</v>
      </c>
      <c r="F35" s="154">
        <v>0</v>
      </c>
      <c r="G35" s="118">
        <v>75</v>
      </c>
      <c r="H35" s="154">
        <f t="shared" si="0"/>
        <v>52.816901408450704</v>
      </c>
      <c r="I35" s="154">
        <v>74</v>
      </c>
      <c r="J35" s="41" t="s">
        <v>88</v>
      </c>
      <c r="K35" s="41">
        <f>L35-(2/1.42)</f>
        <v>47.887323943661976</v>
      </c>
      <c r="L35" s="42">
        <f>(G35-5)/1.42</f>
        <v>49.295774647887328</v>
      </c>
      <c r="M35" s="41">
        <f t="shared" si="12"/>
        <v>53.521126760563384</v>
      </c>
      <c r="N35" s="43">
        <v>14</v>
      </c>
      <c r="O35" s="44" t="s">
        <v>116</v>
      </c>
      <c r="P35" s="44">
        <v>11.9</v>
      </c>
      <c r="Q35" s="157">
        <v>135</v>
      </c>
      <c r="R35" s="157"/>
      <c r="S35" s="157">
        <v>95798106</v>
      </c>
      <c r="T35" s="45">
        <f t="shared" si="4"/>
        <v>5167</v>
      </c>
      <c r="U35" s="46">
        <f t="shared" si="5"/>
        <v>124.008</v>
      </c>
      <c r="V35" s="46">
        <f t="shared" si="6"/>
        <v>5.1669999999999998</v>
      </c>
      <c r="W35" s="96">
        <v>2.5</v>
      </c>
      <c r="X35" s="96">
        <f t="shared" si="1"/>
        <v>2.5</v>
      </c>
      <c r="Y35" s="97" t="s">
        <v>138</v>
      </c>
      <c r="Z35" s="158">
        <v>0</v>
      </c>
      <c r="AA35" s="158">
        <v>0</v>
      </c>
      <c r="AB35" s="158">
        <v>1187</v>
      </c>
      <c r="AC35" s="158">
        <v>0</v>
      </c>
      <c r="AD35" s="158">
        <v>1187</v>
      </c>
      <c r="AE35" s="158">
        <v>1185</v>
      </c>
      <c r="AF35" s="47" t="s">
        <v>90</v>
      </c>
      <c r="AG35" s="47" t="s">
        <v>90</v>
      </c>
      <c r="AH35" s="98" t="s">
        <v>90</v>
      </c>
      <c r="AI35" s="103">
        <v>16069075</v>
      </c>
      <c r="AJ35" s="45">
        <f t="shared" si="7"/>
        <v>1028</v>
      </c>
      <c r="AK35" s="48">
        <f t="shared" si="8"/>
        <v>198.95490613508807</v>
      </c>
      <c r="AL35" s="155">
        <v>0</v>
      </c>
      <c r="AM35" s="155">
        <v>0</v>
      </c>
      <c r="AN35" s="155">
        <v>1</v>
      </c>
      <c r="AO35" s="155">
        <v>0</v>
      </c>
      <c r="AP35" s="155">
        <v>1</v>
      </c>
      <c r="AQ35" s="155">
        <v>1</v>
      </c>
      <c r="AR35" s="155">
        <v>0.3</v>
      </c>
      <c r="AS35" s="158"/>
      <c r="AT35" s="158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357">
        <v>43246</v>
      </c>
      <c r="B36" s="40">
        <v>2.9583333333333299</v>
      </c>
      <c r="C36" s="40">
        <v>1</v>
      </c>
      <c r="D36" s="156">
        <v>3</v>
      </c>
      <c r="E36" s="154">
        <f t="shared" si="2"/>
        <v>2.1126760563380285</v>
      </c>
      <c r="F36" s="154">
        <v>1</v>
      </c>
      <c r="G36" s="118">
        <v>72</v>
      </c>
      <c r="H36" s="154">
        <f t="shared" si="0"/>
        <v>50.70422535211268</v>
      </c>
      <c r="I36" s="154">
        <v>75</v>
      </c>
      <c r="J36" s="41" t="s">
        <v>88</v>
      </c>
      <c r="K36" s="41">
        <f t="shared" si="3"/>
        <v>45.774647887323944</v>
      </c>
      <c r="L36" s="42">
        <f>(G36-5)/1.42</f>
        <v>47.183098591549296</v>
      </c>
      <c r="M36" s="41">
        <f t="shared" si="12"/>
        <v>51.408450704225352</v>
      </c>
      <c r="N36" s="43">
        <v>14</v>
      </c>
      <c r="O36" s="44" t="s">
        <v>116</v>
      </c>
      <c r="P36" s="58">
        <v>11.5</v>
      </c>
      <c r="Q36" s="157">
        <v>137</v>
      </c>
      <c r="R36" s="157"/>
      <c r="S36" s="157">
        <v>95803735</v>
      </c>
      <c r="T36" s="45">
        <f t="shared" si="4"/>
        <v>5629</v>
      </c>
      <c r="U36" s="46">
        <f t="shared" si="5"/>
        <v>135.096</v>
      </c>
      <c r="V36" s="46">
        <f t="shared" si="6"/>
        <v>5.6289999999999996</v>
      </c>
      <c r="W36" s="96">
        <v>3.1</v>
      </c>
      <c r="X36" s="96">
        <f t="shared" si="1"/>
        <v>3.1</v>
      </c>
      <c r="Y36" s="97" t="s">
        <v>138</v>
      </c>
      <c r="Z36" s="158">
        <v>0</v>
      </c>
      <c r="AA36" s="158">
        <v>0</v>
      </c>
      <c r="AB36" s="158">
        <v>1187</v>
      </c>
      <c r="AC36" s="158">
        <v>0</v>
      </c>
      <c r="AD36" s="158">
        <v>1187</v>
      </c>
      <c r="AE36" s="158">
        <v>1185</v>
      </c>
      <c r="AF36" s="47" t="s">
        <v>90</v>
      </c>
      <c r="AG36" s="47" t="s">
        <v>90</v>
      </c>
      <c r="AH36" s="98" t="s">
        <v>90</v>
      </c>
      <c r="AI36" s="103">
        <v>16070249</v>
      </c>
      <c r="AJ36" s="45">
        <f t="shared" si="7"/>
        <v>1174</v>
      </c>
      <c r="AK36" s="48">
        <f t="shared" si="8"/>
        <v>208.56279978681829</v>
      </c>
      <c r="AL36" s="155">
        <v>0</v>
      </c>
      <c r="AM36" s="155">
        <v>0</v>
      </c>
      <c r="AN36" s="155">
        <v>1</v>
      </c>
      <c r="AO36" s="155">
        <v>0</v>
      </c>
      <c r="AP36" s="155">
        <v>1</v>
      </c>
      <c r="AQ36" s="155">
        <v>1</v>
      </c>
      <c r="AR36" s="155">
        <v>0.3</v>
      </c>
      <c r="AS36" s="158"/>
      <c r="AT36" s="158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73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09" t="s">
        <v>118</v>
      </c>
      <c r="O37" s="310"/>
      <c r="P37" s="311"/>
      <c r="Q37" s="101"/>
      <c r="R37" s="101"/>
      <c r="S37" s="101"/>
      <c r="T37" s="60">
        <f>SUM(T13:T36)</f>
        <v>121734</v>
      </c>
      <c r="U37" s="46">
        <f t="shared" si="5"/>
        <v>2921.616</v>
      </c>
      <c r="V37" s="46">
        <f t="shared" si="6"/>
        <v>121.73399999999999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27631</v>
      </c>
      <c r="AK37" s="61">
        <f>$AJ$37/$V37</f>
        <v>226.97849409367967</v>
      </c>
      <c r="AL37" s="155"/>
      <c r="AM37" s="155"/>
      <c r="AN37" s="155"/>
      <c r="AO37" s="155"/>
      <c r="AP37" s="155"/>
      <c r="AQ37" s="155"/>
      <c r="AR37" s="62"/>
      <c r="AS37" s="63">
        <f>AS36-AS11</f>
        <v>0</v>
      </c>
      <c r="AT37" s="64">
        <f>SUM(AT13:AT36)</f>
        <v>0</v>
      </c>
      <c r="AU37" s="65">
        <f>AVERAGE(AU13:AU36)</f>
        <v>0.99166666666666659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7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8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8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4"/>
      <c r="D47" s="164"/>
      <c r="E47" s="164"/>
      <c r="F47" s="164"/>
      <c r="G47" s="164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71" t="s">
        <v>267</v>
      </c>
      <c r="C48" s="172"/>
      <c r="D48" s="172"/>
      <c r="E48" s="172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70"/>
      <c r="D49" s="170"/>
      <c r="E49" s="170"/>
      <c r="F49" s="161"/>
      <c r="G49" s="161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163</v>
      </c>
      <c r="C50" s="143"/>
      <c r="D50" s="143"/>
      <c r="E50" s="143"/>
      <c r="F50" s="130"/>
      <c r="G50" s="130"/>
      <c r="H50" s="160"/>
      <c r="I50" s="160"/>
      <c r="J50" s="160"/>
      <c r="K50" s="160"/>
      <c r="L50" s="160"/>
      <c r="M50" s="160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210</v>
      </c>
      <c r="B51" s="115" t="s">
        <v>165</v>
      </c>
      <c r="C51" s="143"/>
      <c r="D51" s="143"/>
      <c r="E51" s="143"/>
      <c r="F51" s="130"/>
      <c r="G51" s="130"/>
      <c r="H51" s="160"/>
      <c r="I51" s="160"/>
      <c r="J51" s="160"/>
      <c r="K51" s="160"/>
      <c r="L51" s="160"/>
      <c r="M51" s="160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268</v>
      </c>
      <c r="C52" s="120"/>
      <c r="D52" s="115"/>
      <c r="E52" s="115"/>
      <c r="F52" s="115"/>
      <c r="G52" s="115"/>
      <c r="H52" s="160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70"/>
      <c r="D53" s="170"/>
      <c r="E53" s="170"/>
      <c r="F53" s="170"/>
      <c r="G53" s="115"/>
      <c r="H53" s="115"/>
      <c r="I53" s="115"/>
      <c r="J53" s="115"/>
      <c r="K53" s="115"/>
      <c r="L53" s="115"/>
      <c r="M53" s="115"/>
      <c r="N53" s="163"/>
      <c r="O53" s="163"/>
      <c r="P53" s="163"/>
      <c r="Q53" s="163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32" t="s">
        <v>170</v>
      </c>
      <c r="C54" s="153"/>
      <c r="D54" s="170"/>
      <c r="E54" s="170"/>
      <c r="F54" s="170"/>
      <c r="G54" s="170"/>
      <c r="H54" s="170"/>
      <c r="I54" s="170"/>
      <c r="J54" s="169"/>
      <c r="K54" s="166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70"/>
      <c r="E55" s="153"/>
      <c r="F55" s="153"/>
      <c r="G55" s="153"/>
      <c r="H55" s="153"/>
      <c r="I55" s="153"/>
      <c r="J55" s="169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172</v>
      </c>
      <c r="C56" s="115"/>
      <c r="D56" s="170"/>
      <c r="E56" s="153"/>
      <c r="F56" s="153"/>
      <c r="G56" s="153"/>
      <c r="H56" s="153"/>
      <c r="I56" s="153"/>
      <c r="J56" s="153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53" t="s">
        <v>269</v>
      </c>
      <c r="C57" s="170"/>
      <c r="D57" s="170"/>
      <c r="E57" s="153"/>
      <c r="F57" s="153"/>
      <c r="G57" s="153"/>
      <c r="H57" s="153"/>
      <c r="I57" s="153"/>
      <c r="J57" s="153"/>
      <c r="K57" s="166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174</v>
      </c>
      <c r="C58" s="170"/>
      <c r="D58" s="170"/>
      <c r="E58" s="115"/>
      <c r="F58" s="115"/>
      <c r="G58" s="115"/>
      <c r="H58" s="115"/>
      <c r="I58" s="153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62" t="s">
        <v>195</v>
      </c>
      <c r="C59" s="170"/>
      <c r="D59" s="170"/>
      <c r="E59" s="153"/>
      <c r="F59" s="153"/>
      <c r="G59" s="153"/>
      <c r="H59" s="153"/>
      <c r="I59" s="153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32"/>
      <c r="C60" s="170"/>
      <c r="D60" s="223"/>
      <c r="E60" s="223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62"/>
      <c r="C61" s="153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32"/>
      <c r="C62" s="115"/>
      <c r="D62" s="100"/>
      <c r="E62" s="100"/>
      <c r="F62" s="115"/>
      <c r="G62" s="115"/>
      <c r="H62" s="92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6"/>
      <c r="E63" s="166"/>
      <c r="F63" s="166"/>
      <c r="G63" s="166"/>
      <c r="H63" s="166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53"/>
      <c r="C64" s="115"/>
      <c r="D64" s="100"/>
      <c r="E64" s="100"/>
      <c r="F64" s="115"/>
      <c r="G64" s="115"/>
      <c r="H64" s="92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6"/>
      <c r="E65" s="166"/>
      <c r="F65" s="166"/>
      <c r="G65" s="166"/>
      <c r="H65" s="166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AV65" s="86"/>
      <c r="AW65" s="86"/>
      <c r="AX65" s="86"/>
      <c r="AY65" s="86"/>
      <c r="AZ65" s="86"/>
      <c r="BA65" s="86"/>
      <c r="BB65" s="86"/>
    </row>
    <row r="66" spans="2:54" x14ac:dyDescent="0.35">
      <c r="B66" s="162"/>
      <c r="C66" s="115"/>
      <c r="D66" s="166"/>
      <c r="E66" s="166"/>
      <c r="F66" s="166"/>
      <c r="G66" s="166"/>
      <c r="H66" s="166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6"/>
      <c r="E67" s="166"/>
      <c r="F67" s="166"/>
      <c r="G67" s="166"/>
      <c r="H67" s="166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Q13:Q36 S13:S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3" name="Range1_16_1_1_1_1_1_1_2_2_2_2_2_2_2_2_2_2_2_2_2_2_2_2_2_2_2_2_2_2_2_1_2_2_2_2_2_2_2_2_2_2_3_2_2_2_2_2_2_2_2_2_2_1_1_1_1_2_2_1_1_1_1_1_1_1_1_1_1_1_1_1_1_3_1"/>
    <protectedRange sqref="R4:W4" name="Range1_16_1_1_1_1_1_1_2_2_2_2_2_2_2_2_2_2_2_2_2_2_2_2_2_2_2_2_2_2_2_1_2_2_2_2_2_2_2_2_2_2_3_2_2_2_2_2_2_2_2_2_2_1_1_1_1_2_2_1_1_1_1_1_1_1_1_1_1_1_1_1_1_2_1_2_1_1_1_1_1_2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4"/>
    <protectedRange sqref="R5:W5" name="Range1_16_1_1_1_1_1_1_2_2_2_2_2_2_2_2_2_2_2_2_2_2_2_2_2_2_2_2_2_2_2_1_2_2_2_2_2_2_2_2_2_2_3_2_2_2_2_2_2_2_2_2_2_1_1_1_1_2_2_1_1_1_1_1_1_1_1_1_1_3_1_3_2_1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101" priority="5" operator="containsText" text="N/A">
      <formula>NOT(ISERROR(SEARCH("N/A",Z13)))</formula>
    </cfRule>
    <cfRule type="cellIs" dxfId="100" priority="17" operator="equal">
      <formula>0</formula>
    </cfRule>
  </conditionalFormatting>
  <conditionalFormatting sqref="Z13:AG36">
    <cfRule type="cellIs" dxfId="99" priority="16" operator="greaterThanOrEqual">
      <formula>1185</formula>
    </cfRule>
  </conditionalFormatting>
  <conditionalFormatting sqref="Z13:AG36">
    <cfRule type="cellIs" dxfId="98" priority="15" operator="between">
      <formula>0.1</formula>
      <formula>1184</formula>
    </cfRule>
  </conditionalFormatting>
  <conditionalFormatting sqref="Z8:Z9 AT13:AT36 AL37:AQ37 AL13:AR36">
    <cfRule type="cellIs" dxfId="97" priority="14" operator="equal">
      <formula>0</formula>
    </cfRule>
  </conditionalFormatting>
  <conditionalFormatting sqref="Z8:Z9 AT13:AT36 AL37:AQ37 AL13:AR36">
    <cfRule type="cellIs" dxfId="96" priority="13" operator="greaterThan">
      <formula>1179</formula>
    </cfRule>
  </conditionalFormatting>
  <conditionalFormatting sqref="Z8:Z9 AT13:AT36 AL37:AQ37 AL13:AR36">
    <cfRule type="cellIs" dxfId="95" priority="12" operator="greaterThan">
      <formula>99</formula>
    </cfRule>
  </conditionalFormatting>
  <conditionalFormatting sqref="Z8:Z9 AT13:AT36 AL37:AQ37 AL13:AR36">
    <cfRule type="cellIs" dxfId="94" priority="11" operator="greaterThan">
      <formula>0.99</formula>
    </cfRule>
  </conditionalFormatting>
  <conditionalFormatting sqref="AD8:AD9">
    <cfRule type="cellIs" dxfId="93" priority="10" operator="equal">
      <formula>0</formula>
    </cfRule>
  </conditionalFormatting>
  <conditionalFormatting sqref="AD8:AD9">
    <cfRule type="cellIs" dxfId="92" priority="9" operator="greaterThan">
      <formula>1179</formula>
    </cfRule>
  </conditionalFormatting>
  <conditionalFormatting sqref="AD8:AD9">
    <cfRule type="cellIs" dxfId="91" priority="8" operator="greaterThan">
      <formula>99</formula>
    </cfRule>
  </conditionalFormatting>
  <conditionalFormatting sqref="AD8:AD9">
    <cfRule type="cellIs" dxfId="90" priority="7" operator="greaterThan">
      <formula>0.99</formula>
    </cfRule>
  </conditionalFormatting>
  <conditionalFormatting sqref="AK13:AK36">
    <cfRule type="cellIs" dxfId="89" priority="6" operator="greaterThan">
      <formula>$AK$8</formula>
    </cfRule>
  </conditionalFormatting>
  <conditionalFormatting sqref="AS13:AS36">
    <cfRule type="containsText" dxfId="88" priority="1" operator="containsText" text="N/A">
      <formula>NOT(ISERROR(SEARCH("N/A",AS13)))</formula>
    </cfRule>
    <cfRule type="cellIs" dxfId="87" priority="4" operator="equal">
      <formula>0</formula>
    </cfRule>
  </conditionalFormatting>
  <conditionalFormatting sqref="AS13:AS36">
    <cfRule type="cellIs" dxfId="86" priority="3" operator="greaterThanOrEqual">
      <formula>1185</formula>
    </cfRule>
  </conditionalFormatting>
  <conditionalFormatting sqref="AS13:AS36">
    <cfRule type="cellIs" dxfId="85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1900-000000000000}">
      <formula1>$AY$11:$AY$21</formula1>
    </dataValidation>
    <dataValidation type="list" allowBlank="1" showInputMessage="1" showErrorMessage="1" sqref="AS8:AT9 P11:P12 N11:N12 D8:E9 Q8:V9" xr:uid="{00000000-0002-0000-1900-000001000000}">
      <formula1>#REF!</formula1>
    </dataValidation>
    <dataValidation type="list" allowBlank="1" showInputMessage="1" showErrorMessage="1" sqref="AY33:AZ33" xr:uid="{00000000-0002-0000-1900-000002000000}">
      <formula1>$AY$26:$AY$30</formula1>
    </dataValidation>
    <dataValidation type="list" allowBlank="1" showInputMessage="1" showErrorMessage="1" sqref="R3:R5" xr:uid="{00000000-0002-0000-1900-000003000000}">
      <formula1>$BB$11:$BB$42</formula1>
    </dataValidation>
  </dataValidations>
  <hyperlinks>
    <hyperlink ref="J10:J11" location="'1'!AH8" display="Plant Status" xr:uid="{00000000-0004-0000-1900-000000000000}"/>
  </hyperlinks>
  <pageMargins left="0.7" right="0.7" top="0.75" bottom="0.75" header="0.3" footer="0.3"/>
  <pageSetup paperSize="9" orientation="portrait" horizontalDpi="429496729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>
    <tabColor rgb="FF7030A0"/>
  </sheetPr>
  <dimension ref="A2:BB88"/>
  <sheetViews>
    <sheetView zoomScaleNormal="100" workbookViewId="0">
      <selection activeCell="B49" sqref="B49:B52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47" t="s">
        <v>154</v>
      </c>
      <c r="S3" s="348"/>
      <c r="T3" s="348"/>
      <c r="U3" s="348"/>
      <c r="V3" s="348"/>
      <c r="W3" s="34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47" t="s">
        <v>271</v>
      </c>
      <c r="S4" s="348"/>
      <c r="T4" s="348"/>
      <c r="U4" s="348"/>
      <c r="V4" s="348"/>
      <c r="W4" s="34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47" t="s">
        <v>141</v>
      </c>
      <c r="S5" s="348"/>
      <c r="T5" s="348"/>
      <c r="U5" s="348"/>
      <c r="V5" s="348"/>
      <c r="W5" s="34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50" t="s">
        <v>6</v>
      </c>
      <c r="C6" s="351"/>
      <c r="D6" s="352" t="s">
        <v>7</v>
      </c>
      <c r="E6" s="353"/>
      <c r="F6" s="353"/>
      <c r="G6" s="353"/>
      <c r="H6" s="353"/>
      <c r="I6" s="353"/>
      <c r="J6" s="354"/>
      <c r="K6" s="87"/>
      <c r="L6" s="87"/>
      <c r="M6" s="273"/>
      <c r="N6" s="355">
        <v>41686</v>
      </c>
      <c r="O6" s="356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37" t="s">
        <v>8</v>
      </c>
      <c r="C7" s="338"/>
      <c r="D7" s="337" t="s">
        <v>9</v>
      </c>
      <c r="E7" s="339"/>
      <c r="F7" s="339"/>
      <c r="G7" s="339"/>
      <c r="H7" s="339"/>
      <c r="I7" s="338"/>
      <c r="J7" s="278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78" t="s">
        <v>14</v>
      </c>
      <c r="R7" s="337" t="s">
        <v>15</v>
      </c>
      <c r="S7" s="339"/>
      <c r="T7" s="339"/>
      <c r="U7" s="339"/>
      <c r="V7" s="338"/>
      <c r="W7" s="337" t="s">
        <v>16</v>
      </c>
      <c r="X7" s="338"/>
      <c r="Y7" s="99" t="s">
        <v>17</v>
      </c>
      <c r="Z7" s="337" t="s">
        <v>18</v>
      </c>
      <c r="AA7" s="338"/>
      <c r="AB7" s="337" t="s">
        <v>19</v>
      </c>
      <c r="AC7" s="338"/>
      <c r="AD7" s="337" t="s">
        <v>20</v>
      </c>
      <c r="AE7" s="338"/>
      <c r="AF7" s="337" t="s">
        <v>21</v>
      </c>
      <c r="AG7" s="338"/>
      <c r="AH7" s="99" t="s">
        <v>22</v>
      </c>
      <c r="AI7" s="99" t="s">
        <v>23</v>
      </c>
      <c r="AJ7" s="99" t="s">
        <v>24</v>
      </c>
      <c r="AK7" s="99" t="s">
        <v>25</v>
      </c>
      <c r="AL7" s="337" t="s">
        <v>26</v>
      </c>
      <c r="AM7" s="339"/>
      <c r="AN7" s="339"/>
      <c r="AO7" s="339"/>
      <c r="AP7" s="339"/>
      <c r="AQ7" s="338"/>
      <c r="AR7" s="337" t="s">
        <v>27</v>
      </c>
      <c r="AS7" s="339"/>
      <c r="AT7" s="33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40">
        <v>43247</v>
      </c>
      <c r="C8" s="341"/>
      <c r="D8" s="342" t="s">
        <v>29</v>
      </c>
      <c r="E8" s="343"/>
      <c r="F8" s="343"/>
      <c r="G8" s="343"/>
      <c r="H8" s="343"/>
      <c r="I8" s="344"/>
      <c r="J8" s="28"/>
      <c r="K8" s="342" t="s">
        <v>29</v>
      </c>
      <c r="L8" s="343"/>
      <c r="M8" s="34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42" t="s">
        <v>33</v>
      </c>
      <c r="X8" s="344"/>
      <c r="Y8" s="30" t="s">
        <v>34</v>
      </c>
      <c r="Z8" s="326">
        <v>0</v>
      </c>
      <c r="AA8" s="327"/>
      <c r="AB8" s="345" t="s">
        <v>35</v>
      </c>
      <c r="AC8" s="346"/>
      <c r="AD8" s="326">
        <v>1185</v>
      </c>
      <c r="AE8" s="327"/>
      <c r="AF8" s="328">
        <v>800</v>
      </c>
      <c r="AG8" s="329"/>
      <c r="AH8" s="28"/>
      <c r="AI8" s="30">
        <f>AI36-AI11</f>
        <v>27569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79"/>
      <c r="C9" s="280"/>
      <c r="D9" s="281"/>
      <c r="E9" s="282"/>
      <c r="F9" s="282"/>
      <c r="G9" s="282"/>
      <c r="H9" s="282"/>
      <c r="I9" s="283"/>
      <c r="J9" s="121"/>
      <c r="K9" s="281"/>
      <c r="L9" s="282"/>
      <c r="M9" s="283"/>
      <c r="N9" s="29"/>
      <c r="O9" s="29"/>
      <c r="P9" s="29"/>
      <c r="Q9" s="121"/>
      <c r="R9" s="121"/>
      <c r="S9" s="121"/>
      <c r="T9" s="122"/>
      <c r="U9" s="123"/>
      <c r="V9" s="124"/>
      <c r="W9" s="281"/>
      <c r="X9" s="283"/>
      <c r="Y9" s="30"/>
      <c r="Z9" s="276"/>
      <c r="AA9" s="125"/>
      <c r="AB9" s="126"/>
      <c r="AC9" s="126"/>
      <c r="AD9" s="125"/>
      <c r="AE9" s="125"/>
      <c r="AF9" s="127"/>
      <c r="AG9" s="277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30" t="s">
        <v>39</v>
      </c>
      <c r="C10" s="331"/>
      <c r="D10" s="330" t="s">
        <v>40</v>
      </c>
      <c r="E10" s="332"/>
      <c r="F10" s="331"/>
      <c r="G10" s="330" t="s">
        <v>41</v>
      </c>
      <c r="H10" s="332"/>
      <c r="I10" s="331"/>
      <c r="J10" s="333" t="s">
        <v>42</v>
      </c>
      <c r="K10" s="330" t="s">
        <v>43</v>
      </c>
      <c r="L10" s="332"/>
      <c r="M10" s="331"/>
      <c r="N10" s="99" t="s">
        <v>44</v>
      </c>
      <c r="O10" s="335" t="s">
        <v>45</v>
      </c>
      <c r="P10" s="33" t="s">
        <v>46</v>
      </c>
      <c r="Q10" s="324" t="s">
        <v>47</v>
      </c>
      <c r="R10" s="324" t="s">
        <v>48</v>
      </c>
      <c r="S10" s="34" t="s">
        <v>49</v>
      </c>
      <c r="T10" s="312" t="s">
        <v>50</v>
      </c>
      <c r="U10" s="313"/>
      <c r="V10" s="314"/>
      <c r="W10" s="274" t="s">
        <v>51</v>
      </c>
      <c r="X10" s="274" t="s">
        <v>52</v>
      </c>
      <c r="Y10" s="318" t="s">
        <v>53</v>
      </c>
      <c r="Z10" s="319" t="s">
        <v>54</v>
      </c>
      <c r="AA10" s="320"/>
      <c r="AB10" s="320"/>
      <c r="AC10" s="320"/>
      <c r="AD10" s="320"/>
      <c r="AE10" s="320"/>
      <c r="AF10" s="320"/>
      <c r="AG10" s="321"/>
      <c r="AH10" s="272" t="s">
        <v>55</v>
      </c>
      <c r="AI10" s="272" t="s">
        <v>56</v>
      </c>
      <c r="AJ10" s="307" t="s">
        <v>57</v>
      </c>
      <c r="AK10" s="322" t="s">
        <v>58</v>
      </c>
      <c r="AL10" s="274" t="s">
        <v>59</v>
      </c>
      <c r="AM10" s="274" t="s">
        <v>60</v>
      </c>
      <c r="AN10" s="274" t="s">
        <v>61</v>
      </c>
      <c r="AO10" s="274" t="s">
        <v>62</v>
      </c>
      <c r="AP10" s="274" t="s">
        <v>63</v>
      </c>
      <c r="AQ10" s="274" t="s">
        <v>123</v>
      </c>
      <c r="AR10" s="274" t="s">
        <v>64</v>
      </c>
      <c r="AS10" s="274" t="s">
        <v>65</v>
      </c>
      <c r="AT10" s="324" t="s">
        <v>66</v>
      </c>
      <c r="AU10" s="274" t="s">
        <v>67</v>
      </c>
      <c r="AV10" s="30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74" t="s">
        <v>72</v>
      </c>
      <c r="C11" s="274" t="s">
        <v>73</v>
      </c>
      <c r="D11" s="274" t="s">
        <v>74</v>
      </c>
      <c r="E11" s="274" t="s">
        <v>75</v>
      </c>
      <c r="F11" s="274" t="s">
        <v>126</v>
      </c>
      <c r="G11" s="274" t="s">
        <v>74</v>
      </c>
      <c r="H11" s="274" t="s">
        <v>75</v>
      </c>
      <c r="I11" s="274" t="s">
        <v>126</v>
      </c>
      <c r="J11" s="334"/>
      <c r="K11" s="274" t="s">
        <v>75</v>
      </c>
      <c r="L11" s="274" t="s">
        <v>75</v>
      </c>
      <c r="M11" s="274" t="s">
        <v>75</v>
      </c>
      <c r="N11" s="28" t="s">
        <v>29</v>
      </c>
      <c r="O11" s="336"/>
      <c r="P11" s="28" t="s">
        <v>29</v>
      </c>
      <c r="Q11" s="325"/>
      <c r="R11" s="325"/>
      <c r="S11" s="1">
        <f>'MAY 26'!S36</f>
        <v>95803735</v>
      </c>
      <c r="T11" s="315"/>
      <c r="U11" s="316"/>
      <c r="V11" s="317"/>
      <c r="W11" s="274" t="s">
        <v>75</v>
      </c>
      <c r="X11" s="274" t="s">
        <v>75</v>
      </c>
      <c r="Y11" s="31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'MAY 26'!AI36</f>
        <v>16070249</v>
      </c>
      <c r="AJ11" s="307"/>
      <c r="AK11" s="323"/>
      <c r="AL11" s="274" t="s">
        <v>84</v>
      </c>
      <c r="AM11" s="274" t="s">
        <v>84</v>
      </c>
      <c r="AN11" s="274" t="s">
        <v>84</v>
      </c>
      <c r="AO11" s="274" t="s">
        <v>84</v>
      </c>
      <c r="AP11" s="274" t="s">
        <v>84</v>
      </c>
      <c r="AQ11" s="274" t="s">
        <v>84</v>
      </c>
      <c r="AR11" s="274" t="s">
        <v>84</v>
      </c>
      <c r="AS11" s="1"/>
      <c r="AT11" s="325"/>
      <c r="AU11" s="275" t="s">
        <v>85</v>
      </c>
      <c r="AV11" s="307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283</v>
      </c>
      <c r="B12" s="305" t="s">
        <v>284</v>
      </c>
      <c r="C12" s="305" t="s">
        <v>285</v>
      </c>
      <c r="D12" s="305" t="s">
        <v>286</v>
      </c>
      <c r="E12" s="305" t="s">
        <v>287</v>
      </c>
      <c r="F12" s="305" t="s">
        <v>288</v>
      </c>
      <c r="G12" s="305" t="s">
        <v>289</v>
      </c>
      <c r="H12" s="305" t="s">
        <v>290</v>
      </c>
      <c r="I12" s="305" t="s">
        <v>291</v>
      </c>
      <c r="J12" s="297" t="s">
        <v>292</v>
      </c>
      <c r="K12" s="305" t="s">
        <v>293</v>
      </c>
      <c r="L12" s="305" t="s">
        <v>294</v>
      </c>
      <c r="M12" s="305" t="s">
        <v>295</v>
      </c>
      <c r="N12" s="28" t="s">
        <v>296</v>
      </c>
      <c r="O12" s="298" t="s">
        <v>297</v>
      </c>
      <c r="P12" s="28" t="s">
        <v>298</v>
      </c>
      <c r="Q12" s="300" t="s">
        <v>299</v>
      </c>
      <c r="R12" s="300" t="s">
        <v>300</v>
      </c>
      <c r="S12" s="1" t="s">
        <v>301</v>
      </c>
      <c r="T12" s="302" t="s">
        <v>302</v>
      </c>
      <c r="U12" s="303" t="s">
        <v>303</v>
      </c>
      <c r="V12" s="304" t="s">
        <v>304</v>
      </c>
      <c r="W12" s="305" t="s">
        <v>305</v>
      </c>
      <c r="X12" s="305" t="s">
        <v>306</v>
      </c>
      <c r="Y12" s="305" t="s">
        <v>307</v>
      </c>
      <c r="Z12" s="37" t="s">
        <v>308</v>
      </c>
      <c r="AA12" s="37" t="s">
        <v>309</v>
      </c>
      <c r="AB12" s="37" t="s">
        <v>310</v>
      </c>
      <c r="AC12" s="37" t="s">
        <v>311</v>
      </c>
      <c r="AD12" s="37" t="s">
        <v>312</v>
      </c>
      <c r="AE12" s="37" t="s">
        <v>313</v>
      </c>
      <c r="AF12" s="37" t="s">
        <v>314</v>
      </c>
      <c r="AG12" s="37" t="s">
        <v>315</v>
      </c>
      <c r="AH12" s="38" t="s">
        <v>316</v>
      </c>
      <c r="AI12" s="1" t="s">
        <v>317</v>
      </c>
      <c r="AJ12" s="301" t="s">
        <v>318</v>
      </c>
      <c r="AK12" s="306" t="s">
        <v>319</v>
      </c>
      <c r="AL12" s="305" t="s">
        <v>320</v>
      </c>
      <c r="AM12" s="305" t="s">
        <v>321</v>
      </c>
      <c r="AN12" s="305" t="s">
        <v>322</v>
      </c>
      <c r="AO12" s="305" t="s">
        <v>323</v>
      </c>
      <c r="AP12" s="305" t="s">
        <v>324</v>
      </c>
      <c r="AQ12" s="305" t="s">
        <v>325</v>
      </c>
      <c r="AR12" s="305" t="s">
        <v>326</v>
      </c>
      <c r="AS12" s="1" t="s">
        <v>327</v>
      </c>
      <c r="AT12" s="300" t="s">
        <v>328</v>
      </c>
      <c r="AU12" s="299" t="s">
        <v>329</v>
      </c>
      <c r="AV12" s="301"/>
      <c r="AY12" s="39"/>
      <c r="AZ12" s="39"/>
      <c r="BB12" s="136"/>
    </row>
    <row r="13" spans="1:54" x14ac:dyDescent="0.35">
      <c r="A13" s="357">
        <v>43247</v>
      </c>
      <c r="B13" s="40">
        <v>2</v>
      </c>
      <c r="C13" s="40">
        <v>4.1666666666666664E-2</v>
      </c>
      <c r="D13" s="156">
        <v>3</v>
      </c>
      <c r="E13" s="154">
        <f>D13/1.42</f>
        <v>2.1126760563380285</v>
      </c>
      <c r="F13" s="154">
        <v>2</v>
      </c>
      <c r="G13" s="118">
        <v>69</v>
      </c>
      <c r="H13" s="154">
        <f t="shared" ref="H13:H36" si="0">G13/1.42</f>
        <v>48.591549295774648</v>
      </c>
      <c r="I13" s="154">
        <v>69</v>
      </c>
      <c r="J13" s="41" t="s">
        <v>88</v>
      </c>
      <c r="K13" s="41">
        <f>L13-(2/1.42)</f>
        <v>43.661971830985919</v>
      </c>
      <c r="L13" s="42">
        <f>(G13-5)/1.42</f>
        <v>45.070422535211272</v>
      </c>
      <c r="M13" s="41">
        <f>L13+(6/1.42)</f>
        <v>49.295774647887328</v>
      </c>
      <c r="N13" s="43">
        <v>14</v>
      </c>
      <c r="O13" s="44" t="s">
        <v>89</v>
      </c>
      <c r="P13" s="44">
        <v>11.4</v>
      </c>
      <c r="Q13" s="157">
        <v>140</v>
      </c>
      <c r="R13" s="157"/>
      <c r="S13" s="157">
        <v>95808415</v>
      </c>
      <c r="T13" s="45">
        <f>IF(ISBLANK(S13),"-",S13-S11)</f>
        <v>4680</v>
      </c>
      <c r="U13" s="46">
        <f>T13*24/1000</f>
        <v>112.32</v>
      </c>
      <c r="V13" s="46">
        <f>T13/1000</f>
        <v>4.68</v>
      </c>
      <c r="W13" s="96">
        <v>4.7</v>
      </c>
      <c r="X13" s="96">
        <f t="shared" ref="X13:X36" si="1">W13</f>
        <v>4.7</v>
      </c>
      <c r="Y13" s="97" t="s">
        <v>138</v>
      </c>
      <c r="Z13" s="158">
        <v>0</v>
      </c>
      <c r="AA13" s="158">
        <v>0</v>
      </c>
      <c r="AB13" s="158">
        <v>1187</v>
      </c>
      <c r="AC13" s="158">
        <v>0</v>
      </c>
      <c r="AD13" s="158">
        <v>1187</v>
      </c>
      <c r="AE13" s="158">
        <v>1185</v>
      </c>
      <c r="AF13" s="47" t="s">
        <v>90</v>
      </c>
      <c r="AG13" s="47" t="s">
        <v>90</v>
      </c>
      <c r="AH13" s="98" t="s">
        <v>90</v>
      </c>
      <c r="AI13" s="103">
        <v>16071448</v>
      </c>
      <c r="AJ13" s="45">
        <f>IF(ISBLANK(AI13),"-",AI13-AI11)</f>
        <v>1199</v>
      </c>
      <c r="AK13" s="48">
        <f>AJ13/V13</f>
        <v>256.19658119658123</v>
      </c>
      <c r="AL13" s="155">
        <v>0</v>
      </c>
      <c r="AM13" s="155">
        <v>0</v>
      </c>
      <c r="AN13" s="155">
        <v>1</v>
      </c>
      <c r="AO13" s="155">
        <v>0</v>
      </c>
      <c r="AP13" s="155">
        <v>1</v>
      </c>
      <c r="AQ13" s="155">
        <v>1</v>
      </c>
      <c r="AR13" s="155">
        <v>0.8</v>
      </c>
      <c r="AS13" s="158"/>
      <c r="AT13" s="158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357">
        <v>43247</v>
      </c>
      <c r="B14" s="40">
        <v>2.0416666666666701</v>
      </c>
      <c r="C14" s="40">
        <v>8.3333333333333329E-2</v>
      </c>
      <c r="D14" s="156">
        <v>3</v>
      </c>
      <c r="E14" s="154">
        <f t="shared" ref="E14:E36" si="2">D14/1.42</f>
        <v>2.1126760563380285</v>
      </c>
      <c r="F14" s="154">
        <v>3</v>
      </c>
      <c r="G14" s="118">
        <v>68</v>
      </c>
      <c r="H14" s="154">
        <f t="shared" si="0"/>
        <v>47.887323943661976</v>
      </c>
      <c r="I14" s="154">
        <v>70</v>
      </c>
      <c r="J14" s="41" t="s">
        <v>88</v>
      </c>
      <c r="K14" s="41">
        <f t="shared" ref="K14:K36" si="3">L14-(2/1.42)</f>
        <v>42.95774647887324</v>
      </c>
      <c r="L14" s="42">
        <f>(G14-5)/1.42</f>
        <v>44.366197183098592</v>
      </c>
      <c r="M14" s="41">
        <f>L14+(6/1.42)</f>
        <v>48.591549295774648</v>
      </c>
      <c r="N14" s="43">
        <v>14</v>
      </c>
      <c r="O14" s="44" t="s">
        <v>89</v>
      </c>
      <c r="P14" s="44">
        <v>11.2</v>
      </c>
      <c r="Q14" s="157">
        <v>146</v>
      </c>
      <c r="R14" s="157"/>
      <c r="S14" s="157">
        <v>95813445</v>
      </c>
      <c r="T14" s="45">
        <f t="shared" ref="T14:T36" si="4">IF(ISBLANK(S14),"-",S14-S13)</f>
        <v>5030</v>
      </c>
      <c r="U14" s="46">
        <f t="shared" ref="U14:U37" si="5">T14*24/1000</f>
        <v>120.72</v>
      </c>
      <c r="V14" s="46">
        <f t="shared" ref="V14:V37" si="6">T14/1000</f>
        <v>5.03</v>
      </c>
      <c r="W14" s="96">
        <v>6.3</v>
      </c>
      <c r="X14" s="96">
        <f t="shared" si="1"/>
        <v>6.3</v>
      </c>
      <c r="Y14" s="97" t="s">
        <v>138</v>
      </c>
      <c r="Z14" s="158">
        <v>0</v>
      </c>
      <c r="AA14" s="158">
        <v>0</v>
      </c>
      <c r="AB14" s="158">
        <v>1187</v>
      </c>
      <c r="AC14" s="158">
        <v>0</v>
      </c>
      <c r="AD14" s="158">
        <v>1187</v>
      </c>
      <c r="AE14" s="158">
        <v>1185</v>
      </c>
      <c r="AF14" s="47" t="s">
        <v>90</v>
      </c>
      <c r="AG14" s="47" t="s">
        <v>90</v>
      </c>
      <c r="AH14" s="98" t="s">
        <v>90</v>
      </c>
      <c r="AI14" s="103">
        <v>16072506</v>
      </c>
      <c r="AJ14" s="45">
        <f t="shared" ref="AJ14:AJ36" si="7">IF(ISBLANK(AI14),"-",AI14-AI13)</f>
        <v>1058</v>
      </c>
      <c r="AK14" s="48">
        <f t="shared" ref="AK14:AK36" si="8">AJ14/V14</f>
        <v>210.33797216699801</v>
      </c>
      <c r="AL14" s="155">
        <v>0</v>
      </c>
      <c r="AM14" s="155">
        <v>0</v>
      </c>
      <c r="AN14" s="155">
        <v>1</v>
      </c>
      <c r="AO14" s="155">
        <v>0</v>
      </c>
      <c r="AP14" s="155">
        <v>1</v>
      </c>
      <c r="AQ14" s="155">
        <v>1</v>
      </c>
      <c r="AR14" s="155">
        <v>0.8</v>
      </c>
      <c r="AS14" s="158"/>
      <c r="AT14" s="158">
        <f t="shared" ref="AT14:AT35" si="9">AS14-AS13</f>
        <v>0</v>
      </c>
      <c r="AU14" s="119">
        <v>0.99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57">
        <v>43247</v>
      </c>
      <c r="B15" s="40">
        <v>2.0833333333333299</v>
      </c>
      <c r="C15" s="40">
        <v>0.125</v>
      </c>
      <c r="D15" s="156">
        <v>3</v>
      </c>
      <c r="E15" s="154">
        <f t="shared" si="2"/>
        <v>2.1126760563380285</v>
      </c>
      <c r="F15" s="154">
        <v>4</v>
      </c>
      <c r="G15" s="118">
        <v>69</v>
      </c>
      <c r="H15" s="154">
        <f t="shared" si="0"/>
        <v>48.591549295774648</v>
      </c>
      <c r="I15" s="154">
        <v>72</v>
      </c>
      <c r="J15" s="41" t="s">
        <v>88</v>
      </c>
      <c r="K15" s="41">
        <f t="shared" si="3"/>
        <v>43.661971830985919</v>
      </c>
      <c r="L15" s="42">
        <f>(G15-5)/1.42</f>
        <v>45.070422535211272</v>
      </c>
      <c r="M15" s="41">
        <f>L15+(6/1.42)</f>
        <v>49.295774647887328</v>
      </c>
      <c r="N15" s="43">
        <v>14</v>
      </c>
      <c r="O15" s="44" t="s">
        <v>89</v>
      </c>
      <c r="P15" s="44">
        <v>11.2</v>
      </c>
      <c r="Q15" s="157">
        <v>145</v>
      </c>
      <c r="R15" s="157"/>
      <c r="S15" s="157">
        <v>95818215</v>
      </c>
      <c r="T15" s="45">
        <f>IF(ISBLANK(S15),"-",S15-S14)</f>
        <v>4770</v>
      </c>
      <c r="U15" s="46">
        <f t="shared" si="5"/>
        <v>114.48</v>
      </c>
      <c r="V15" s="46">
        <f t="shared" si="6"/>
        <v>4.7699999999999996</v>
      </c>
      <c r="W15" s="96">
        <v>7.8</v>
      </c>
      <c r="X15" s="96">
        <f t="shared" si="1"/>
        <v>7.8</v>
      </c>
      <c r="Y15" s="97" t="s">
        <v>138</v>
      </c>
      <c r="Z15" s="158">
        <v>0</v>
      </c>
      <c r="AA15" s="158">
        <v>0</v>
      </c>
      <c r="AB15" s="158">
        <v>1187</v>
      </c>
      <c r="AC15" s="158">
        <v>0</v>
      </c>
      <c r="AD15" s="158">
        <v>1187</v>
      </c>
      <c r="AE15" s="158">
        <v>1185</v>
      </c>
      <c r="AF15" s="47" t="s">
        <v>90</v>
      </c>
      <c r="AG15" s="47" t="s">
        <v>90</v>
      </c>
      <c r="AH15" s="98" t="s">
        <v>90</v>
      </c>
      <c r="AI15" s="103">
        <v>16073606</v>
      </c>
      <c r="AJ15" s="45">
        <f t="shared" si="7"/>
        <v>1100</v>
      </c>
      <c r="AK15" s="48">
        <f t="shared" si="8"/>
        <v>230.60796645702308</v>
      </c>
      <c r="AL15" s="155">
        <v>0</v>
      </c>
      <c r="AM15" s="155">
        <v>0</v>
      </c>
      <c r="AN15" s="155">
        <v>1</v>
      </c>
      <c r="AO15" s="155">
        <v>0</v>
      </c>
      <c r="AP15" s="155">
        <v>1</v>
      </c>
      <c r="AQ15" s="155">
        <v>1</v>
      </c>
      <c r="AR15" s="155">
        <v>0.8</v>
      </c>
      <c r="AS15" s="158"/>
      <c r="AT15" s="158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357">
        <v>43247</v>
      </c>
      <c r="B16" s="40">
        <v>2.125</v>
      </c>
      <c r="C16" s="40">
        <v>0.16666666666666699</v>
      </c>
      <c r="D16" s="156">
        <v>3</v>
      </c>
      <c r="E16" s="154">
        <f t="shared" si="2"/>
        <v>2.1126760563380285</v>
      </c>
      <c r="F16" s="154">
        <v>6</v>
      </c>
      <c r="G16" s="118">
        <v>81</v>
      </c>
      <c r="H16" s="154">
        <f t="shared" si="0"/>
        <v>57.04225352112676</v>
      </c>
      <c r="I16" s="154">
        <v>75</v>
      </c>
      <c r="J16" s="41" t="s">
        <v>88</v>
      </c>
      <c r="K16" s="41">
        <f t="shared" si="3"/>
        <v>52.112676056338032</v>
      </c>
      <c r="L16" s="42">
        <f>(G16-5)/1.42</f>
        <v>53.521126760563384</v>
      </c>
      <c r="M16" s="41">
        <f>L16+(6/1.42)</f>
        <v>57.74647887323944</v>
      </c>
      <c r="N16" s="43">
        <v>14</v>
      </c>
      <c r="O16" s="44" t="s">
        <v>89</v>
      </c>
      <c r="P16" s="44">
        <v>12.8</v>
      </c>
      <c r="Q16" s="157">
        <v>138</v>
      </c>
      <c r="R16" s="157"/>
      <c r="S16" s="157">
        <v>95822839</v>
      </c>
      <c r="T16" s="45">
        <f t="shared" si="4"/>
        <v>4624</v>
      </c>
      <c r="U16" s="46">
        <f t="shared" si="5"/>
        <v>110.976</v>
      </c>
      <c r="V16" s="46">
        <f t="shared" si="6"/>
        <v>4.6239999999999997</v>
      </c>
      <c r="W16" s="96">
        <v>9.4</v>
      </c>
      <c r="X16" s="96">
        <f t="shared" si="1"/>
        <v>9.4</v>
      </c>
      <c r="Y16" s="97" t="s">
        <v>138</v>
      </c>
      <c r="Z16" s="158">
        <v>0</v>
      </c>
      <c r="AA16" s="158">
        <v>0</v>
      </c>
      <c r="AB16" s="158">
        <v>1187</v>
      </c>
      <c r="AC16" s="158">
        <v>0</v>
      </c>
      <c r="AD16" s="158">
        <v>1187</v>
      </c>
      <c r="AE16" s="158">
        <v>1185</v>
      </c>
      <c r="AF16" s="47" t="s">
        <v>90</v>
      </c>
      <c r="AG16" s="47" t="s">
        <v>90</v>
      </c>
      <c r="AH16" s="98" t="s">
        <v>90</v>
      </c>
      <c r="AI16" s="103">
        <v>16074699</v>
      </c>
      <c r="AJ16" s="45">
        <f t="shared" si="7"/>
        <v>1093</v>
      </c>
      <c r="AK16" s="48">
        <f t="shared" si="8"/>
        <v>236.37543252595157</v>
      </c>
      <c r="AL16" s="155">
        <v>0</v>
      </c>
      <c r="AM16" s="155">
        <v>0</v>
      </c>
      <c r="AN16" s="155">
        <v>1</v>
      </c>
      <c r="AO16" s="155">
        <v>0</v>
      </c>
      <c r="AP16" s="155">
        <v>1</v>
      </c>
      <c r="AQ16" s="155">
        <v>1</v>
      </c>
      <c r="AR16" s="155">
        <v>0.8</v>
      </c>
      <c r="AS16" s="158"/>
      <c r="AT16" s="158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357">
        <v>43247</v>
      </c>
      <c r="B17" s="40">
        <v>2.1666666666666701</v>
      </c>
      <c r="C17" s="40">
        <v>0.20833333333333301</v>
      </c>
      <c r="D17" s="156">
        <v>3</v>
      </c>
      <c r="E17" s="154">
        <f t="shared" si="2"/>
        <v>2.1126760563380285</v>
      </c>
      <c r="F17" s="154">
        <v>8</v>
      </c>
      <c r="G17" s="118">
        <v>83</v>
      </c>
      <c r="H17" s="154">
        <f t="shared" si="0"/>
        <v>58.450704225352112</v>
      </c>
      <c r="I17" s="154">
        <v>79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7">
        <v>126</v>
      </c>
      <c r="R17" s="157"/>
      <c r="S17" s="157">
        <v>95828108</v>
      </c>
      <c r="T17" s="45">
        <f t="shared" si="4"/>
        <v>5269</v>
      </c>
      <c r="U17" s="46">
        <f t="shared" si="5"/>
        <v>126.456</v>
      </c>
      <c r="V17" s="46">
        <f t="shared" si="6"/>
        <v>5.2690000000000001</v>
      </c>
      <c r="W17" s="96">
        <v>9.5</v>
      </c>
      <c r="X17" s="96">
        <f t="shared" si="1"/>
        <v>9.5</v>
      </c>
      <c r="Y17" s="97" t="s">
        <v>138</v>
      </c>
      <c r="Z17" s="158">
        <v>0</v>
      </c>
      <c r="AA17" s="158">
        <v>0</v>
      </c>
      <c r="AB17" s="158">
        <v>1187</v>
      </c>
      <c r="AC17" s="158">
        <v>0</v>
      </c>
      <c r="AD17" s="158">
        <v>1187</v>
      </c>
      <c r="AE17" s="158">
        <v>1185</v>
      </c>
      <c r="AF17" s="47" t="s">
        <v>90</v>
      </c>
      <c r="AG17" s="47" t="s">
        <v>90</v>
      </c>
      <c r="AH17" s="98" t="s">
        <v>90</v>
      </c>
      <c r="AI17" s="103">
        <v>16075839</v>
      </c>
      <c r="AJ17" s="45">
        <f t="shared" si="7"/>
        <v>1140</v>
      </c>
      <c r="AK17" s="48">
        <f t="shared" si="8"/>
        <v>216.35984057695956</v>
      </c>
      <c r="AL17" s="155">
        <v>0</v>
      </c>
      <c r="AM17" s="155">
        <v>0</v>
      </c>
      <c r="AN17" s="155">
        <v>1</v>
      </c>
      <c r="AO17" s="155">
        <v>0</v>
      </c>
      <c r="AP17" s="155">
        <v>1</v>
      </c>
      <c r="AQ17" s="155">
        <v>1</v>
      </c>
      <c r="AR17" s="155">
        <v>0</v>
      </c>
      <c r="AS17" s="158"/>
      <c r="AT17" s="158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57">
        <v>43247</v>
      </c>
      <c r="B18" s="40">
        <v>2.2083333333333299</v>
      </c>
      <c r="C18" s="40">
        <v>0.25</v>
      </c>
      <c r="D18" s="156">
        <v>3</v>
      </c>
      <c r="E18" s="154">
        <f t="shared" si="2"/>
        <v>2.1126760563380285</v>
      </c>
      <c r="F18" s="154">
        <v>8</v>
      </c>
      <c r="G18" s="118">
        <v>83</v>
      </c>
      <c r="H18" s="154">
        <f t="shared" si="0"/>
        <v>58.450704225352112</v>
      </c>
      <c r="I18" s="154">
        <v>80</v>
      </c>
      <c r="J18" s="41" t="s">
        <v>88</v>
      </c>
      <c r="K18" s="41">
        <f t="shared" si="3"/>
        <v>57.04225352112676</v>
      </c>
      <c r="L18" s="42">
        <f t="shared" ref="L18:L27" si="10">G18/1.42</f>
        <v>58.450704225352112</v>
      </c>
      <c r="M18" s="41">
        <f>L18+1.42</f>
        <v>59.870704225352114</v>
      </c>
      <c r="N18" s="43">
        <v>19</v>
      </c>
      <c r="O18" s="44" t="s">
        <v>100</v>
      </c>
      <c r="P18" s="44">
        <v>13.1</v>
      </c>
      <c r="Q18" s="157">
        <v>138</v>
      </c>
      <c r="R18" s="157"/>
      <c r="S18" s="157">
        <v>95832530</v>
      </c>
      <c r="T18" s="45">
        <f t="shared" si="4"/>
        <v>4422</v>
      </c>
      <c r="U18" s="46">
        <f t="shared" si="5"/>
        <v>106.128</v>
      </c>
      <c r="V18" s="46">
        <f t="shared" si="6"/>
        <v>4.4219999999999997</v>
      </c>
      <c r="W18" s="96">
        <v>9.5</v>
      </c>
      <c r="X18" s="96">
        <f t="shared" si="1"/>
        <v>9.5</v>
      </c>
      <c r="Y18" s="97" t="s">
        <v>138</v>
      </c>
      <c r="Z18" s="158">
        <v>0</v>
      </c>
      <c r="AA18" s="158">
        <v>0</v>
      </c>
      <c r="AB18" s="158">
        <v>1187</v>
      </c>
      <c r="AC18" s="158">
        <v>0</v>
      </c>
      <c r="AD18" s="158">
        <v>1187</v>
      </c>
      <c r="AE18" s="158">
        <v>1185</v>
      </c>
      <c r="AF18" s="47" t="s">
        <v>90</v>
      </c>
      <c r="AG18" s="47" t="s">
        <v>90</v>
      </c>
      <c r="AH18" s="98" t="s">
        <v>90</v>
      </c>
      <c r="AI18" s="103">
        <v>16076907</v>
      </c>
      <c r="AJ18" s="45">
        <f t="shared" si="7"/>
        <v>1068</v>
      </c>
      <c r="AK18" s="48">
        <f t="shared" si="8"/>
        <v>241.51967435549525</v>
      </c>
      <c r="AL18" s="155">
        <v>0</v>
      </c>
      <c r="AM18" s="155">
        <v>0</v>
      </c>
      <c r="AN18" s="155">
        <v>1</v>
      </c>
      <c r="AO18" s="155">
        <v>0</v>
      </c>
      <c r="AP18" s="155">
        <v>1</v>
      </c>
      <c r="AQ18" s="155">
        <v>1</v>
      </c>
      <c r="AR18" s="155">
        <v>0</v>
      </c>
      <c r="AS18" s="158"/>
      <c r="AT18" s="158">
        <f t="shared" si="9"/>
        <v>0</v>
      </c>
      <c r="AU18" s="119">
        <v>0.8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57">
        <v>43247</v>
      </c>
      <c r="B19" s="40">
        <v>2.25</v>
      </c>
      <c r="C19" s="40">
        <v>0.29166666666666669</v>
      </c>
      <c r="D19" s="156">
        <v>3</v>
      </c>
      <c r="E19" s="154">
        <f t="shared" si="2"/>
        <v>2.1126760563380285</v>
      </c>
      <c r="F19" s="154">
        <v>8</v>
      </c>
      <c r="G19" s="118">
        <v>80</v>
      </c>
      <c r="H19" s="154">
        <f t="shared" si="0"/>
        <v>56.338028169014088</v>
      </c>
      <c r="I19" s="154">
        <v>78</v>
      </c>
      <c r="J19" s="41" t="s">
        <v>88</v>
      </c>
      <c r="K19" s="41">
        <f t="shared" si="3"/>
        <v>54.929577464788736</v>
      </c>
      <c r="L19" s="42">
        <f t="shared" si="10"/>
        <v>56.338028169014088</v>
      </c>
      <c r="M19" s="41">
        <f>L19+1.42</f>
        <v>57.758028169014089</v>
      </c>
      <c r="N19" s="43">
        <v>19</v>
      </c>
      <c r="O19" s="44" t="s">
        <v>100</v>
      </c>
      <c r="P19" s="44">
        <v>16.7</v>
      </c>
      <c r="Q19" s="157">
        <v>141</v>
      </c>
      <c r="R19" s="157"/>
      <c r="S19" s="157">
        <v>95836962</v>
      </c>
      <c r="T19" s="45">
        <f t="shared" si="4"/>
        <v>4432</v>
      </c>
      <c r="U19" s="46">
        <f t="shared" si="5"/>
        <v>106.36799999999999</v>
      </c>
      <c r="V19" s="46">
        <f t="shared" si="6"/>
        <v>4.4320000000000004</v>
      </c>
      <c r="W19" s="96">
        <v>9.5</v>
      </c>
      <c r="X19" s="96">
        <f t="shared" si="1"/>
        <v>9.5</v>
      </c>
      <c r="Y19" s="97" t="s">
        <v>138</v>
      </c>
      <c r="Z19" s="158">
        <v>0</v>
      </c>
      <c r="AA19" s="158">
        <v>0</v>
      </c>
      <c r="AB19" s="158">
        <v>1187</v>
      </c>
      <c r="AC19" s="158">
        <v>0</v>
      </c>
      <c r="AD19" s="158">
        <v>1187</v>
      </c>
      <c r="AE19" s="158">
        <v>1185</v>
      </c>
      <c r="AF19" s="47" t="s">
        <v>90</v>
      </c>
      <c r="AG19" s="47" t="s">
        <v>90</v>
      </c>
      <c r="AH19" s="98" t="s">
        <v>90</v>
      </c>
      <c r="AI19" s="103">
        <v>16077992</v>
      </c>
      <c r="AJ19" s="45">
        <f t="shared" si="7"/>
        <v>1085</v>
      </c>
      <c r="AK19" s="48">
        <f t="shared" si="8"/>
        <v>244.8104693140794</v>
      </c>
      <c r="AL19" s="155">
        <v>0</v>
      </c>
      <c r="AM19" s="155">
        <v>0</v>
      </c>
      <c r="AN19" s="155">
        <v>1</v>
      </c>
      <c r="AO19" s="155">
        <v>0</v>
      </c>
      <c r="AP19" s="155">
        <v>1</v>
      </c>
      <c r="AQ19" s="155">
        <v>1</v>
      </c>
      <c r="AR19" s="155">
        <v>0</v>
      </c>
      <c r="AS19" s="158"/>
      <c r="AT19" s="158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57">
        <v>43247</v>
      </c>
      <c r="B20" s="40">
        <v>2.2916666666666701</v>
      </c>
      <c r="C20" s="40">
        <v>0.33333333333333298</v>
      </c>
      <c r="D20" s="156">
        <v>3</v>
      </c>
      <c r="E20" s="154">
        <f t="shared" si="2"/>
        <v>2.1126760563380285</v>
      </c>
      <c r="F20" s="154">
        <v>8</v>
      </c>
      <c r="G20" s="118">
        <v>77</v>
      </c>
      <c r="H20" s="154">
        <f t="shared" si="0"/>
        <v>54.225352112676056</v>
      </c>
      <c r="I20" s="154">
        <v>75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7">
        <v>132</v>
      </c>
      <c r="R20" s="157"/>
      <c r="S20" s="157">
        <v>95842660</v>
      </c>
      <c r="T20" s="45">
        <f t="shared" si="4"/>
        <v>5698</v>
      </c>
      <c r="U20" s="46">
        <f>T20*24/1000</f>
        <v>136.75200000000001</v>
      </c>
      <c r="V20" s="46">
        <f t="shared" si="6"/>
        <v>5.6980000000000004</v>
      </c>
      <c r="W20" s="96">
        <v>9.5</v>
      </c>
      <c r="X20" s="96">
        <f t="shared" si="1"/>
        <v>9.5</v>
      </c>
      <c r="Y20" s="97" t="s">
        <v>138</v>
      </c>
      <c r="Z20" s="158">
        <v>0</v>
      </c>
      <c r="AA20" s="158">
        <v>0</v>
      </c>
      <c r="AB20" s="158">
        <v>1187</v>
      </c>
      <c r="AC20" s="158">
        <v>0</v>
      </c>
      <c r="AD20" s="158">
        <v>1187</v>
      </c>
      <c r="AE20" s="158">
        <v>1185</v>
      </c>
      <c r="AF20" s="47" t="s">
        <v>90</v>
      </c>
      <c r="AG20" s="47" t="s">
        <v>90</v>
      </c>
      <c r="AH20" s="98" t="s">
        <v>90</v>
      </c>
      <c r="AI20" s="103">
        <v>16079154</v>
      </c>
      <c r="AJ20" s="45">
        <f t="shared" si="7"/>
        <v>1162</v>
      </c>
      <c r="AK20" s="48">
        <f t="shared" si="8"/>
        <v>203.93120393120392</v>
      </c>
      <c r="AL20" s="155">
        <v>0</v>
      </c>
      <c r="AM20" s="155">
        <v>0</v>
      </c>
      <c r="AN20" s="155">
        <v>1</v>
      </c>
      <c r="AO20" s="155">
        <v>0</v>
      </c>
      <c r="AP20" s="155">
        <v>1</v>
      </c>
      <c r="AQ20" s="155">
        <v>1</v>
      </c>
      <c r="AR20" s="155">
        <v>0</v>
      </c>
      <c r="AS20" s="158"/>
      <c r="AT20" s="158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357">
        <v>43247</v>
      </c>
      <c r="B21" s="40">
        <v>2.3333333333333299</v>
      </c>
      <c r="C21" s="40">
        <v>0.375</v>
      </c>
      <c r="D21" s="156">
        <v>3</v>
      </c>
      <c r="E21" s="154">
        <f t="shared" si="2"/>
        <v>2.1126760563380285</v>
      </c>
      <c r="F21" s="154">
        <v>8</v>
      </c>
      <c r="G21" s="118">
        <v>77</v>
      </c>
      <c r="H21" s="154">
        <f t="shared" si="0"/>
        <v>54.225352112676056</v>
      </c>
      <c r="I21" s="154">
        <v>75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7">
        <v>132</v>
      </c>
      <c r="R21" s="157"/>
      <c r="S21" s="157">
        <v>95847561</v>
      </c>
      <c r="T21" s="45">
        <f t="shared" si="4"/>
        <v>4901</v>
      </c>
      <c r="U21" s="46">
        <f t="shared" si="5"/>
        <v>117.624</v>
      </c>
      <c r="V21" s="46">
        <f t="shared" si="6"/>
        <v>4.9009999999999998</v>
      </c>
      <c r="W21" s="96">
        <v>9</v>
      </c>
      <c r="X21" s="96">
        <f t="shared" si="1"/>
        <v>9</v>
      </c>
      <c r="Y21" s="97" t="s">
        <v>169</v>
      </c>
      <c r="Z21" s="158">
        <v>0</v>
      </c>
      <c r="AA21" s="158">
        <v>1017</v>
      </c>
      <c r="AB21" s="158">
        <v>1187</v>
      </c>
      <c r="AC21" s="158">
        <v>0</v>
      </c>
      <c r="AD21" s="158">
        <v>1187</v>
      </c>
      <c r="AE21" s="158">
        <v>1185</v>
      </c>
      <c r="AF21" s="47" t="s">
        <v>90</v>
      </c>
      <c r="AG21" s="47" t="s">
        <v>90</v>
      </c>
      <c r="AH21" s="98" t="s">
        <v>90</v>
      </c>
      <c r="AI21" s="103">
        <v>16080320</v>
      </c>
      <c r="AJ21" s="45">
        <f t="shared" si="7"/>
        <v>1166</v>
      </c>
      <c r="AK21" s="48">
        <f t="shared" si="8"/>
        <v>237.91063048357478</v>
      </c>
      <c r="AL21" s="155">
        <v>0</v>
      </c>
      <c r="AM21" s="155">
        <v>1</v>
      </c>
      <c r="AN21" s="155">
        <v>1</v>
      </c>
      <c r="AO21" s="155">
        <v>0</v>
      </c>
      <c r="AP21" s="155">
        <v>1</v>
      </c>
      <c r="AQ21" s="155">
        <v>1</v>
      </c>
      <c r="AR21" s="155">
        <v>0</v>
      </c>
      <c r="AS21" s="158"/>
      <c r="AT21" s="158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205</v>
      </c>
    </row>
    <row r="22" spans="1:54" x14ac:dyDescent="0.35">
      <c r="A22" s="357">
        <v>43247</v>
      </c>
      <c r="B22" s="40">
        <v>2.375</v>
      </c>
      <c r="C22" s="40">
        <v>0.41666666666666669</v>
      </c>
      <c r="D22" s="156">
        <v>3</v>
      </c>
      <c r="E22" s="154">
        <f t="shared" si="2"/>
        <v>2.1126760563380285</v>
      </c>
      <c r="F22" s="154">
        <v>6</v>
      </c>
      <c r="G22" s="118">
        <v>77</v>
      </c>
      <c r="H22" s="154">
        <f t="shared" si="0"/>
        <v>54.225352112676056</v>
      </c>
      <c r="I22" s="154">
        <v>75</v>
      </c>
      <c r="J22" s="41" t="s">
        <v>88</v>
      </c>
      <c r="K22" s="41">
        <f t="shared" si="3"/>
        <v>52.816901408450704</v>
      </c>
      <c r="L22" s="42">
        <f t="shared" si="10"/>
        <v>54.225352112676056</v>
      </c>
      <c r="M22" s="41">
        <f t="shared" si="11"/>
        <v>55.645352112676058</v>
      </c>
      <c r="N22" s="43">
        <v>19</v>
      </c>
      <c r="O22" s="44" t="s">
        <v>100</v>
      </c>
      <c r="P22" s="44">
        <v>17.7</v>
      </c>
      <c r="Q22" s="157">
        <v>133</v>
      </c>
      <c r="R22" s="157"/>
      <c r="S22" s="157">
        <v>95851244</v>
      </c>
      <c r="T22" s="45">
        <f t="shared" si="4"/>
        <v>3683</v>
      </c>
      <c r="U22" s="46">
        <f t="shared" si="5"/>
        <v>88.391999999999996</v>
      </c>
      <c r="V22" s="46">
        <f t="shared" si="6"/>
        <v>3.6829999999999998</v>
      </c>
      <c r="W22" s="96">
        <v>8.4</v>
      </c>
      <c r="X22" s="96">
        <f t="shared" si="1"/>
        <v>8.4</v>
      </c>
      <c r="Y22" s="97" t="s">
        <v>169</v>
      </c>
      <c r="Z22" s="158">
        <v>0</v>
      </c>
      <c r="AA22" s="158">
        <v>1017</v>
      </c>
      <c r="AB22" s="158">
        <v>1187</v>
      </c>
      <c r="AC22" s="158">
        <v>0</v>
      </c>
      <c r="AD22" s="158">
        <v>1187</v>
      </c>
      <c r="AE22" s="158">
        <v>1185</v>
      </c>
      <c r="AF22" s="47" t="s">
        <v>90</v>
      </c>
      <c r="AG22" s="47" t="s">
        <v>90</v>
      </c>
      <c r="AH22" s="98" t="s">
        <v>90</v>
      </c>
      <c r="AI22" s="103">
        <v>16081527</v>
      </c>
      <c r="AJ22" s="45">
        <f t="shared" si="7"/>
        <v>1207</v>
      </c>
      <c r="AK22" s="48">
        <f t="shared" si="8"/>
        <v>327.72196578875918</v>
      </c>
      <c r="AL22" s="155">
        <v>0</v>
      </c>
      <c r="AM22" s="155">
        <v>1</v>
      </c>
      <c r="AN22" s="155">
        <v>1</v>
      </c>
      <c r="AO22" s="155">
        <v>0</v>
      </c>
      <c r="AP22" s="155">
        <v>1</v>
      </c>
      <c r="AQ22" s="155">
        <v>1</v>
      </c>
      <c r="AR22" s="155">
        <v>0</v>
      </c>
      <c r="AS22" s="158"/>
      <c r="AT22" s="158">
        <f t="shared" si="9"/>
        <v>0</v>
      </c>
      <c r="AU22" s="119">
        <v>1.04</v>
      </c>
      <c r="AV22" s="50" t="s">
        <v>125</v>
      </c>
      <c r="BB22" s="136" t="s">
        <v>157</v>
      </c>
    </row>
    <row r="23" spans="1:54" x14ac:dyDescent="0.35">
      <c r="A23" s="357">
        <v>43247</v>
      </c>
      <c r="B23" s="40">
        <v>2.4166666666666701</v>
      </c>
      <c r="C23" s="40">
        <v>0.45833333333333298</v>
      </c>
      <c r="D23" s="156">
        <v>3</v>
      </c>
      <c r="E23" s="154">
        <f t="shared" si="2"/>
        <v>2.1126760563380285</v>
      </c>
      <c r="F23" s="154">
        <v>5</v>
      </c>
      <c r="G23" s="118">
        <v>77</v>
      </c>
      <c r="H23" s="154">
        <f t="shared" si="0"/>
        <v>54.225352112676056</v>
      </c>
      <c r="I23" s="154">
        <v>75</v>
      </c>
      <c r="J23" s="41" t="s">
        <v>88</v>
      </c>
      <c r="K23" s="41">
        <f t="shared" si="3"/>
        <v>52.816901408450704</v>
      </c>
      <c r="L23" s="42">
        <f t="shared" si="10"/>
        <v>54.225352112676056</v>
      </c>
      <c r="M23" s="41">
        <f t="shared" si="11"/>
        <v>55.645352112676058</v>
      </c>
      <c r="N23" s="43">
        <v>19</v>
      </c>
      <c r="O23" s="44" t="s">
        <v>100</v>
      </c>
      <c r="P23" s="44">
        <v>17.7</v>
      </c>
      <c r="Q23" s="157">
        <v>132</v>
      </c>
      <c r="R23" s="157"/>
      <c r="S23" s="157">
        <v>95854870</v>
      </c>
      <c r="T23" s="45">
        <f t="shared" si="4"/>
        <v>3626</v>
      </c>
      <c r="U23" s="46">
        <f t="shared" si="5"/>
        <v>87.024000000000001</v>
      </c>
      <c r="V23" s="46">
        <f t="shared" si="6"/>
        <v>3.6259999999999999</v>
      </c>
      <c r="W23" s="96">
        <v>7.8</v>
      </c>
      <c r="X23" s="96">
        <f>W23</f>
        <v>7.8</v>
      </c>
      <c r="Y23" s="97" t="s">
        <v>169</v>
      </c>
      <c r="Z23" s="158">
        <v>0</v>
      </c>
      <c r="AA23" s="158">
        <v>1016</v>
      </c>
      <c r="AB23" s="158">
        <v>1187</v>
      </c>
      <c r="AC23" s="158">
        <v>0</v>
      </c>
      <c r="AD23" s="158">
        <v>1187</v>
      </c>
      <c r="AE23" s="158">
        <v>1185</v>
      </c>
      <c r="AF23" s="47" t="s">
        <v>90</v>
      </c>
      <c r="AG23" s="47" t="s">
        <v>90</v>
      </c>
      <c r="AH23" s="98" t="s">
        <v>90</v>
      </c>
      <c r="AI23" s="103">
        <v>16082713</v>
      </c>
      <c r="AJ23" s="45">
        <f t="shared" si="7"/>
        <v>1186</v>
      </c>
      <c r="AK23" s="48">
        <f t="shared" si="8"/>
        <v>327.08218422504137</v>
      </c>
      <c r="AL23" s="155">
        <v>0</v>
      </c>
      <c r="AM23" s="155">
        <v>1</v>
      </c>
      <c r="AN23" s="155">
        <v>1</v>
      </c>
      <c r="AO23" s="155">
        <v>0</v>
      </c>
      <c r="AP23" s="155">
        <v>1</v>
      </c>
      <c r="AQ23" s="155">
        <v>1</v>
      </c>
      <c r="AR23" s="155">
        <v>0</v>
      </c>
      <c r="AS23" s="158"/>
      <c r="AT23" s="158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357">
        <v>43247</v>
      </c>
      <c r="B24" s="40">
        <v>2.4583333333333299</v>
      </c>
      <c r="C24" s="40">
        <v>0.5</v>
      </c>
      <c r="D24" s="156">
        <v>3</v>
      </c>
      <c r="E24" s="154">
        <f t="shared" si="2"/>
        <v>2.1126760563380285</v>
      </c>
      <c r="F24" s="154">
        <v>2</v>
      </c>
      <c r="G24" s="118">
        <v>76</v>
      </c>
      <c r="H24" s="154">
        <f t="shared" si="0"/>
        <v>53.521126760563384</v>
      </c>
      <c r="I24" s="154">
        <v>72</v>
      </c>
      <c r="J24" s="41" t="s">
        <v>88</v>
      </c>
      <c r="K24" s="41">
        <f t="shared" si="3"/>
        <v>52.112676056338032</v>
      </c>
      <c r="L24" s="42">
        <f t="shared" si="10"/>
        <v>53.521126760563384</v>
      </c>
      <c r="M24" s="41">
        <f t="shared" si="11"/>
        <v>54.941126760563385</v>
      </c>
      <c r="N24" s="43">
        <v>19</v>
      </c>
      <c r="O24" s="44" t="s">
        <v>100</v>
      </c>
      <c r="P24" s="44">
        <v>17.3</v>
      </c>
      <c r="Q24" s="157">
        <v>126</v>
      </c>
      <c r="R24" s="157"/>
      <c r="S24" s="157">
        <v>95858760</v>
      </c>
      <c r="T24" s="45">
        <f t="shared" si="4"/>
        <v>3890</v>
      </c>
      <c r="U24" s="46">
        <f>T24*24/1000</f>
        <v>93.36</v>
      </c>
      <c r="V24" s="46">
        <f t="shared" si="6"/>
        <v>3.89</v>
      </c>
      <c r="W24" s="96">
        <v>7.3</v>
      </c>
      <c r="X24" s="96">
        <f t="shared" si="1"/>
        <v>7.3</v>
      </c>
      <c r="Y24" s="97" t="s">
        <v>169</v>
      </c>
      <c r="Z24" s="158">
        <v>0</v>
      </c>
      <c r="AA24" s="158">
        <v>1016</v>
      </c>
      <c r="AB24" s="158">
        <v>1187</v>
      </c>
      <c r="AC24" s="158">
        <v>0</v>
      </c>
      <c r="AD24" s="158">
        <v>1187</v>
      </c>
      <c r="AE24" s="158">
        <v>1185</v>
      </c>
      <c r="AF24" s="47" t="s">
        <v>90</v>
      </c>
      <c r="AG24" s="47" t="s">
        <v>90</v>
      </c>
      <c r="AH24" s="98" t="s">
        <v>90</v>
      </c>
      <c r="AI24" s="103">
        <v>16083933</v>
      </c>
      <c r="AJ24" s="45">
        <f t="shared" si="7"/>
        <v>1220</v>
      </c>
      <c r="AK24" s="48">
        <f t="shared" si="8"/>
        <v>313.62467866323908</v>
      </c>
      <c r="AL24" s="155">
        <v>0</v>
      </c>
      <c r="AM24" s="155">
        <v>1</v>
      </c>
      <c r="AN24" s="155">
        <v>1</v>
      </c>
      <c r="AO24" s="155">
        <v>0</v>
      </c>
      <c r="AP24" s="155">
        <v>1</v>
      </c>
      <c r="AQ24" s="155">
        <v>1</v>
      </c>
      <c r="AR24" s="155">
        <v>0</v>
      </c>
      <c r="AS24" s="158"/>
      <c r="AT24" s="158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357">
        <v>43247</v>
      </c>
      <c r="B25" s="40">
        <v>2.5</v>
      </c>
      <c r="C25" s="40">
        <v>0.54166666666666696</v>
      </c>
      <c r="D25" s="156">
        <v>3</v>
      </c>
      <c r="E25" s="154">
        <f t="shared" si="2"/>
        <v>2.1126760563380285</v>
      </c>
      <c r="F25" s="154">
        <v>2</v>
      </c>
      <c r="G25" s="118">
        <v>75</v>
      </c>
      <c r="H25" s="154">
        <f t="shared" si="0"/>
        <v>52.816901408450704</v>
      </c>
      <c r="I25" s="154">
        <v>72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7">
        <v>129</v>
      </c>
      <c r="R25" s="157"/>
      <c r="S25" s="157">
        <v>95863490</v>
      </c>
      <c r="T25" s="45">
        <f t="shared" si="4"/>
        <v>4730</v>
      </c>
      <c r="U25" s="46">
        <f>T25*24/1000</f>
        <v>113.52</v>
      </c>
      <c r="V25" s="46">
        <f t="shared" si="6"/>
        <v>4.7300000000000004</v>
      </c>
      <c r="W25" s="96">
        <v>6.7</v>
      </c>
      <c r="X25" s="96">
        <f t="shared" si="1"/>
        <v>6.7</v>
      </c>
      <c r="Y25" s="97" t="s">
        <v>169</v>
      </c>
      <c r="Z25" s="158">
        <v>0</v>
      </c>
      <c r="AA25" s="158">
        <v>1016</v>
      </c>
      <c r="AB25" s="158">
        <v>1187</v>
      </c>
      <c r="AC25" s="158">
        <v>0</v>
      </c>
      <c r="AD25" s="158">
        <v>1187</v>
      </c>
      <c r="AE25" s="158">
        <v>1185</v>
      </c>
      <c r="AF25" s="47" t="s">
        <v>90</v>
      </c>
      <c r="AG25" s="47" t="s">
        <v>90</v>
      </c>
      <c r="AH25" s="98" t="s">
        <v>90</v>
      </c>
      <c r="AI25" s="103">
        <v>16085134</v>
      </c>
      <c r="AJ25" s="45">
        <f t="shared" si="7"/>
        <v>1201</v>
      </c>
      <c r="AK25" s="48">
        <f t="shared" si="8"/>
        <v>253.91120507399575</v>
      </c>
      <c r="AL25" s="155">
        <v>0</v>
      </c>
      <c r="AM25" s="155">
        <v>1</v>
      </c>
      <c r="AN25" s="155">
        <v>1</v>
      </c>
      <c r="AO25" s="155">
        <v>0</v>
      </c>
      <c r="AP25" s="155">
        <v>1</v>
      </c>
      <c r="AQ25" s="155">
        <v>1</v>
      </c>
      <c r="AR25" s="155">
        <v>0</v>
      </c>
      <c r="AS25" s="158"/>
      <c r="AT25" s="158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57">
        <v>43247</v>
      </c>
      <c r="B26" s="40">
        <v>2.5416666666666701</v>
      </c>
      <c r="C26" s="40">
        <v>0.58333333333333404</v>
      </c>
      <c r="D26" s="156">
        <v>3</v>
      </c>
      <c r="E26" s="154">
        <f t="shared" si="2"/>
        <v>2.1126760563380285</v>
      </c>
      <c r="F26" s="154">
        <v>2</v>
      </c>
      <c r="G26" s="118">
        <v>76</v>
      </c>
      <c r="H26" s="154">
        <f t="shared" si="0"/>
        <v>53.521126760563384</v>
      </c>
      <c r="I26" s="154">
        <v>74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7">
        <v>128</v>
      </c>
      <c r="R26" s="157"/>
      <c r="S26" s="157">
        <v>95868380</v>
      </c>
      <c r="T26" s="45">
        <f t="shared" si="4"/>
        <v>4890</v>
      </c>
      <c r="U26" s="46">
        <f t="shared" si="5"/>
        <v>117.36</v>
      </c>
      <c r="V26" s="46">
        <f t="shared" si="6"/>
        <v>4.8899999999999997</v>
      </c>
      <c r="W26" s="96">
        <v>6.1</v>
      </c>
      <c r="X26" s="96">
        <f t="shared" si="1"/>
        <v>6.1</v>
      </c>
      <c r="Y26" s="97" t="s">
        <v>169</v>
      </c>
      <c r="Z26" s="158">
        <v>0</v>
      </c>
      <c r="AA26" s="158">
        <v>1016</v>
      </c>
      <c r="AB26" s="158">
        <v>1187</v>
      </c>
      <c r="AC26" s="158">
        <v>0</v>
      </c>
      <c r="AD26" s="158">
        <v>1187</v>
      </c>
      <c r="AE26" s="158">
        <v>1185</v>
      </c>
      <c r="AF26" s="47" t="s">
        <v>90</v>
      </c>
      <c r="AG26" s="47" t="s">
        <v>90</v>
      </c>
      <c r="AH26" s="98" t="s">
        <v>90</v>
      </c>
      <c r="AI26" s="103">
        <v>16086249</v>
      </c>
      <c r="AJ26" s="45">
        <f t="shared" si="7"/>
        <v>1115</v>
      </c>
      <c r="AK26" s="48">
        <f t="shared" si="8"/>
        <v>228.01635991820044</v>
      </c>
      <c r="AL26" s="155">
        <v>0</v>
      </c>
      <c r="AM26" s="155">
        <v>1</v>
      </c>
      <c r="AN26" s="155">
        <v>1</v>
      </c>
      <c r="AO26" s="155">
        <v>0</v>
      </c>
      <c r="AP26" s="155">
        <v>1</v>
      </c>
      <c r="AQ26" s="155">
        <v>1</v>
      </c>
      <c r="AR26" s="155">
        <v>0</v>
      </c>
      <c r="AS26" s="158"/>
      <c r="AT26" s="158">
        <f t="shared" si="9"/>
        <v>0</v>
      </c>
      <c r="AU26" s="119">
        <v>1.0900000000000001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57">
        <v>43247</v>
      </c>
      <c r="B27" s="40">
        <v>2.5833333333333299</v>
      </c>
      <c r="C27" s="40">
        <v>0.625</v>
      </c>
      <c r="D27" s="156">
        <v>4</v>
      </c>
      <c r="E27" s="154">
        <f t="shared" si="2"/>
        <v>2.8169014084507045</v>
      </c>
      <c r="F27" s="154">
        <v>1</v>
      </c>
      <c r="G27" s="118">
        <v>76</v>
      </c>
      <c r="H27" s="154">
        <f t="shared" si="0"/>
        <v>53.521126760563384</v>
      </c>
      <c r="I27" s="154">
        <v>73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7">
        <v>129</v>
      </c>
      <c r="R27" s="157"/>
      <c r="S27" s="157">
        <v>95874051</v>
      </c>
      <c r="T27" s="45">
        <f t="shared" si="4"/>
        <v>5671</v>
      </c>
      <c r="U27" s="46">
        <f t="shared" si="5"/>
        <v>136.10400000000001</v>
      </c>
      <c r="V27" s="46">
        <f t="shared" si="6"/>
        <v>5.6710000000000003</v>
      </c>
      <c r="W27" s="96">
        <v>5.7</v>
      </c>
      <c r="X27" s="96">
        <f t="shared" si="1"/>
        <v>5.7</v>
      </c>
      <c r="Y27" s="97" t="s">
        <v>169</v>
      </c>
      <c r="Z27" s="158">
        <v>0</v>
      </c>
      <c r="AA27" s="158">
        <v>1016</v>
      </c>
      <c r="AB27" s="158">
        <v>1188</v>
      </c>
      <c r="AC27" s="158">
        <v>0</v>
      </c>
      <c r="AD27" s="158">
        <v>1187</v>
      </c>
      <c r="AE27" s="158">
        <v>1185</v>
      </c>
      <c r="AF27" s="47" t="s">
        <v>90</v>
      </c>
      <c r="AG27" s="47" t="s">
        <v>90</v>
      </c>
      <c r="AH27" s="98" t="s">
        <v>90</v>
      </c>
      <c r="AI27" s="103">
        <v>16087432</v>
      </c>
      <c r="AJ27" s="45">
        <f t="shared" si="7"/>
        <v>1183</v>
      </c>
      <c r="AK27" s="48">
        <f t="shared" si="8"/>
        <v>208.60518427085168</v>
      </c>
      <c r="AL27" s="155">
        <v>0</v>
      </c>
      <c r="AM27" s="155">
        <v>1</v>
      </c>
      <c r="AN27" s="155">
        <v>1</v>
      </c>
      <c r="AO27" s="155">
        <v>0</v>
      </c>
      <c r="AP27" s="155">
        <v>1</v>
      </c>
      <c r="AQ27" s="155">
        <v>1</v>
      </c>
      <c r="AR27" s="155">
        <v>0</v>
      </c>
      <c r="AS27" s="158"/>
      <c r="AT27" s="158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57">
        <v>43247</v>
      </c>
      <c r="B28" s="40">
        <v>2.625</v>
      </c>
      <c r="C28" s="40">
        <v>0.66666666666666696</v>
      </c>
      <c r="D28" s="156">
        <v>4</v>
      </c>
      <c r="E28" s="154">
        <f t="shared" si="2"/>
        <v>2.8169014084507045</v>
      </c>
      <c r="F28" s="154">
        <v>0</v>
      </c>
      <c r="G28" s="118">
        <v>76</v>
      </c>
      <c r="H28" s="154">
        <f t="shared" si="0"/>
        <v>53.521126760563384</v>
      </c>
      <c r="I28" s="154">
        <v>73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7">
        <v>129</v>
      </c>
      <c r="R28" s="157"/>
      <c r="S28" s="157">
        <v>95879640</v>
      </c>
      <c r="T28" s="45">
        <f t="shared" si="4"/>
        <v>5589</v>
      </c>
      <c r="U28" s="46">
        <f t="shared" si="5"/>
        <v>134.136</v>
      </c>
      <c r="V28" s="46">
        <f t="shared" si="6"/>
        <v>5.5890000000000004</v>
      </c>
      <c r="W28" s="96">
        <v>5.2</v>
      </c>
      <c r="X28" s="96">
        <f t="shared" si="1"/>
        <v>5.2</v>
      </c>
      <c r="Y28" s="97" t="s">
        <v>169</v>
      </c>
      <c r="Z28" s="158">
        <v>0</v>
      </c>
      <c r="AA28" s="158">
        <v>1015</v>
      </c>
      <c r="AB28" s="158">
        <v>1187</v>
      </c>
      <c r="AC28" s="158">
        <v>0</v>
      </c>
      <c r="AD28" s="158">
        <v>1188</v>
      </c>
      <c r="AE28" s="158">
        <v>1185</v>
      </c>
      <c r="AF28" s="47" t="s">
        <v>90</v>
      </c>
      <c r="AG28" s="47" t="s">
        <v>90</v>
      </c>
      <c r="AH28" s="98" t="s">
        <v>90</v>
      </c>
      <c r="AI28" s="103">
        <v>16088578</v>
      </c>
      <c r="AJ28" s="45">
        <f>IF(ISBLANK(AI28),"-",AI28-AI27)</f>
        <v>1146</v>
      </c>
      <c r="AK28" s="48">
        <f t="shared" si="8"/>
        <v>205.04562533548039</v>
      </c>
      <c r="AL28" s="155">
        <v>0</v>
      </c>
      <c r="AM28" s="155">
        <v>1</v>
      </c>
      <c r="AN28" s="155">
        <v>1</v>
      </c>
      <c r="AO28" s="155">
        <v>0</v>
      </c>
      <c r="AP28" s="155">
        <v>1</v>
      </c>
      <c r="AQ28" s="155">
        <v>1</v>
      </c>
      <c r="AR28" s="155">
        <v>0</v>
      </c>
      <c r="AS28" s="158"/>
      <c r="AT28" s="158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357">
        <v>43247</v>
      </c>
      <c r="B29" s="40">
        <v>2.6666666666666701</v>
      </c>
      <c r="C29" s="40">
        <v>0.70833333333333404</v>
      </c>
      <c r="D29" s="156">
        <v>4</v>
      </c>
      <c r="E29" s="154">
        <f t="shared" si="2"/>
        <v>2.8169014084507045</v>
      </c>
      <c r="F29" s="154">
        <v>-1</v>
      </c>
      <c r="G29" s="118">
        <v>75</v>
      </c>
      <c r="H29" s="154">
        <f t="shared" si="0"/>
        <v>52.816901408450704</v>
      </c>
      <c r="I29" s="154">
        <v>71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7">
        <v>129</v>
      </c>
      <c r="R29" s="157"/>
      <c r="S29" s="157">
        <v>95885408</v>
      </c>
      <c r="T29" s="45">
        <f t="shared" si="4"/>
        <v>5768</v>
      </c>
      <c r="U29" s="46">
        <f t="shared" si="5"/>
        <v>138.43199999999999</v>
      </c>
      <c r="V29" s="46">
        <f t="shared" si="6"/>
        <v>5.7679999999999998</v>
      </c>
      <c r="W29" s="96">
        <v>4.8</v>
      </c>
      <c r="X29" s="96">
        <f t="shared" si="1"/>
        <v>4.8</v>
      </c>
      <c r="Y29" s="97" t="s">
        <v>169</v>
      </c>
      <c r="Z29" s="158">
        <v>0</v>
      </c>
      <c r="AA29" s="158">
        <v>1015</v>
      </c>
      <c r="AB29" s="158">
        <v>1187</v>
      </c>
      <c r="AC29" s="158">
        <v>0</v>
      </c>
      <c r="AD29" s="158">
        <v>1187</v>
      </c>
      <c r="AE29" s="158">
        <v>1185</v>
      </c>
      <c r="AF29" s="47" t="s">
        <v>90</v>
      </c>
      <c r="AG29" s="47" t="s">
        <v>90</v>
      </c>
      <c r="AH29" s="98" t="s">
        <v>90</v>
      </c>
      <c r="AI29" s="103">
        <v>16089738</v>
      </c>
      <c r="AJ29" s="45">
        <f t="shared" si="7"/>
        <v>1160</v>
      </c>
      <c r="AK29" s="48">
        <f>AJ28/V29</f>
        <v>198.68238557558948</v>
      </c>
      <c r="AL29" s="155">
        <v>0</v>
      </c>
      <c r="AM29" s="155">
        <v>1</v>
      </c>
      <c r="AN29" s="155">
        <v>1</v>
      </c>
      <c r="AO29" s="155">
        <v>0</v>
      </c>
      <c r="AP29" s="155">
        <v>1</v>
      </c>
      <c r="AQ29" s="155">
        <v>1</v>
      </c>
      <c r="AR29" s="155">
        <v>0</v>
      </c>
      <c r="AS29" s="158"/>
      <c r="AT29" s="158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357">
        <v>43247</v>
      </c>
      <c r="B30" s="40">
        <v>2.7083333333333299</v>
      </c>
      <c r="C30" s="40">
        <v>0.750000000000002</v>
      </c>
      <c r="D30" s="156">
        <v>4</v>
      </c>
      <c r="E30" s="154">
        <f t="shared" si="2"/>
        <v>2.8169014084507045</v>
      </c>
      <c r="F30" s="154">
        <v>-2</v>
      </c>
      <c r="G30" s="118">
        <v>75</v>
      </c>
      <c r="H30" s="154">
        <f t="shared" si="0"/>
        <v>52.816901408450704</v>
      </c>
      <c r="I30" s="154">
        <v>72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7">
        <v>129</v>
      </c>
      <c r="R30" s="157"/>
      <c r="S30" s="157">
        <v>95891415</v>
      </c>
      <c r="T30" s="45">
        <f t="shared" si="4"/>
        <v>6007</v>
      </c>
      <c r="U30" s="46">
        <f t="shared" si="5"/>
        <v>144.16800000000001</v>
      </c>
      <c r="V30" s="46">
        <f t="shared" si="6"/>
        <v>6.0069999999999997</v>
      </c>
      <c r="W30" s="96">
        <v>4.3</v>
      </c>
      <c r="X30" s="96">
        <f t="shared" si="1"/>
        <v>4.3</v>
      </c>
      <c r="Y30" s="97" t="s">
        <v>169</v>
      </c>
      <c r="Z30" s="158">
        <v>0</v>
      </c>
      <c r="AA30" s="158">
        <v>1016</v>
      </c>
      <c r="AB30" s="158">
        <v>1186</v>
      </c>
      <c r="AC30" s="158">
        <v>0</v>
      </c>
      <c r="AD30" s="158">
        <v>1187</v>
      </c>
      <c r="AE30" s="158">
        <v>1185</v>
      </c>
      <c r="AF30" s="47" t="s">
        <v>90</v>
      </c>
      <c r="AG30" s="47" t="s">
        <v>90</v>
      </c>
      <c r="AH30" s="98" t="s">
        <v>90</v>
      </c>
      <c r="AI30" s="103">
        <v>16090934</v>
      </c>
      <c r="AJ30" s="45">
        <f t="shared" si="7"/>
        <v>1196</v>
      </c>
      <c r="AK30" s="48">
        <f>AJ29/V30</f>
        <v>193.10804061927752</v>
      </c>
      <c r="AL30" s="155">
        <v>0</v>
      </c>
      <c r="AM30" s="155">
        <v>1</v>
      </c>
      <c r="AN30" s="155">
        <v>1</v>
      </c>
      <c r="AO30" s="155">
        <v>0</v>
      </c>
      <c r="AP30" s="155">
        <v>1</v>
      </c>
      <c r="AQ30" s="155">
        <v>1</v>
      </c>
      <c r="AR30" s="155">
        <v>0</v>
      </c>
      <c r="AS30" s="158"/>
      <c r="AT30" s="158">
        <f t="shared" si="9"/>
        <v>0</v>
      </c>
      <c r="AU30" s="159">
        <v>1.03</v>
      </c>
      <c r="AV30" s="50" t="s">
        <v>124</v>
      </c>
      <c r="AY30" s="55" t="s">
        <v>114</v>
      </c>
      <c r="AZ30" s="55">
        <v>101.325</v>
      </c>
      <c r="BB30" s="74" t="s">
        <v>271</v>
      </c>
    </row>
    <row r="31" spans="1:54" x14ac:dyDescent="0.35">
      <c r="A31" s="357">
        <v>43247</v>
      </c>
      <c r="B31" s="40">
        <v>2.75</v>
      </c>
      <c r="C31" s="40">
        <v>0.79166666666666896</v>
      </c>
      <c r="D31" s="156">
        <v>4</v>
      </c>
      <c r="E31" s="154">
        <f t="shared" si="2"/>
        <v>2.8169014084507045</v>
      </c>
      <c r="F31" s="154">
        <v>-3</v>
      </c>
      <c r="G31" s="118">
        <v>75</v>
      </c>
      <c r="H31" s="154">
        <f t="shared" si="0"/>
        <v>52.816901408450704</v>
      </c>
      <c r="I31" s="154">
        <v>73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7">
        <v>130</v>
      </c>
      <c r="R31" s="157"/>
      <c r="S31" s="157">
        <v>95897185</v>
      </c>
      <c r="T31" s="45">
        <f t="shared" si="4"/>
        <v>5770</v>
      </c>
      <c r="U31" s="46">
        <f t="shared" si="5"/>
        <v>138.47999999999999</v>
      </c>
      <c r="V31" s="46">
        <f t="shared" si="6"/>
        <v>5.77</v>
      </c>
      <c r="W31" s="96">
        <v>3.8</v>
      </c>
      <c r="X31" s="96">
        <f t="shared" si="1"/>
        <v>3.8</v>
      </c>
      <c r="Y31" s="97" t="s">
        <v>169</v>
      </c>
      <c r="Z31" s="158">
        <v>0</v>
      </c>
      <c r="AA31" s="158">
        <v>1016</v>
      </c>
      <c r="AB31" s="158">
        <v>1187</v>
      </c>
      <c r="AC31" s="158">
        <v>0</v>
      </c>
      <c r="AD31" s="158">
        <v>1187</v>
      </c>
      <c r="AE31" s="158">
        <v>1185</v>
      </c>
      <c r="AF31" s="47" t="s">
        <v>90</v>
      </c>
      <c r="AG31" s="47" t="s">
        <v>90</v>
      </c>
      <c r="AH31" s="98" t="s">
        <v>90</v>
      </c>
      <c r="AI31" s="103">
        <v>16092074</v>
      </c>
      <c r="AJ31" s="45">
        <f t="shared" si="7"/>
        <v>1140</v>
      </c>
      <c r="AK31" s="48">
        <f t="shared" si="8"/>
        <v>197.5736568457539</v>
      </c>
      <c r="AL31" s="155">
        <v>0</v>
      </c>
      <c r="AM31" s="155">
        <v>1</v>
      </c>
      <c r="AN31" s="155">
        <v>1</v>
      </c>
      <c r="AO31" s="155">
        <v>0</v>
      </c>
      <c r="AP31" s="155">
        <v>1</v>
      </c>
      <c r="AQ31" s="155">
        <v>1</v>
      </c>
      <c r="AR31" s="155">
        <v>0</v>
      </c>
      <c r="AS31" s="158"/>
      <c r="AT31" s="158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357">
        <v>43247</v>
      </c>
      <c r="B32" s="40">
        <v>2.7916666666666701</v>
      </c>
      <c r="C32" s="40">
        <v>0.83333333333333703</v>
      </c>
      <c r="D32" s="156">
        <v>4</v>
      </c>
      <c r="E32" s="154">
        <f t="shared" si="2"/>
        <v>2.8169014084507045</v>
      </c>
      <c r="F32" s="154">
        <v>-3</v>
      </c>
      <c r="G32" s="118">
        <v>74</v>
      </c>
      <c r="H32" s="154">
        <f t="shared" si="0"/>
        <v>52.112676056338032</v>
      </c>
      <c r="I32" s="154">
        <v>71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7">
        <v>128</v>
      </c>
      <c r="R32" s="157"/>
      <c r="S32" s="157">
        <v>95903103</v>
      </c>
      <c r="T32" s="45">
        <f t="shared" si="4"/>
        <v>5918</v>
      </c>
      <c r="U32" s="46">
        <f t="shared" si="5"/>
        <v>142.03200000000001</v>
      </c>
      <c r="V32" s="46">
        <f t="shared" si="6"/>
        <v>5.9180000000000001</v>
      </c>
      <c r="W32" s="96">
        <v>3.4</v>
      </c>
      <c r="X32" s="96">
        <f t="shared" si="1"/>
        <v>3.4</v>
      </c>
      <c r="Y32" s="97" t="s">
        <v>169</v>
      </c>
      <c r="Z32" s="158">
        <v>0</v>
      </c>
      <c r="AA32" s="158">
        <v>1015</v>
      </c>
      <c r="AB32" s="158">
        <v>1187</v>
      </c>
      <c r="AC32" s="158">
        <v>0</v>
      </c>
      <c r="AD32" s="158">
        <v>1187</v>
      </c>
      <c r="AE32" s="158">
        <v>1185</v>
      </c>
      <c r="AF32" s="47" t="s">
        <v>90</v>
      </c>
      <c r="AG32" s="47" t="s">
        <v>90</v>
      </c>
      <c r="AH32" s="98" t="s">
        <v>90</v>
      </c>
      <c r="AI32" s="103">
        <v>16093241</v>
      </c>
      <c r="AJ32" s="45">
        <f t="shared" si="7"/>
        <v>1167</v>
      </c>
      <c r="AK32" s="48">
        <f t="shared" si="8"/>
        <v>197.19499831023995</v>
      </c>
      <c r="AL32" s="155">
        <v>0</v>
      </c>
      <c r="AM32" s="155">
        <v>1</v>
      </c>
      <c r="AN32" s="155">
        <v>1</v>
      </c>
      <c r="AO32" s="155">
        <v>0</v>
      </c>
      <c r="AP32" s="155">
        <v>1</v>
      </c>
      <c r="AQ32" s="155">
        <v>1</v>
      </c>
      <c r="AR32" s="155">
        <v>0</v>
      </c>
      <c r="AS32" s="158"/>
      <c r="AT32" s="158">
        <v>0</v>
      </c>
      <c r="AU32" s="49"/>
      <c r="AV32" s="50" t="s">
        <v>124</v>
      </c>
      <c r="AY32" s="308" t="s">
        <v>115</v>
      </c>
      <c r="AZ32" s="308"/>
      <c r="BB32" s="74" t="s">
        <v>156</v>
      </c>
    </row>
    <row r="33" spans="1:54" x14ac:dyDescent="0.35">
      <c r="A33" s="357">
        <v>43247</v>
      </c>
      <c r="B33" s="40">
        <v>2.8333333333333299</v>
      </c>
      <c r="C33" s="40">
        <v>0.875</v>
      </c>
      <c r="D33" s="156">
        <v>4</v>
      </c>
      <c r="E33" s="154">
        <f t="shared" si="2"/>
        <v>2.8169014084507045</v>
      </c>
      <c r="F33" s="154">
        <v>-4</v>
      </c>
      <c r="G33" s="118">
        <v>75</v>
      </c>
      <c r="H33" s="154">
        <f t="shared" si="0"/>
        <v>52.816901408450704</v>
      </c>
      <c r="I33" s="154">
        <v>73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7">
        <v>128</v>
      </c>
      <c r="R33" s="157"/>
      <c r="S33" s="157">
        <v>95909105</v>
      </c>
      <c r="T33" s="45">
        <f t="shared" si="4"/>
        <v>6002</v>
      </c>
      <c r="U33" s="46">
        <f t="shared" si="5"/>
        <v>144.048</v>
      </c>
      <c r="V33" s="46">
        <f t="shared" si="6"/>
        <v>6.0019999999999998</v>
      </c>
      <c r="W33" s="96">
        <v>3</v>
      </c>
      <c r="X33" s="96">
        <f t="shared" si="1"/>
        <v>3</v>
      </c>
      <c r="Y33" s="97" t="s">
        <v>169</v>
      </c>
      <c r="Z33" s="158">
        <v>0</v>
      </c>
      <c r="AA33" s="158">
        <v>1015</v>
      </c>
      <c r="AB33" s="158">
        <v>1186</v>
      </c>
      <c r="AC33" s="158">
        <v>0</v>
      </c>
      <c r="AD33" s="158">
        <v>1186</v>
      </c>
      <c r="AE33" s="158">
        <v>1185</v>
      </c>
      <c r="AF33" s="47" t="s">
        <v>90</v>
      </c>
      <c r="AG33" s="47" t="s">
        <v>90</v>
      </c>
      <c r="AH33" s="98" t="s">
        <v>90</v>
      </c>
      <c r="AI33" s="103">
        <v>16094432</v>
      </c>
      <c r="AJ33" s="45">
        <f t="shared" si="7"/>
        <v>1191</v>
      </c>
      <c r="AK33" s="48">
        <f t="shared" si="8"/>
        <v>198.4338553815395</v>
      </c>
      <c r="AL33" s="155">
        <v>0</v>
      </c>
      <c r="AM33" s="155">
        <v>1</v>
      </c>
      <c r="AN33" s="155">
        <v>1</v>
      </c>
      <c r="AO33" s="155">
        <v>0</v>
      </c>
      <c r="AP33" s="155">
        <v>1</v>
      </c>
      <c r="AQ33" s="155">
        <v>1</v>
      </c>
      <c r="AR33" s="155">
        <v>0</v>
      </c>
      <c r="AS33" s="158"/>
      <c r="AT33" s="158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57">
        <v>43247</v>
      </c>
      <c r="B34" s="40">
        <v>2.875</v>
      </c>
      <c r="C34" s="40">
        <v>0.91666666666667096</v>
      </c>
      <c r="D34" s="156">
        <v>3</v>
      </c>
      <c r="E34" s="154">
        <f t="shared" si="2"/>
        <v>2.1126760563380285</v>
      </c>
      <c r="F34" s="154">
        <v>-2</v>
      </c>
      <c r="G34" s="118">
        <v>75</v>
      </c>
      <c r="H34" s="154">
        <f t="shared" si="0"/>
        <v>52.816901408450704</v>
      </c>
      <c r="I34" s="154">
        <v>71</v>
      </c>
      <c r="J34" s="41" t="s">
        <v>88</v>
      </c>
      <c r="K34" s="41">
        <f t="shared" si="3"/>
        <v>49.295774647887328</v>
      </c>
      <c r="L34" s="42">
        <f t="shared" si="13"/>
        <v>50.70422535211268</v>
      </c>
      <c r="M34" s="41">
        <f t="shared" si="12"/>
        <v>54.929577464788736</v>
      </c>
      <c r="N34" s="43">
        <v>14</v>
      </c>
      <c r="O34" s="44" t="s">
        <v>116</v>
      </c>
      <c r="P34" s="44">
        <v>12.6</v>
      </c>
      <c r="Q34" s="157">
        <v>134</v>
      </c>
      <c r="R34" s="157"/>
      <c r="S34" s="157">
        <v>95914928</v>
      </c>
      <c r="T34" s="45">
        <f t="shared" si="4"/>
        <v>5823</v>
      </c>
      <c r="U34" s="46">
        <f t="shared" si="5"/>
        <v>139.75200000000001</v>
      </c>
      <c r="V34" s="46">
        <f t="shared" si="6"/>
        <v>5.8230000000000004</v>
      </c>
      <c r="W34" s="96">
        <v>2.7</v>
      </c>
      <c r="X34" s="96">
        <f t="shared" si="1"/>
        <v>2.7</v>
      </c>
      <c r="Y34" s="97" t="s">
        <v>169</v>
      </c>
      <c r="Z34" s="158">
        <v>0</v>
      </c>
      <c r="AA34" s="158">
        <v>1015</v>
      </c>
      <c r="AB34" s="158">
        <v>1187</v>
      </c>
      <c r="AC34" s="158">
        <v>0</v>
      </c>
      <c r="AD34" s="158">
        <v>1187</v>
      </c>
      <c r="AE34" s="158">
        <v>1185</v>
      </c>
      <c r="AF34" s="47" t="s">
        <v>90</v>
      </c>
      <c r="AG34" s="47" t="s">
        <v>90</v>
      </c>
      <c r="AH34" s="98" t="s">
        <v>90</v>
      </c>
      <c r="AI34" s="103">
        <v>16095588</v>
      </c>
      <c r="AJ34" s="45">
        <f t="shared" si="7"/>
        <v>1156</v>
      </c>
      <c r="AK34" s="48">
        <f t="shared" si="8"/>
        <v>198.52309805941954</v>
      </c>
      <c r="AL34" s="155">
        <v>0</v>
      </c>
      <c r="AM34" s="155">
        <v>1</v>
      </c>
      <c r="AN34" s="155">
        <v>1</v>
      </c>
      <c r="AO34" s="155">
        <v>0</v>
      </c>
      <c r="AP34" s="155">
        <v>1</v>
      </c>
      <c r="AQ34" s="155">
        <v>1</v>
      </c>
      <c r="AR34" s="155">
        <v>0</v>
      </c>
      <c r="AS34" s="158"/>
      <c r="AT34" s="158">
        <f>AS34-AS33</f>
        <v>0</v>
      </c>
      <c r="AU34" s="119">
        <v>1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357">
        <v>43247</v>
      </c>
      <c r="B35" s="40">
        <v>2.9166666666666701</v>
      </c>
      <c r="C35" s="40">
        <v>0.95833333333333803</v>
      </c>
      <c r="D35" s="156">
        <v>3</v>
      </c>
      <c r="E35" s="154">
        <f t="shared" si="2"/>
        <v>2.1126760563380285</v>
      </c>
      <c r="F35" s="154">
        <v>0</v>
      </c>
      <c r="G35" s="118">
        <v>75</v>
      </c>
      <c r="H35" s="154">
        <f t="shared" si="0"/>
        <v>52.816901408450704</v>
      </c>
      <c r="I35" s="154">
        <v>73</v>
      </c>
      <c r="J35" s="41" t="s">
        <v>88</v>
      </c>
      <c r="K35" s="41">
        <f>L35-(2/1.42)</f>
        <v>47.887323943661976</v>
      </c>
      <c r="L35" s="42">
        <f>(G35-5)/1.42</f>
        <v>49.295774647887328</v>
      </c>
      <c r="M35" s="41">
        <f t="shared" si="12"/>
        <v>53.521126760563384</v>
      </c>
      <c r="N35" s="43">
        <v>14</v>
      </c>
      <c r="O35" s="44" t="s">
        <v>116</v>
      </c>
      <c r="P35" s="44">
        <v>11.9</v>
      </c>
      <c r="Q35" s="157">
        <v>129</v>
      </c>
      <c r="R35" s="157"/>
      <c r="S35" s="157">
        <v>95920808</v>
      </c>
      <c r="T35" s="45">
        <f t="shared" si="4"/>
        <v>5880</v>
      </c>
      <c r="U35" s="46">
        <f t="shared" si="5"/>
        <v>141.12</v>
      </c>
      <c r="V35" s="46">
        <f t="shared" si="6"/>
        <v>5.88</v>
      </c>
      <c r="W35" s="96">
        <v>3</v>
      </c>
      <c r="X35" s="96">
        <f t="shared" si="1"/>
        <v>3</v>
      </c>
      <c r="Y35" s="97" t="s">
        <v>138</v>
      </c>
      <c r="Z35" s="158">
        <v>0</v>
      </c>
      <c r="AA35" s="158">
        <v>0</v>
      </c>
      <c r="AB35" s="158">
        <v>1187</v>
      </c>
      <c r="AC35" s="158">
        <v>0</v>
      </c>
      <c r="AD35" s="158">
        <v>1187</v>
      </c>
      <c r="AE35" s="158">
        <v>1185</v>
      </c>
      <c r="AF35" s="47" t="s">
        <v>90</v>
      </c>
      <c r="AG35" s="47" t="s">
        <v>90</v>
      </c>
      <c r="AH35" s="98" t="s">
        <v>90</v>
      </c>
      <c r="AI35" s="103">
        <v>16096690</v>
      </c>
      <c r="AJ35" s="45">
        <f t="shared" si="7"/>
        <v>1102</v>
      </c>
      <c r="AK35" s="48">
        <f t="shared" si="8"/>
        <v>187.41496598639455</v>
      </c>
      <c r="AL35" s="155">
        <v>0</v>
      </c>
      <c r="AM35" s="155">
        <v>0</v>
      </c>
      <c r="AN35" s="155">
        <v>1</v>
      </c>
      <c r="AO35" s="155">
        <v>0</v>
      </c>
      <c r="AP35" s="155">
        <v>1</v>
      </c>
      <c r="AQ35" s="155">
        <v>1</v>
      </c>
      <c r="AR35" s="155">
        <v>0</v>
      </c>
      <c r="AS35" s="158"/>
      <c r="AT35" s="158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357">
        <v>43247</v>
      </c>
      <c r="B36" s="40">
        <v>2.9583333333333299</v>
      </c>
      <c r="C36" s="40">
        <v>1</v>
      </c>
      <c r="D36" s="156">
        <v>3</v>
      </c>
      <c r="E36" s="154">
        <f t="shared" si="2"/>
        <v>2.1126760563380285</v>
      </c>
      <c r="F36" s="154">
        <v>0</v>
      </c>
      <c r="G36" s="118">
        <v>70</v>
      </c>
      <c r="H36" s="154">
        <f t="shared" si="0"/>
        <v>49.295774647887328</v>
      </c>
      <c r="I36" s="154">
        <v>74</v>
      </c>
      <c r="J36" s="41" t="s">
        <v>88</v>
      </c>
      <c r="K36" s="41">
        <f t="shared" si="3"/>
        <v>44.366197183098592</v>
      </c>
      <c r="L36" s="42">
        <f>(G36-5)/1.42</f>
        <v>45.774647887323944</v>
      </c>
      <c r="M36" s="41">
        <f t="shared" si="12"/>
        <v>50</v>
      </c>
      <c r="N36" s="43">
        <v>14</v>
      </c>
      <c r="O36" s="44" t="s">
        <v>116</v>
      </c>
      <c r="P36" s="58">
        <v>11.5</v>
      </c>
      <c r="Q36" s="157">
        <v>147</v>
      </c>
      <c r="R36" s="157"/>
      <c r="S36" s="157">
        <v>95925962</v>
      </c>
      <c r="T36" s="45">
        <f t="shared" si="4"/>
        <v>5154</v>
      </c>
      <c r="U36" s="46">
        <f t="shared" si="5"/>
        <v>123.696</v>
      </c>
      <c r="V36" s="46">
        <f t="shared" si="6"/>
        <v>5.1539999999999999</v>
      </c>
      <c r="W36" s="96">
        <v>4</v>
      </c>
      <c r="X36" s="96">
        <f t="shared" si="1"/>
        <v>4</v>
      </c>
      <c r="Y36" s="97" t="s">
        <v>138</v>
      </c>
      <c r="Z36" s="158">
        <v>0</v>
      </c>
      <c r="AA36" s="158">
        <v>0</v>
      </c>
      <c r="AB36" s="158">
        <v>1187</v>
      </c>
      <c r="AC36" s="158">
        <v>0</v>
      </c>
      <c r="AD36" s="158">
        <v>1187</v>
      </c>
      <c r="AE36" s="158">
        <v>1185</v>
      </c>
      <c r="AF36" s="47" t="s">
        <v>90</v>
      </c>
      <c r="AG36" s="47" t="s">
        <v>90</v>
      </c>
      <c r="AH36" s="98" t="s">
        <v>90</v>
      </c>
      <c r="AI36" s="103">
        <v>16097818</v>
      </c>
      <c r="AJ36" s="45">
        <f t="shared" si="7"/>
        <v>1128</v>
      </c>
      <c r="AK36" s="48">
        <f t="shared" si="8"/>
        <v>218.85913853317811</v>
      </c>
      <c r="AL36" s="155">
        <v>0</v>
      </c>
      <c r="AM36" s="155">
        <v>0</v>
      </c>
      <c r="AN36" s="155">
        <v>1</v>
      </c>
      <c r="AO36" s="155">
        <v>0</v>
      </c>
      <c r="AP36" s="155">
        <v>1</v>
      </c>
      <c r="AQ36" s="155">
        <v>1</v>
      </c>
      <c r="AR36" s="155">
        <v>0</v>
      </c>
      <c r="AS36" s="158"/>
      <c r="AT36" s="158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73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09" t="s">
        <v>118</v>
      </c>
      <c r="O37" s="310"/>
      <c r="P37" s="311"/>
      <c r="Q37" s="101"/>
      <c r="R37" s="101"/>
      <c r="S37" s="101"/>
      <c r="T37" s="60">
        <f>SUM(T13:T36)</f>
        <v>122227</v>
      </c>
      <c r="U37" s="46">
        <f t="shared" si="5"/>
        <v>2933.4479999999999</v>
      </c>
      <c r="V37" s="46">
        <f t="shared" si="6"/>
        <v>122.227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27569</v>
      </c>
      <c r="AK37" s="61">
        <f>$AJ$37/$V37</f>
        <v>225.55572827607648</v>
      </c>
      <c r="AL37" s="155"/>
      <c r="AM37" s="155"/>
      <c r="AN37" s="155"/>
      <c r="AO37" s="155"/>
      <c r="AP37" s="155"/>
      <c r="AQ37" s="155"/>
      <c r="AR37" s="62"/>
      <c r="AS37" s="63">
        <f>AS36-AS11</f>
        <v>0</v>
      </c>
      <c r="AT37" s="64">
        <f>SUM(AT13:AT36)</f>
        <v>0</v>
      </c>
      <c r="AU37" s="65">
        <f>AVERAGE(AU13:AU36)</f>
        <v>0.9916666666666667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7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8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8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4"/>
      <c r="D47" s="164"/>
      <c r="E47" s="164"/>
      <c r="F47" s="164"/>
      <c r="G47" s="164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71" t="s">
        <v>220</v>
      </c>
      <c r="C48" s="172"/>
      <c r="D48" s="172"/>
      <c r="E48" s="172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70"/>
      <c r="D49" s="170"/>
      <c r="E49" s="170"/>
      <c r="F49" s="161"/>
      <c r="G49" s="161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163</v>
      </c>
      <c r="C50" s="143"/>
      <c r="D50" s="143"/>
      <c r="E50" s="143"/>
      <c r="F50" s="130"/>
      <c r="G50" s="130"/>
      <c r="H50" s="160"/>
      <c r="I50" s="160"/>
      <c r="J50" s="160"/>
      <c r="K50" s="160"/>
      <c r="L50" s="160"/>
      <c r="M50" s="160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210</v>
      </c>
      <c r="B51" s="115" t="s">
        <v>229</v>
      </c>
      <c r="C51" s="143"/>
      <c r="D51" s="143"/>
      <c r="E51" s="143"/>
      <c r="F51" s="130"/>
      <c r="G51" s="130"/>
      <c r="H51" s="160"/>
      <c r="I51" s="160"/>
      <c r="J51" s="160"/>
      <c r="K51" s="160"/>
      <c r="L51" s="160"/>
      <c r="M51" s="160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270</v>
      </c>
      <c r="C52" s="120"/>
      <c r="D52" s="115"/>
      <c r="E52" s="115"/>
      <c r="F52" s="115"/>
      <c r="G52" s="115"/>
      <c r="H52" s="160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70"/>
      <c r="D53" s="170"/>
      <c r="E53" s="170"/>
      <c r="F53" s="170"/>
      <c r="G53" s="115"/>
      <c r="H53" s="115"/>
      <c r="I53" s="115"/>
      <c r="J53" s="115"/>
      <c r="K53" s="115"/>
      <c r="L53" s="115"/>
      <c r="M53" s="115"/>
      <c r="N53" s="163"/>
      <c r="O53" s="163"/>
      <c r="P53" s="163"/>
      <c r="Q53" s="163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32" t="s">
        <v>170</v>
      </c>
      <c r="C54" s="153"/>
      <c r="D54" s="170"/>
      <c r="E54" s="170"/>
      <c r="F54" s="170"/>
      <c r="G54" s="170"/>
      <c r="H54" s="170"/>
      <c r="I54" s="170"/>
      <c r="J54" s="169"/>
      <c r="K54" s="166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70"/>
      <c r="E55" s="153"/>
      <c r="F55" s="153"/>
      <c r="G55" s="153"/>
      <c r="H55" s="153"/>
      <c r="I55" s="153"/>
      <c r="J55" s="169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172</v>
      </c>
      <c r="C56" s="115"/>
      <c r="D56" s="170"/>
      <c r="E56" s="153"/>
      <c r="F56" s="153"/>
      <c r="G56" s="153"/>
      <c r="H56" s="153"/>
      <c r="I56" s="153"/>
      <c r="J56" s="153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53" t="s">
        <v>266</v>
      </c>
      <c r="C57" s="170"/>
      <c r="D57" s="170"/>
      <c r="E57" s="153"/>
      <c r="F57" s="153"/>
      <c r="G57" s="153"/>
      <c r="H57" s="153"/>
      <c r="I57" s="153"/>
      <c r="J57" s="153"/>
      <c r="K57" s="166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174</v>
      </c>
      <c r="C58" s="170"/>
      <c r="D58" s="170"/>
      <c r="E58" s="115"/>
      <c r="F58" s="115"/>
      <c r="G58" s="115"/>
      <c r="H58" s="115"/>
      <c r="I58" s="153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62" t="s">
        <v>195</v>
      </c>
      <c r="C59" s="170"/>
      <c r="D59" s="170"/>
      <c r="E59" s="153"/>
      <c r="F59" s="153"/>
      <c r="G59" s="153"/>
      <c r="H59" s="153"/>
      <c r="I59" s="153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32"/>
      <c r="C60" s="170"/>
      <c r="D60" s="223"/>
      <c r="E60" s="223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62"/>
      <c r="C61" s="153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32"/>
      <c r="C62" s="115"/>
      <c r="D62" s="100"/>
      <c r="E62" s="100"/>
      <c r="F62" s="115"/>
      <c r="G62" s="115"/>
      <c r="H62" s="92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6"/>
      <c r="E63" s="166"/>
      <c r="F63" s="166"/>
      <c r="G63" s="166"/>
      <c r="H63" s="166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53"/>
      <c r="C64" s="115"/>
      <c r="D64" s="100"/>
      <c r="E64" s="100"/>
      <c r="F64" s="115"/>
      <c r="G64" s="115"/>
      <c r="H64" s="92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6"/>
      <c r="E65" s="166"/>
      <c r="F65" s="166"/>
      <c r="G65" s="166"/>
      <c r="H65" s="166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AV65" s="86"/>
      <c r="AW65" s="86"/>
      <c r="AX65" s="86"/>
      <c r="AY65" s="86"/>
      <c r="AZ65" s="86"/>
      <c r="BA65" s="86"/>
      <c r="BB65" s="86"/>
    </row>
    <row r="66" spans="2:54" x14ac:dyDescent="0.35">
      <c r="B66" s="162"/>
      <c r="C66" s="115"/>
      <c r="D66" s="166"/>
      <c r="E66" s="166"/>
      <c r="F66" s="166"/>
      <c r="G66" s="166"/>
      <c r="H66" s="166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6"/>
      <c r="E67" s="166"/>
      <c r="F67" s="166"/>
      <c r="G67" s="166"/>
      <c r="H67" s="166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Q13:Q36 S13:S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3" name="Range1_16_1_1_1_1_1_1_2_2_2_2_2_2_2_2_2_2_2_2_2_2_2_2_2_2_2_2_2_2_2_1_2_2_2_2_2_2_2_2_2_2_3_2_2_2_2_2_2_2_2_2_2_1_1_1_1_2_2_1_1_1_1_1_1_1_1_1_1_1_1_1_1_3_1"/>
    <protectedRange sqref="R4:W4" name="Range1_16_1_1_1_1_1_1_2_2_2_2_2_2_2_2_2_2_2_2_2_2_2_2_2_2_2_2_2_2_2_1_2_2_2_2_2_2_2_2_2_2_3_2_2_2_2_2_2_2_2_2_2_1_1_1_1_2_2_1_1_1_1_1_1_1_1_1_1_1_1_1_1_2_1_2_1_1_1_1_1_2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5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6"/>
    <protectedRange sqref="R5:W5" name="Range1_16_1_1_1_1_1_1_2_2_2_2_2_2_2_2_2_2_2_2_2_2_2_2_2_2_2_2_2_2_2_1_2_2_2_2_2_2_2_2_2_2_3_2_2_2_2_2_2_2_2_2_2_1_1_1_1_2_2_1_1_1_1_1_1_1_1_1_1_3_1_3_2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84" priority="5" operator="containsText" text="N/A">
      <formula>NOT(ISERROR(SEARCH("N/A",Z13)))</formula>
    </cfRule>
    <cfRule type="cellIs" dxfId="83" priority="17" operator="equal">
      <formula>0</formula>
    </cfRule>
  </conditionalFormatting>
  <conditionalFormatting sqref="Z13:AG36">
    <cfRule type="cellIs" dxfId="82" priority="16" operator="greaterThanOrEqual">
      <formula>1185</formula>
    </cfRule>
  </conditionalFormatting>
  <conditionalFormatting sqref="Z13:AG36">
    <cfRule type="cellIs" dxfId="81" priority="15" operator="between">
      <formula>0.1</formula>
      <formula>1184</formula>
    </cfRule>
  </conditionalFormatting>
  <conditionalFormatting sqref="Z8:Z9 AT13:AT36 AL37:AQ37 AL13:AR36">
    <cfRule type="cellIs" dxfId="80" priority="14" operator="equal">
      <formula>0</formula>
    </cfRule>
  </conditionalFormatting>
  <conditionalFormatting sqref="Z8:Z9 AT13:AT36 AL37:AQ37 AL13:AR36">
    <cfRule type="cellIs" dxfId="79" priority="13" operator="greaterThan">
      <formula>1179</formula>
    </cfRule>
  </conditionalFormatting>
  <conditionalFormatting sqref="Z8:Z9 AT13:AT36 AL37:AQ37 AL13:AR36">
    <cfRule type="cellIs" dxfId="78" priority="12" operator="greaterThan">
      <formula>99</formula>
    </cfRule>
  </conditionalFormatting>
  <conditionalFormatting sqref="Z8:Z9 AT13:AT36 AL37:AQ37 AL13:AR36">
    <cfRule type="cellIs" dxfId="77" priority="11" operator="greaterThan">
      <formula>0.99</formula>
    </cfRule>
  </conditionalFormatting>
  <conditionalFormatting sqref="AD8:AD9">
    <cfRule type="cellIs" dxfId="76" priority="10" operator="equal">
      <formula>0</formula>
    </cfRule>
  </conditionalFormatting>
  <conditionalFormatting sqref="AD8:AD9">
    <cfRule type="cellIs" dxfId="75" priority="9" operator="greaterThan">
      <formula>1179</formula>
    </cfRule>
  </conditionalFormatting>
  <conditionalFormatting sqref="AD8:AD9">
    <cfRule type="cellIs" dxfId="74" priority="8" operator="greaterThan">
      <formula>99</formula>
    </cfRule>
  </conditionalFormatting>
  <conditionalFormatting sqref="AD8:AD9">
    <cfRule type="cellIs" dxfId="73" priority="7" operator="greaterThan">
      <formula>0.99</formula>
    </cfRule>
  </conditionalFormatting>
  <conditionalFormatting sqref="AK13:AK36">
    <cfRule type="cellIs" dxfId="72" priority="6" operator="greaterThan">
      <formula>$AK$8</formula>
    </cfRule>
  </conditionalFormatting>
  <conditionalFormatting sqref="AS13:AS36">
    <cfRule type="containsText" dxfId="71" priority="1" operator="containsText" text="N/A">
      <formula>NOT(ISERROR(SEARCH("N/A",AS13)))</formula>
    </cfRule>
    <cfRule type="cellIs" dxfId="70" priority="4" operator="equal">
      <formula>0</formula>
    </cfRule>
  </conditionalFormatting>
  <conditionalFormatting sqref="AS13:AS36">
    <cfRule type="cellIs" dxfId="69" priority="3" operator="greaterThanOrEqual">
      <formula>1185</formula>
    </cfRule>
  </conditionalFormatting>
  <conditionalFormatting sqref="AS13:AS36">
    <cfRule type="cellIs" dxfId="68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A00-000000000000}">
      <formula1>$BB$11:$BB$42</formula1>
    </dataValidation>
    <dataValidation type="list" allowBlank="1" showInputMessage="1" showErrorMessage="1" sqref="AY33:AZ33" xr:uid="{00000000-0002-0000-1A00-000001000000}">
      <formula1>$AY$26:$AY$30</formula1>
    </dataValidation>
    <dataValidation type="list" allowBlank="1" showInputMessage="1" showErrorMessage="1" sqref="AS8:AT9 P11:P12 N11:N12 D8:E9 Q8:V9" xr:uid="{00000000-0002-0000-1A00-000002000000}">
      <formula1>#REF!</formula1>
    </dataValidation>
    <dataValidation type="list" allowBlank="1" showInputMessage="1" showErrorMessage="1" sqref="J13:J36" xr:uid="{00000000-0002-0000-1A00-000003000000}">
      <formula1>$AY$11:$AY$21</formula1>
    </dataValidation>
  </dataValidations>
  <hyperlinks>
    <hyperlink ref="J10:J11" location="'1'!AH8" display="Plant Status" xr:uid="{00000000-0004-0000-1A00-000000000000}"/>
  </hyperlinks>
  <pageMargins left="0.7" right="0.7" top="0.75" bottom="0.75" header="0.3" footer="0.3"/>
  <pageSetup paperSize="9" orientation="portrait" horizontalDpi="429496729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>
    <tabColor rgb="FF7030A0"/>
  </sheetPr>
  <dimension ref="A2:BB88"/>
  <sheetViews>
    <sheetView topLeftCell="A40" zoomScaleNormal="100" workbookViewId="0">
      <selection activeCell="B56" sqref="B56:B5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47" t="s">
        <v>134</v>
      </c>
      <c r="S3" s="348"/>
      <c r="T3" s="348"/>
      <c r="U3" s="348"/>
      <c r="V3" s="348"/>
      <c r="W3" s="34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47" t="s">
        <v>271</v>
      </c>
      <c r="S4" s="348"/>
      <c r="T4" s="348"/>
      <c r="U4" s="348"/>
      <c r="V4" s="348"/>
      <c r="W4" s="34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47" t="s">
        <v>151</v>
      </c>
      <c r="S5" s="348"/>
      <c r="T5" s="348"/>
      <c r="U5" s="348"/>
      <c r="V5" s="348"/>
      <c r="W5" s="34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50" t="s">
        <v>6</v>
      </c>
      <c r="C6" s="351"/>
      <c r="D6" s="352" t="s">
        <v>7</v>
      </c>
      <c r="E6" s="353"/>
      <c r="F6" s="353"/>
      <c r="G6" s="353"/>
      <c r="H6" s="353"/>
      <c r="I6" s="353"/>
      <c r="J6" s="354"/>
      <c r="K6" s="87"/>
      <c r="L6" s="87"/>
      <c r="M6" s="273"/>
      <c r="N6" s="355">
        <v>41686</v>
      </c>
      <c r="O6" s="356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37" t="s">
        <v>8</v>
      </c>
      <c r="C7" s="338"/>
      <c r="D7" s="337" t="s">
        <v>9</v>
      </c>
      <c r="E7" s="339"/>
      <c r="F7" s="339"/>
      <c r="G7" s="339"/>
      <c r="H7" s="339"/>
      <c r="I7" s="338"/>
      <c r="J7" s="278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78" t="s">
        <v>14</v>
      </c>
      <c r="R7" s="337" t="s">
        <v>15</v>
      </c>
      <c r="S7" s="339"/>
      <c r="T7" s="339"/>
      <c r="U7" s="339"/>
      <c r="V7" s="338"/>
      <c r="W7" s="337" t="s">
        <v>16</v>
      </c>
      <c r="X7" s="338"/>
      <c r="Y7" s="99" t="s">
        <v>17</v>
      </c>
      <c r="Z7" s="337" t="s">
        <v>18</v>
      </c>
      <c r="AA7" s="338"/>
      <c r="AB7" s="337" t="s">
        <v>19</v>
      </c>
      <c r="AC7" s="338"/>
      <c r="AD7" s="337" t="s">
        <v>20</v>
      </c>
      <c r="AE7" s="338"/>
      <c r="AF7" s="337" t="s">
        <v>21</v>
      </c>
      <c r="AG7" s="338"/>
      <c r="AH7" s="99" t="s">
        <v>22</v>
      </c>
      <c r="AI7" s="99" t="s">
        <v>23</v>
      </c>
      <c r="AJ7" s="99" t="s">
        <v>24</v>
      </c>
      <c r="AK7" s="99" t="s">
        <v>25</v>
      </c>
      <c r="AL7" s="337" t="s">
        <v>26</v>
      </c>
      <c r="AM7" s="339"/>
      <c r="AN7" s="339"/>
      <c r="AO7" s="339"/>
      <c r="AP7" s="339"/>
      <c r="AQ7" s="338"/>
      <c r="AR7" s="337" t="s">
        <v>27</v>
      </c>
      <c r="AS7" s="339"/>
      <c r="AT7" s="33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40">
        <v>43248</v>
      </c>
      <c r="C8" s="341"/>
      <c r="D8" s="342" t="s">
        <v>29</v>
      </c>
      <c r="E8" s="343"/>
      <c r="F8" s="343"/>
      <c r="G8" s="343"/>
      <c r="H8" s="343"/>
      <c r="I8" s="344"/>
      <c r="J8" s="28"/>
      <c r="K8" s="342" t="s">
        <v>29</v>
      </c>
      <c r="L8" s="343"/>
      <c r="M8" s="34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42" t="s">
        <v>33</v>
      </c>
      <c r="X8" s="344"/>
      <c r="Y8" s="30" t="s">
        <v>34</v>
      </c>
      <c r="Z8" s="326">
        <v>0</v>
      </c>
      <c r="AA8" s="327"/>
      <c r="AB8" s="345" t="s">
        <v>35</v>
      </c>
      <c r="AC8" s="346"/>
      <c r="AD8" s="326">
        <v>1185</v>
      </c>
      <c r="AE8" s="327"/>
      <c r="AF8" s="328">
        <v>800</v>
      </c>
      <c r="AG8" s="329"/>
      <c r="AH8" s="28"/>
      <c r="AI8" s="30">
        <f>AI36-AI11</f>
        <v>27822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79"/>
      <c r="C9" s="280"/>
      <c r="D9" s="281"/>
      <c r="E9" s="282"/>
      <c r="F9" s="282"/>
      <c r="G9" s="282"/>
      <c r="H9" s="282"/>
      <c r="I9" s="283"/>
      <c r="J9" s="121"/>
      <c r="K9" s="281"/>
      <c r="L9" s="282"/>
      <c r="M9" s="283"/>
      <c r="N9" s="29"/>
      <c r="O9" s="29"/>
      <c r="P9" s="29"/>
      <c r="Q9" s="121"/>
      <c r="R9" s="121"/>
      <c r="S9" s="121"/>
      <c r="T9" s="122"/>
      <c r="U9" s="123"/>
      <c r="V9" s="124"/>
      <c r="W9" s="281"/>
      <c r="X9" s="283"/>
      <c r="Y9" s="30"/>
      <c r="Z9" s="276"/>
      <c r="AA9" s="125"/>
      <c r="AB9" s="126"/>
      <c r="AC9" s="126"/>
      <c r="AD9" s="125"/>
      <c r="AE9" s="125"/>
      <c r="AF9" s="127"/>
      <c r="AG9" s="277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30" t="s">
        <v>39</v>
      </c>
      <c r="C10" s="331"/>
      <c r="D10" s="330" t="s">
        <v>40</v>
      </c>
      <c r="E10" s="332"/>
      <c r="F10" s="331"/>
      <c r="G10" s="330" t="s">
        <v>41</v>
      </c>
      <c r="H10" s="332"/>
      <c r="I10" s="331"/>
      <c r="J10" s="333" t="s">
        <v>42</v>
      </c>
      <c r="K10" s="330" t="s">
        <v>43</v>
      </c>
      <c r="L10" s="332"/>
      <c r="M10" s="331"/>
      <c r="N10" s="99" t="s">
        <v>44</v>
      </c>
      <c r="O10" s="335" t="s">
        <v>45</v>
      </c>
      <c r="P10" s="33" t="s">
        <v>46</v>
      </c>
      <c r="Q10" s="324" t="s">
        <v>47</v>
      </c>
      <c r="R10" s="324" t="s">
        <v>48</v>
      </c>
      <c r="S10" s="34" t="s">
        <v>49</v>
      </c>
      <c r="T10" s="312" t="s">
        <v>50</v>
      </c>
      <c r="U10" s="313"/>
      <c r="V10" s="314"/>
      <c r="W10" s="274" t="s">
        <v>51</v>
      </c>
      <c r="X10" s="274" t="s">
        <v>52</v>
      </c>
      <c r="Y10" s="318" t="s">
        <v>53</v>
      </c>
      <c r="Z10" s="319" t="s">
        <v>54</v>
      </c>
      <c r="AA10" s="320"/>
      <c r="AB10" s="320"/>
      <c r="AC10" s="320"/>
      <c r="AD10" s="320"/>
      <c r="AE10" s="320"/>
      <c r="AF10" s="320"/>
      <c r="AG10" s="321"/>
      <c r="AH10" s="272" t="s">
        <v>55</v>
      </c>
      <c r="AI10" s="272" t="s">
        <v>56</v>
      </c>
      <c r="AJ10" s="307" t="s">
        <v>57</v>
      </c>
      <c r="AK10" s="322" t="s">
        <v>58</v>
      </c>
      <c r="AL10" s="274" t="s">
        <v>59</v>
      </c>
      <c r="AM10" s="274" t="s">
        <v>60</v>
      </c>
      <c r="AN10" s="274" t="s">
        <v>61</v>
      </c>
      <c r="AO10" s="274" t="s">
        <v>62</v>
      </c>
      <c r="AP10" s="274" t="s">
        <v>63</v>
      </c>
      <c r="AQ10" s="274" t="s">
        <v>123</v>
      </c>
      <c r="AR10" s="274" t="s">
        <v>64</v>
      </c>
      <c r="AS10" s="274" t="s">
        <v>65</v>
      </c>
      <c r="AT10" s="324" t="s">
        <v>66</v>
      </c>
      <c r="AU10" s="274" t="s">
        <v>67</v>
      </c>
      <c r="AV10" s="30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74" t="s">
        <v>72</v>
      </c>
      <c r="C11" s="274" t="s">
        <v>73</v>
      </c>
      <c r="D11" s="274" t="s">
        <v>74</v>
      </c>
      <c r="E11" s="274" t="s">
        <v>75</v>
      </c>
      <c r="F11" s="274" t="s">
        <v>126</v>
      </c>
      <c r="G11" s="274" t="s">
        <v>74</v>
      </c>
      <c r="H11" s="274" t="s">
        <v>75</v>
      </c>
      <c r="I11" s="274" t="s">
        <v>126</v>
      </c>
      <c r="J11" s="334"/>
      <c r="K11" s="274" t="s">
        <v>75</v>
      </c>
      <c r="L11" s="274" t="s">
        <v>75</v>
      </c>
      <c r="M11" s="274" t="s">
        <v>75</v>
      </c>
      <c r="N11" s="28" t="s">
        <v>29</v>
      </c>
      <c r="O11" s="336"/>
      <c r="P11" s="28" t="s">
        <v>29</v>
      </c>
      <c r="Q11" s="325"/>
      <c r="R11" s="325"/>
      <c r="S11" s="1">
        <f>'MAY 27'!S36</f>
        <v>95925962</v>
      </c>
      <c r="T11" s="315"/>
      <c r="U11" s="316"/>
      <c r="V11" s="317"/>
      <c r="W11" s="274" t="s">
        <v>75</v>
      </c>
      <c r="X11" s="274" t="s">
        <v>75</v>
      </c>
      <c r="Y11" s="31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'MAY 27'!AI36</f>
        <v>16097818</v>
      </c>
      <c r="AJ11" s="307"/>
      <c r="AK11" s="323"/>
      <c r="AL11" s="274" t="s">
        <v>84</v>
      </c>
      <c r="AM11" s="274" t="s">
        <v>84</v>
      </c>
      <c r="AN11" s="274" t="s">
        <v>84</v>
      </c>
      <c r="AO11" s="274" t="s">
        <v>84</v>
      </c>
      <c r="AP11" s="274" t="s">
        <v>84</v>
      </c>
      <c r="AQ11" s="274" t="s">
        <v>84</v>
      </c>
      <c r="AR11" s="274" t="s">
        <v>84</v>
      </c>
      <c r="AS11" s="1"/>
      <c r="AT11" s="325"/>
      <c r="AU11" s="275" t="s">
        <v>85</v>
      </c>
      <c r="AV11" s="307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283</v>
      </c>
      <c r="B12" s="305" t="s">
        <v>284</v>
      </c>
      <c r="C12" s="305" t="s">
        <v>285</v>
      </c>
      <c r="D12" s="305" t="s">
        <v>286</v>
      </c>
      <c r="E12" s="305" t="s">
        <v>287</v>
      </c>
      <c r="F12" s="305" t="s">
        <v>288</v>
      </c>
      <c r="G12" s="305" t="s">
        <v>289</v>
      </c>
      <c r="H12" s="305" t="s">
        <v>290</v>
      </c>
      <c r="I12" s="305" t="s">
        <v>291</v>
      </c>
      <c r="J12" s="297" t="s">
        <v>292</v>
      </c>
      <c r="K12" s="305" t="s">
        <v>293</v>
      </c>
      <c r="L12" s="305" t="s">
        <v>294</v>
      </c>
      <c r="M12" s="305" t="s">
        <v>295</v>
      </c>
      <c r="N12" s="28" t="s">
        <v>296</v>
      </c>
      <c r="O12" s="298" t="s">
        <v>297</v>
      </c>
      <c r="P12" s="28" t="s">
        <v>298</v>
      </c>
      <c r="Q12" s="300" t="s">
        <v>299</v>
      </c>
      <c r="R12" s="300" t="s">
        <v>300</v>
      </c>
      <c r="S12" s="1" t="s">
        <v>301</v>
      </c>
      <c r="T12" s="302" t="s">
        <v>302</v>
      </c>
      <c r="U12" s="303" t="s">
        <v>303</v>
      </c>
      <c r="V12" s="304" t="s">
        <v>304</v>
      </c>
      <c r="W12" s="305" t="s">
        <v>305</v>
      </c>
      <c r="X12" s="305" t="s">
        <v>306</v>
      </c>
      <c r="Y12" s="305" t="s">
        <v>307</v>
      </c>
      <c r="Z12" s="37" t="s">
        <v>308</v>
      </c>
      <c r="AA12" s="37" t="s">
        <v>309</v>
      </c>
      <c r="AB12" s="37" t="s">
        <v>310</v>
      </c>
      <c r="AC12" s="37" t="s">
        <v>311</v>
      </c>
      <c r="AD12" s="37" t="s">
        <v>312</v>
      </c>
      <c r="AE12" s="37" t="s">
        <v>313</v>
      </c>
      <c r="AF12" s="37" t="s">
        <v>314</v>
      </c>
      <c r="AG12" s="37" t="s">
        <v>315</v>
      </c>
      <c r="AH12" s="38" t="s">
        <v>316</v>
      </c>
      <c r="AI12" s="1" t="s">
        <v>317</v>
      </c>
      <c r="AJ12" s="301" t="s">
        <v>318</v>
      </c>
      <c r="AK12" s="306" t="s">
        <v>319</v>
      </c>
      <c r="AL12" s="305" t="s">
        <v>320</v>
      </c>
      <c r="AM12" s="305" t="s">
        <v>321</v>
      </c>
      <c r="AN12" s="305" t="s">
        <v>322</v>
      </c>
      <c r="AO12" s="305" t="s">
        <v>323</v>
      </c>
      <c r="AP12" s="305" t="s">
        <v>324</v>
      </c>
      <c r="AQ12" s="305" t="s">
        <v>325</v>
      </c>
      <c r="AR12" s="305" t="s">
        <v>326</v>
      </c>
      <c r="AS12" s="1" t="s">
        <v>327</v>
      </c>
      <c r="AT12" s="300" t="s">
        <v>328</v>
      </c>
      <c r="AU12" s="299" t="s">
        <v>329</v>
      </c>
      <c r="AV12" s="301"/>
      <c r="AY12" s="39"/>
      <c r="AZ12" s="39"/>
      <c r="BB12" s="136"/>
    </row>
    <row r="13" spans="1:54" x14ac:dyDescent="0.35">
      <c r="A13" s="357">
        <v>43248</v>
      </c>
      <c r="B13" s="40">
        <v>2</v>
      </c>
      <c r="C13" s="40">
        <v>4.1666666666666664E-2</v>
      </c>
      <c r="D13" s="156">
        <v>3</v>
      </c>
      <c r="E13" s="154">
        <f>D13/1.42</f>
        <v>2.1126760563380285</v>
      </c>
      <c r="F13" s="154">
        <v>1</v>
      </c>
      <c r="G13" s="118">
        <v>70</v>
      </c>
      <c r="H13" s="154">
        <f t="shared" ref="H13:H36" si="0">G13/1.42</f>
        <v>49.295774647887328</v>
      </c>
      <c r="I13" s="154">
        <v>74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7">
        <v>140</v>
      </c>
      <c r="R13" s="157"/>
      <c r="S13" s="157">
        <v>95930912</v>
      </c>
      <c r="T13" s="45">
        <f>IF(ISBLANK(S13),"-",S13-S11)</f>
        <v>4950</v>
      </c>
      <c r="U13" s="46">
        <f>T13*24/1000</f>
        <v>118.8</v>
      </c>
      <c r="V13" s="46">
        <f>T13/1000</f>
        <v>4.95</v>
      </c>
      <c r="W13" s="96">
        <v>5.9</v>
      </c>
      <c r="X13" s="96">
        <f t="shared" ref="X13:X36" si="1">W13</f>
        <v>5.9</v>
      </c>
      <c r="Y13" s="97" t="s">
        <v>138</v>
      </c>
      <c r="Z13" s="158">
        <v>0</v>
      </c>
      <c r="AA13" s="158">
        <v>0</v>
      </c>
      <c r="AB13" s="158">
        <v>1187</v>
      </c>
      <c r="AC13" s="158">
        <v>0</v>
      </c>
      <c r="AD13" s="158">
        <v>1187</v>
      </c>
      <c r="AE13" s="158">
        <v>1185</v>
      </c>
      <c r="AF13" s="47" t="s">
        <v>90</v>
      </c>
      <c r="AG13" s="47" t="s">
        <v>90</v>
      </c>
      <c r="AH13" s="98" t="s">
        <v>90</v>
      </c>
      <c r="AI13" s="103">
        <v>16098915</v>
      </c>
      <c r="AJ13" s="45">
        <f>IF(ISBLANK(AI13),"-",AI13-AI11)</f>
        <v>1097</v>
      </c>
      <c r="AK13" s="48">
        <f>AJ13/V13</f>
        <v>221.61616161616161</v>
      </c>
      <c r="AL13" s="155">
        <v>0</v>
      </c>
      <c r="AM13" s="155">
        <v>0</v>
      </c>
      <c r="AN13" s="155">
        <v>1</v>
      </c>
      <c r="AO13" s="155">
        <v>0</v>
      </c>
      <c r="AP13" s="155">
        <v>1</v>
      </c>
      <c r="AQ13" s="155">
        <v>1</v>
      </c>
      <c r="AR13" s="155">
        <v>0.8</v>
      </c>
      <c r="AS13" s="158"/>
      <c r="AT13" s="158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357">
        <v>43248</v>
      </c>
      <c r="B14" s="40">
        <v>2.0416666666666701</v>
      </c>
      <c r="C14" s="40">
        <v>8.3333333333333329E-2</v>
      </c>
      <c r="D14" s="156">
        <v>3</v>
      </c>
      <c r="E14" s="154">
        <f t="shared" ref="E14:E36" si="2">D14/1.42</f>
        <v>2.1126760563380285</v>
      </c>
      <c r="F14" s="154">
        <v>3</v>
      </c>
      <c r="G14" s="118">
        <v>70</v>
      </c>
      <c r="H14" s="154">
        <f t="shared" si="0"/>
        <v>49.295774647887328</v>
      </c>
      <c r="I14" s="154">
        <v>76</v>
      </c>
      <c r="J14" s="41" t="s">
        <v>88</v>
      </c>
      <c r="K14" s="41">
        <f t="shared" ref="K14:K36" si="3">L14-(2/1.42)</f>
        <v>44.366197183098592</v>
      </c>
      <c r="L14" s="42">
        <f>(G14-5)/1.42</f>
        <v>45.774647887323944</v>
      </c>
      <c r="M14" s="41">
        <f>L14+(6/1.42)</f>
        <v>50</v>
      </c>
      <c r="N14" s="43">
        <v>14</v>
      </c>
      <c r="O14" s="44" t="s">
        <v>89</v>
      </c>
      <c r="P14" s="44">
        <v>11.2</v>
      </c>
      <c r="Q14" s="157">
        <v>139</v>
      </c>
      <c r="R14" s="157"/>
      <c r="S14" s="157">
        <v>95935851</v>
      </c>
      <c r="T14" s="45">
        <f t="shared" ref="T14:T36" si="4">IF(ISBLANK(S14),"-",S14-S13)</f>
        <v>4939</v>
      </c>
      <c r="U14" s="46">
        <f t="shared" ref="U14:U37" si="5">T14*24/1000</f>
        <v>118.536</v>
      </c>
      <c r="V14" s="46">
        <f t="shared" ref="V14:V37" si="6">T14/1000</f>
        <v>4.9390000000000001</v>
      </c>
      <c r="W14" s="96">
        <v>6.5</v>
      </c>
      <c r="X14" s="96">
        <f t="shared" si="1"/>
        <v>6.5</v>
      </c>
      <c r="Y14" s="97" t="s">
        <v>272</v>
      </c>
      <c r="Z14" s="158">
        <v>0</v>
      </c>
      <c r="AA14" s="158">
        <v>0</v>
      </c>
      <c r="AB14" s="158">
        <v>1187</v>
      </c>
      <c r="AC14" s="158">
        <v>0</v>
      </c>
      <c r="AD14" s="158">
        <v>1187</v>
      </c>
      <c r="AE14" s="158">
        <v>1185</v>
      </c>
      <c r="AF14" s="47" t="s">
        <v>90</v>
      </c>
      <c r="AG14" s="47" t="s">
        <v>90</v>
      </c>
      <c r="AH14" s="98" t="s">
        <v>90</v>
      </c>
      <c r="AI14" s="103">
        <v>16100012</v>
      </c>
      <c r="AJ14" s="45">
        <f t="shared" ref="AJ14:AJ36" si="7">IF(ISBLANK(AI14),"-",AI14-AI13)</f>
        <v>1097</v>
      </c>
      <c r="AK14" s="48">
        <f t="shared" ref="AK14:AK36" si="8">AJ14/V14</f>
        <v>222.10973881352501</v>
      </c>
      <c r="AL14" s="155">
        <v>0</v>
      </c>
      <c r="AM14" s="155">
        <v>0</v>
      </c>
      <c r="AN14" s="155">
        <v>1</v>
      </c>
      <c r="AO14" s="155">
        <v>0</v>
      </c>
      <c r="AP14" s="155">
        <v>1</v>
      </c>
      <c r="AQ14" s="155">
        <v>1</v>
      </c>
      <c r="AR14" s="155">
        <v>0.8</v>
      </c>
      <c r="AS14" s="158"/>
      <c r="AT14" s="158">
        <f t="shared" ref="AT14:AT35" si="9">AS14-AS13</f>
        <v>0</v>
      </c>
      <c r="AU14" s="119">
        <v>0.99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57">
        <v>43248</v>
      </c>
      <c r="B15" s="40">
        <v>2.0833333333333299</v>
      </c>
      <c r="C15" s="40">
        <v>0.125</v>
      </c>
      <c r="D15" s="156">
        <v>3</v>
      </c>
      <c r="E15" s="154">
        <f t="shared" si="2"/>
        <v>2.1126760563380285</v>
      </c>
      <c r="F15" s="154">
        <v>5</v>
      </c>
      <c r="G15" s="118">
        <v>72</v>
      </c>
      <c r="H15" s="154">
        <f t="shared" si="0"/>
        <v>50.70422535211268</v>
      </c>
      <c r="I15" s="154">
        <v>78</v>
      </c>
      <c r="J15" s="41" t="s">
        <v>88</v>
      </c>
      <c r="K15" s="41">
        <f t="shared" si="3"/>
        <v>45.774647887323944</v>
      </c>
      <c r="L15" s="42">
        <f>(G15-5)/1.42</f>
        <v>47.183098591549296</v>
      </c>
      <c r="M15" s="41">
        <f>L15+(6/1.42)</f>
        <v>51.408450704225352</v>
      </c>
      <c r="N15" s="43">
        <v>14</v>
      </c>
      <c r="O15" s="44" t="s">
        <v>89</v>
      </c>
      <c r="P15" s="44">
        <v>11.2</v>
      </c>
      <c r="Q15" s="157">
        <v>137</v>
      </c>
      <c r="R15" s="157"/>
      <c r="S15" s="157">
        <v>95940712</v>
      </c>
      <c r="T15" s="45">
        <f>IF(ISBLANK(S15),"-",S15-S14)</f>
        <v>4861</v>
      </c>
      <c r="U15" s="46">
        <f t="shared" si="5"/>
        <v>116.664</v>
      </c>
      <c r="V15" s="46">
        <f t="shared" si="6"/>
        <v>4.8609999999999998</v>
      </c>
      <c r="W15" s="96">
        <v>8.6999999999999993</v>
      </c>
      <c r="X15" s="96">
        <f t="shared" si="1"/>
        <v>8.6999999999999993</v>
      </c>
      <c r="Y15" s="97" t="s">
        <v>138</v>
      </c>
      <c r="Z15" s="158">
        <v>0</v>
      </c>
      <c r="AA15" s="158">
        <v>0</v>
      </c>
      <c r="AB15" s="158">
        <v>1187</v>
      </c>
      <c r="AC15" s="158">
        <v>0</v>
      </c>
      <c r="AD15" s="158">
        <v>1187</v>
      </c>
      <c r="AE15" s="158">
        <v>1185</v>
      </c>
      <c r="AF15" s="47" t="s">
        <v>90</v>
      </c>
      <c r="AG15" s="47" t="s">
        <v>90</v>
      </c>
      <c r="AH15" s="98" t="s">
        <v>90</v>
      </c>
      <c r="AI15" s="103">
        <v>16101121</v>
      </c>
      <c r="AJ15" s="45">
        <f t="shared" si="7"/>
        <v>1109</v>
      </c>
      <c r="AK15" s="48">
        <f t="shared" si="8"/>
        <v>228.14235753960091</v>
      </c>
      <c r="AL15" s="155">
        <v>0</v>
      </c>
      <c r="AM15" s="155">
        <v>0</v>
      </c>
      <c r="AN15" s="155">
        <v>1</v>
      </c>
      <c r="AO15" s="155">
        <v>0</v>
      </c>
      <c r="AP15" s="155">
        <v>1</v>
      </c>
      <c r="AQ15" s="155">
        <v>1</v>
      </c>
      <c r="AR15" s="155">
        <v>0.8</v>
      </c>
      <c r="AS15" s="158"/>
      <c r="AT15" s="158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357">
        <v>43248</v>
      </c>
      <c r="B16" s="40">
        <v>2.125</v>
      </c>
      <c r="C16" s="40">
        <v>0.16666666666666699</v>
      </c>
      <c r="D16" s="156" t="s">
        <v>179</v>
      </c>
      <c r="E16" s="154" t="e">
        <f t="shared" si="2"/>
        <v>#VALUE!</v>
      </c>
      <c r="F16" s="154">
        <v>7</v>
      </c>
      <c r="G16" s="118">
        <v>83</v>
      </c>
      <c r="H16" s="154">
        <f t="shared" si="0"/>
        <v>58.450704225352112</v>
      </c>
      <c r="I16" s="154">
        <v>79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7" t="s">
        <v>179</v>
      </c>
      <c r="R16" s="157"/>
      <c r="S16" s="157">
        <v>95945547</v>
      </c>
      <c r="T16" s="45">
        <f t="shared" si="4"/>
        <v>4835</v>
      </c>
      <c r="U16" s="46">
        <f t="shared" si="5"/>
        <v>116.04</v>
      </c>
      <c r="V16" s="46">
        <f t="shared" si="6"/>
        <v>4.835</v>
      </c>
      <c r="W16" s="96">
        <v>9.5</v>
      </c>
      <c r="X16" s="96">
        <f t="shared" si="1"/>
        <v>9.5</v>
      </c>
      <c r="Y16" s="97" t="s">
        <v>138</v>
      </c>
      <c r="Z16" s="158">
        <v>0</v>
      </c>
      <c r="AA16" s="158">
        <v>0</v>
      </c>
      <c r="AB16" s="158">
        <v>1187</v>
      </c>
      <c r="AC16" s="158">
        <v>0</v>
      </c>
      <c r="AD16" s="158">
        <v>1187</v>
      </c>
      <c r="AE16" s="158">
        <v>1185</v>
      </c>
      <c r="AF16" s="47" t="s">
        <v>90</v>
      </c>
      <c r="AG16" s="47" t="s">
        <v>90</v>
      </c>
      <c r="AH16" s="98" t="s">
        <v>90</v>
      </c>
      <c r="AI16" s="103">
        <v>16102290</v>
      </c>
      <c r="AJ16" s="45">
        <f t="shared" si="7"/>
        <v>1169</v>
      </c>
      <c r="AK16" s="48">
        <f t="shared" si="8"/>
        <v>241.77869700103412</v>
      </c>
      <c r="AL16" s="155">
        <v>0</v>
      </c>
      <c r="AM16" s="155">
        <v>0</v>
      </c>
      <c r="AN16" s="155">
        <v>1</v>
      </c>
      <c r="AO16" s="155">
        <v>0</v>
      </c>
      <c r="AP16" s="155">
        <v>1</v>
      </c>
      <c r="AQ16" s="155">
        <v>1</v>
      </c>
      <c r="AR16" s="155">
        <v>0</v>
      </c>
      <c r="AS16" s="158"/>
      <c r="AT16" s="158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357">
        <v>43248</v>
      </c>
      <c r="B17" s="40">
        <v>2.1666666666666701</v>
      </c>
      <c r="C17" s="40">
        <v>0.20833333333333301</v>
      </c>
      <c r="D17" s="156">
        <v>3</v>
      </c>
      <c r="E17" s="154">
        <f t="shared" si="2"/>
        <v>2.1126760563380285</v>
      </c>
      <c r="F17" s="154">
        <v>9</v>
      </c>
      <c r="G17" s="118">
        <v>81</v>
      </c>
      <c r="H17" s="154">
        <f t="shared" si="0"/>
        <v>57.04225352112676</v>
      </c>
      <c r="I17" s="154">
        <v>80</v>
      </c>
      <c r="J17" s="41" t="s">
        <v>88</v>
      </c>
      <c r="K17" s="41">
        <f t="shared" si="3"/>
        <v>52.112676056338032</v>
      </c>
      <c r="L17" s="42">
        <f>(G17-5)/1.42</f>
        <v>53.521126760563384</v>
      </c>
      <c r="M17" s="41">
        <f>L17+(6/1.42)</f>
        <v>57.74647887323944</v>
      </c>
      <c r="N17" s="43">
        <v>18</v>
      </c>
      <c r="O17" s="44" t="s">
        <v>89</v>
      </c>
      <c r="P17" s="44">
        <v>13.1</v>
      </c>
      <c r="Q17" s="157">
        <v>129</v>
      </c>
      <c r="R17" s="157"/>
      <c r="S17" s="157">
        <v>95949899</v>
      </c>
      <c r="T17" s="45">
        <f t="shared" si="4"/>
        <v>4352</v>
      </c>
      <c r="U17" s="46">
        <f t="shared" si="5"/>
        <v>104.44799999999999</v>
      </c>
      <c r="V17" s="46">
        <f t="shared" si="6"/>
        <v>4.3520000000000003</v>
      </c>
      <c r="W17" s="96">
        <v>9.5</v>
      </c>
      <c r="X17" s="96">
        <f t="shared" si="1"/>
        <v>9.5</v>
      </c>
      <c r="Y17" s="97" t="s">
        <v>138</v>
      </c>
      <c r="Z17" s="158">
        <v>0</v>
      </c>
      <c r="AA17" s="158">
        <v>0</v>
      </c>
      <c r="AB17" s="158">
        <v>1187</v>
      </c>
      <c r="AC17" s="158">
        <v>0</v>
      </c>
      <c r="AD17" s="158">
        <v>1187</v>
      </c>
      <c r="AE17" s="158">
        <v>1185</v>
      </c>
      <c r="AF17" s="47" t="s">
        <v>90</v>
      </c>
      <c r="AG17" s="47" t="s">
        <v>90</v>
      </c>
      <c r="AH17" s="98" t="s">
        <v>90</v>
      </c>
      <c r="AI17" s="103">
        <v>16103377</v>
      </c>
      <c r="AJ17" s="45">
        <f t="shared" si="7"/>
        <v>1087</v>
      </c>
      <c r="AK17" s="48">
        <f t="shared" si="8"/>
        <v>249.77022058823528</v>
      </c>
      <c r="AL17" s="155">
        <v>0</v>
      </c>
      <c r="AM17" s="155">
        <v>0</v>
      </c>
      <c r="AN17" s="155">
        <v>1</v>
      </c>
      <c r="AO17" s="155">
        <v>0</v>
      </c>
      <c r="AP17" s="155">
        <v>1</v>
      </c>
      <c r="AQ17" s="155">
        <v>1</v>
      </c>
      <c r="AR17" s="155">
        <v>0</v>
      </c>
      <c r="AS17" s="158"/>
      <c r="AT17" s="158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57">
        <v>43248</v>
      </c>
      <c r="B18" s="40">
        <v>2.2083333333333299</v>
      </c>
      <c r="C18" s="40">
        <v>0.25</v>
      </c>
      <c r="D18" s="156">
        <v>3</v>
      </c>
      <c r="E18" s="154">
        <f t="shared" si="2"/>
        <v>2.1126760563380285</v>
      </c>
      <c r="F18" s="154">
        <v>9</v>
      </c>
      <c r="G18" s="118">
        <v>80</v>
      </c>
      <c r="H18" s="154">
        <f t="shared" si="0"/>
        <v>56.338028169014088</v>
      </c>
      <c r="I18" s="154">
        <v>80</v>
      </c>
      <c r="J18" s="41" t="s">
        <v>88</v>
      </c>
      <c r="K18" s="41">
        <f t="shared" si="3"/>
        <v>54.929577464788736</v>
      </c>
      <c r="L18" s="42">
        <f t="shared" ref="L18:L27" si="10">G18/1.42</f>
        <v>56.338028169014088</v>
      </c>
      <c r="M18" s="41">
        <f>L18+1.42</f>
        <v>57.758028169014089</v>
      </c>
      <c r="N18" s="43">
        <v>19</v>
      </c>
      <c r="O18" s="44" t="s">
        <v>100</v>
      </c>
      <c r="P18" s="44">
        <v>13.1</v>
      </c>
      <c r="Q18" s="157">
        <v>132</v>
      </c>
      <c r="R18" s="157"/>
      <c r="S18" s="157">
        <v>95954914</v>
      </c>
      <c r="T18" s="45">
        <f t="shared" si="4"/>
        <v>5015</v>
      </c>
      <c r="U18" s="46">
        <f t="shared" si="5"/>
        <v>120.36</v>
      </c>
      <c r="V18" s="46">
        <f t="shared" si="6"/>
        <v>5.0149999999999997</v>
      </c>
      <c r="W18" s="96">
        <v>9.4</v>
      </c>
      <c r="X18" s="96">
        <f t="shared" si="1"/>
        <v>9.4</v>
      </c>
      <c r="Y18" s="97" t="s">
        <v>169</v>
      </c>
      <c r="Z18" s="158">
        <v>1006</v>
      </c>
      <c r="AA18" s="158">
        <v>0</v>
      </c>
      <c r="AB18" s="158">
        <v>1187</v>
      </c>
      <c r="AC18" s="158">
        <v>0</v>
      </c>
      <c r="AD18" s="158">
        <v>1187</v>
      </c>
      <c r="AE18" s="158">
        <v>1185</v>
      </c>
      <c r="AF18" s="47" t="s">
        <v>90</v>
      </c>
      <c r="AG18" s="47" t="s">
        <v>90</v>
      </c>
      <c r="AH18" s="98" t="s">
        <v>90</v>
      </c>
      <c r="AI18" s="103">
        <v>16104514</v>
      </c>
      <c r="AJ18" s="45">
        <f t="shared" si="7"/>
        <v>1137</v>
      </c>
      <c r="AK18" s="48">
        <f t="shared" si="8"/>
        <v>226.71984047856432</v>
      </c>
      <c r="AL18" s="155">
        <v>1</v>
      </c>
      <c r="AM18" s="155">
        <v>0</v>
      </c>
      <c r="AN18" s="155">
        <v>1</v>
      </c>
      <c r="AO18" s="155">
        <v>0</v>
      </c>
      <c r="AP18" s="155">
        <v>1</v>
      </c>
      <c r="AQ18" s="155">
        <v>1</v>
      </c>
      <c r="AR18" s="155">
        <v>0</v>
      </c>
      <c r="AS18" s="158"/>
      <c r="AT18" s="158">
        <f t="shared" si="9"/>
        <v>0</v>
      </c>
      <c r="AU18" s="119">
        <v>1.03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57">
        <v>43248</v>
      </c>
      <c r="B19" s="40">
        <v>2.25</v>
      </c>
      <c r="C19" s="40">
        <v>0.29166666666666669</v>
      </c>
      <c r="D19" s="156">
        <v>3</v>
      </c>
      <c r="E19" s="154">
        <f t="shared" si="2"/>
        <v>2.1126760563380285</v>
      </c>
      <c r="F19" s="154">
        <v>8</v>
      </c>
      <c r="G19" s="118">
        <v>79</v>
      </c>
      <c r="H19" s="154">
        <f t="shared" si="0"/>
        <v>55.633802816901408</v>
      </c>
      <c r="I19" s="154">
        <v>80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7">
        <v>134</v>
      </c>
      <c r="R19" s="157"/>
      <c r="S19" s="157">
        <v>95959519</v>
      </c>
      <c r="T19" s="45">
        <f t="shared" si="4"/>
        <v>4605</v>
      </c>
      <c r="U19" s="46">
        <f t="shared" si="5"/>
        <v>110.52</v>
      </c>
      <c r="V19" s="46">
        <f t="shared" si="6"/>
        <v>4.6050000000000004</v>
      </c>
      <c r="W19" s="96">
        <v>9.1</v>
      </c>
      <c r="X19" s="96">
        <f t="shared" si="1"/>
        <v>9.1</v>
      </c>
      <c r="Y19" s="97" t="s">
        <v>169</v>
      </c>
      <c r="Z19" s="158">
        <v>1037</v>
      </c>
      <c r="AA19" s="158">
        <v>0</v>
      </c>
      <c r="AB19" s="158">
        <v>1187</v>
      </c>
      <c r="AC19" s="158">
        <v>0</v>
      </c>
      <c r="AD19" s="158">
        <v>1187</v>
      </c>
      <c r="AE19" s="158">
        <v>1185</v>
      </c>
      <c r="AF19" s="47" t="s">
        <v>90</v>
      </c>
      <c r="AG19" s="47" t="s">
        <v>90</v>
      </c>
      <c r="AH19" s="98" t="s">
        <v>90</v>
      </c>
      <c r="AI19" s="103">
        <v>16105654</v>
      </c>
      <c r="AJ19" s="45">
        <f t="shared" si="7"/>
        <v>1140</v>
      </c>
      <c r="AK19" s="48">
        <f t="shared" si="8"/>
        <v>247.55700325732897</v>
      </c>
      <c r="AL19" s="155">
        <v>1</v>
      </c>
      <c r="AM19" s="155">
        <v>0</v>
      </c>
      <c r="AN19" s="155">
        <v>1</v>
      </c>
      <c r="AO19" s="155">
        <v>0</v>
      </c>
      <c r="AP19" s="155">
        <v>1</v>
      </c>
      <c r="AQ19" s="155">
        <v>1</v>
      </c>
      <c r="AR19" s="155">
        <v>0</v>
      </c>
      <c r="AS19" s="158"/>
      <c r="AT19" s="158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57">
        <v>43248</v>
      </c>
      <c r="B20" s="40">
        <v>2.2916666666666701</v>
      </c>
      <c r="C20" s="40">
        <v>0.33333333333333298</v>
      </c>
      <c r="D20" s="156">
        <v>3</v>
      </c>
      <c r="E20" s="154">
        <f t="shared" si="2"/>
        <v>2.1126760563380285</v>
      </c>
      <c r="F20" s="154">
        <v>6</v>
      </c>
      <c r="G20" s="118">
        <v>78</v>
      </c>
      <c r="H20" s="154">
        <f t="shared" si="0"/>
        <v>54.929577464788736</v>
      </c>
      <c r="I20" s="154">
        <v>78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7">
        <v>131</v>
      </c>
      <c r="R20" s="157"/>
      <c r="S20" s="157">
        <v>95965369</v>
      </c>
      <c r="T20" s="45">
        <f t="shared" si="4"/>
        <v>5850</v>
      </c>
      <c r="U20" s="46">
        <f>T20*24/1000</f>
        <v>140.4</v>
      </c>
      <c r="V20" s="46">
        <f t="shared" si="6"/>
        <v>5.85</v>
      </c>
      <c r="W20" s="96">
        <v>8.5</v>
      </c>
      <c r="X20" s="96">
        <f t="shared" si="1"/>
        <v>8.5</v>
      </c>
      <c r="Y20" s="97" t="s">
        <v>169</v>
      </c>
      <c r="Z20" s="158">
        <v>1047</v>
      </c>
      <c r="AA20" s="158">
        <v>0</v>
      </c>
      <c r="AB20" s="158">
        <v>1187</v>
      </c>
      <c r="AC20" s="158">
        <v>0</v>
      </c>
      <c r="AD20" s="158">
        <v>1187</v>
      </c>
      <c r="AE20" s="158">
        <v>1185</v>
      </c>
      <c r="AF20" s="47" t="s">
        <v>90</v>
      </c>
      <c r="AG20" s="47" t="s">
        <v>90</v>
      </c>
      <c r="AH20" s="98" t="s">
        <v>90</v>
      </c>
      <c r="AI20" s="103">
        <v>16106858</v>
      </c>
      <c r="AJ20" s="45">
        <f t="shared" si="7"/>
        <v>1204</v>
      </c>
      <c r="AK20" s="48">
        <f t="shared" si="8"/>
        <v>205.81196581196582</v>
      </c>
      <c r="AL20" s="155">
        <v>1</v>
      </c>
      <c r="AM20" s="155">
        <v>0</v>
      </c>
      <c r="AN20" s="155">
        <v>1</v>
      </c>
      <c r="AO20" s="155">
        <v>0</v>
      </c>
      <c r="AP20" s="155">
        <v>1</v>
      </c>
      <c r="AQ20" s="155">
        <v>1</v>
      </c>
      <c r="AR20" s="155">
        <v>0</v>
      </c>
      <c r="AS20" s="158"/>
      <c r="AT20" s="158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357">
        <v>43248</v>
      </c>
      <c r="B21" s="40">
        <v>2.3333333333333299</v>
      </c>
      <c r="C21" s="40">
        <v>0.375</v>
      </c>
      <c r="D21" s="156">
        <v>3</v>
      </c>
      <c r="E21" s="154">
        <f t="shared" si="2"/>
        <v>2.1126760563380285</v>
      </c>
      <c r="F21" s="154">
        <v>5</v>
      </c>
      <c r="G21" s="118">
        <v>76</v>
      </c>
      <c r="H21" s="154">
        <f t="shared" si="0"/>
        <v>53.521126760563384</v>
      </c>
      <c r="I21" s="154">
        <v>75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7">
        <v>130</v>
      </c>
      <c r="R21" s="157"/>
      <c r="S21" s="157">
        <v>95969920</v>
      </c>
      <c r="T21" s="45">
        <f t="shared" si="4"/>
        <v>4551</v>
      </c>
      <c r="U21" s="46">
        <f t="shared" si="5"/>
        <v>109.224</v>
      </c>
      <c r="V21" s="46">
        <f t="shared" si="6"/>
        <v>4.5510000000000002</v>
      </c>
      <c r="W21" s="96">
        <v>7.8</v>
      </c>
      <c r="X21" s="96">
        <f t="shared" si="1"/>
        <v>7.8</v>
      </c>
      <c r="Y21" s="97" t="s">
        <v>169</v>
      </c>
      <c r="Z21" s="158">
        <v>1048</v>
      </c>
      <c r="AA21" s="158">
        <v>0</v>
      </c>
      <c r="AB21" s="158">
        <v>1187</v>
      </c>
      <c r="AC21" s="158">
        <v>0</v>
      </c>
      <c r="AD21" s="158">
        <v>1187</v>
      </c>
      <c r="AE21" s="158">
        <v>1185</v>
      </c>
      <c r="AF21" s="47" t="s">
        <v>90</v>
      </c>
      <c r="AG21" s="47" t="s">
        <v>90</v>
      </c>
      <c r="AH21" s="98" t="s">
        <v>90</v>
      </c>
      <c r="AI21" s="103">
        <v>16108099</v>
      </c>
      <c r="AJ21" s="45">
        <f t="shared" si="7"/>
        <v>1241</v>
      </c>
      <c r="AK21" s="48">
        <f t="shared" si="8"/>
        <v>272.68732146780928</v>
      </c>
      <c r="AL21" s="155">
        <v>1</v>
      </c>
      <c r="AM21" s="155">
        <v>0</v>
      </c>
      <c r="AN21" s="155">
        <v>1</v>
      </c>
      <c r="AO21" s="155">
        <v>0</v>
      </c>
      <c r="AP21" s="155">
        <v>1</v>
      </c>
      <c r="AQ21" s="155">
        <v>1</v>
      </c>
      <c r="AR21" s="155">
        <v>0</v>
      </c>
      <c r="AS21" s="158"/>
      <c r="AT21" s="158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205</v>
      </c>
    </row>
    <row r="22" spans="1:54" x14ac:dyDescent="0.35">
      <c r="A22" s="357">
        <v>43248</v>
      </c>
      <c r="B22" s="40">
        <v>2.375</v>
      </c>
      <c r="C22" s="40">
        <v>0.41666666666666669</v>
      </c>
      <c r="D22" s="156">
        <v>3</v>
      </c>
      <c r="E22" s="154">
        <f t="shared" si="2"/>
        <v>2.1126760563380285</v>
      </c>
      <c r="F22" s="154">
        <v>4</v>
      </c>
      <c r="G22" s="118">
        <v>77</v>
      </c>
      <c r="H22" s="154">
        <f t="shared" si="0"/>
        <v>54.225352112676056</v>
      </c>
      <c r="I22" s="154">
        <v>75</v>
      </c>
      <c r="J22" s="41" t="s">
        <v>88</v>
      </c>
      <c r="K22" s="41">
        <f t="shared" si="3"/>
        <v>52.816901408450704</v>
      </c>
      <c r="L22" s="42">
        <f t="shared" si="10"/>
        <v>54.225352112676056</v>
      </c>
      <c r="M22" s="41">
        <f t="shared" si="11"/>
        <v>55.645352112676058</v>
      </c>
      <c r="N22" s="43">
        <v>19</v>
      </c>
      <c r="O22" s="44" t="s">
        <v>100</v>
      </c>
      <c r="P22" s="44">
        <v>17.7</v>
      </c>
      <c r="Q22" s="157">
        <v>130</v>
      </c>
      <c r="R22" s="157"/>
      <c r="S22" s="157">
        <v>95973529</v>
      </c>
      <c r="T22" s="45">
        <f t="shared" si="4"/>
        <v>3609</v>
      </c>
      <c r="U22" s="46">
        <f t="shared" si="5"/>
        <v>86.616</v>
      </c>
      <c r="V22" s="46">
        <f t="shared" si="6"/>
        <v>3.609</v>
      </c>
      <c r="W22" s="96">
        <v>7.1</v>
      </c>
      <c r="X22" s="96">
        <f t="shared" si="1"/>
        <v>7.1</v>
      </c>
      <c r="Y22" s="97" t="s">
        <v>169</v>
      </c>
      <c r="Z22" s="158">
        <v>1047</v>
      </c>
      <c r="AA22" s="158">
        <v>0</v>
      </c>
      <c r="AB22" s="158">
        <v>1187</v>
      </c>
      <c r="AC22" s="158">
        <v>0</v>
      </c>
      <c r="AD22" s="158">
        <v>1187</v>
      </c>
      <c r="AE22" s="158">
        <v>1185</v>
      </c>
      <c r="AF22" s="47" t="s">
        <v>90</v>
      </c>
      <c r="AG22" s="47" t="s">
        <v>90</v>
      </c>
      <c r="AH22" s="98" t="s">
        <v>90</v>
      </c>
      <c r="AI22" s="103">
        <v>16109278</v>
      </c>
      <c r="AJ22" s="45">
        <f t="shared" si="7"/>
        <v>1179</v>
      </c>
      <c r="AK22" s="48">
        <f t="shared" si="8"/>
        <v>326.68329177057359</v>
      </c>
      <c r="AL22" s="155">
        <v>1</v>
      </c>
      <c r="AM22" s="155">
        <v>0</v>
      </c>
      <c r="AN22" s="155">
        <v>1</v>
      </c>
      <c r="AO22" s="155">
        <v>0</v>
      </c>
      <c r="AP22" s="155">
        <v>1</v>
      </c>
      <c r="AQ22" s="155">
        <v>1</v>
      </c>
      <c r="AR22" s="155">
        <v>0</v>
      </c>
      <c r="AS22" s="158"/>
      <c r="AT22" s="158">
        <f t="shared" si="9"/>
        <v>0</v>
      </c>
      <c r="AU22" s="119">
        <v>1.19</v>
      </c>
      <c r="AV22" s="50" t="s">
        <v>125</v>
      </c>
      <c r="BB22" s="136" t="s">
        <v>157</v>
      </c>
    </row>
    <row r="23" spans="1:54" x14ac:dyDescent="0.35">
      <c r="A23" s="357">
        <v>43248</v>
      </c>
      <c r="B23" s="40">
        <v>2.4166666666666701</v>
      </c>
      <c r="C23" s="40">
        <v>0.45833333333333298</v>
      </c>
      <c r="D23" s="156">
        <v>3</v>
      </c>
      <c r="E23" s="154">
        <f t="shared" si="2"/>
        <v>2.1126760563380285</v>
      </c>
      <c r="F23" s="154">
        <v>2</v>
      </c>
      <c r="G23" s="118">
        <v>76</v>
      </c>
      <c r="H23" s="154">
        <f t="shared" si="0"/>
        <v>53.521126760563384</v>
      </c>
      <c r="I23" s="154">
        <v>74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7">
        <v>130</v>
      </c>
      <c r="R23" s="157"/>
      <c r="S23" s="157">
        <v>95977221</v>
      </c>
      <c r="T23" s="45">
        <f t="shared" si="4"/>
        <v>3692</v>
      </c>
      <c r="U23" s="46">
        <f t="shared" si="5"/>
        <v>88.608000000000004</v>
      </c>
      <c r="V23" s="46">
        <f t="shared" si="6"/>
        <v>3.6920000000000002</v>
      </c>
      <c r="W23" s="96">
        <v>6.4</v>
      </c>
      <c r="X23" s="96">
        <f>W23</f>
        <v>6.4</v>
      </c>
      <c r="Y23" s="97" t="s">
        <v>169</v>
      </c>
      <c r="Z23" s="158">
        <v>1046</v>
      </c>
      <c r="AA23" s="158">
        <v>0</v>
      </c>
      <c r="AB23" s="158">
        <v>1187</v>
      </c>
      <c r="AC23" s="158">
        <v>0</v>
      </c>
      <c r="AD23" s="158">
        <v>1187</v>
      </c>
      <c r="AE23" s="158">
        <v>1185</v>
      </c>
      <c r="AF23" s="47" t="s">
        <v>90</v>
      </c>
      <c r="AG23" s="47" t="s">
        <v>90</v>
      </c>
      <c r="AH23" s="98" t="s">
        <v>90</v>
      </c>
      <c r="AI23" s="103">
        <v>16110490</v>
      </c>
      <c r="AJ23" s="45">
        <f t="shared" si="7"/>
        <v>1212</v>
      </c>
      <c r="AK23" s="48">
        <f t="shared" si="8"/>
        <v>328.2773564463705</v>
      </c>
      <c r="AL23" s="155">
        <v>1</v>
      </c>
      <c r="AM23" s="155">
        <v>0</v>
      </c>
      <c r="AN23" s="155">
        <v>1</v>
      </c>
      <c r="AO23" s="155">
        <v>0</v>
      </c>
      <c r="AP23" s="155">
        <v>1</v>
      </c>
      <c r="AQ23" s="155">
        <v>1</v>
      </c>
      <c r="AR23" s="155">
        <v>0</v>
      </c>
      <c r="AS23" s="158"/>
      <c r="AT23" s="158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357">
        <v>43248</v>
      </c>
      <c r="B24" s="40">
        <v>2.4583333333333299</v>
      </c>
      <c r="C24" s="40">
        <v>0.5</v>
      </c>
      <c r="D24" s="156">
        <v>3</v>
      </c>
      <c r="E24" s="154">
        <f t="shared" si="2"/>
        <v>2.1126760563380285</v>
      </c>
      <c r="F24" s="154">
        <v>1</v>
      </c>
      <c r="G24" s="118">
        <v>75</v>
      </c>
      <c r="H24" s="154">
        <f t="shared" si="0"/>
        <v>52.816901408450704</v>
      </c>
      <c r="I24" s="154">
        <v>74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7">
        <v>128</v>
      </c>
      <c r="R24" s="157"/>
      <c r="S24" s="157">
        <v>95980866</v>
      </c>
      <c r="T24" s="45">
        <f t="shared" si="4"/>
        <v>3645</v>
      </c>
      <c r="U24" s="46">
        <f>T24*24/1000</f>
        <v>87.48</v>
      </c>
      <c r="V24" s="46">
        <f t="shared" si="6"/>
        <v>3.645</v>
      </c>
      <c r="W24" s="96">
        <v>5.8</v>
      </c>
      <c r="X24" s="96">
        <f t="shared" si="1"/>
        <v>5.8</v>
      </c>
      <c r="Y24" s="97" t="s">
        <v>169</v>
      </c>
      <c r="Z24" s="158">
        <v>1049</v>
      </c>
      <c r="AA24" s="158">
        <v>0</v>
      </c>
      <c r="AB24" s="158">
        <v>1187</v>
      </c>
      <c r="AC24" s="158">
        <v>0</v>
      </c>
      <c r="AD24" s="158">
        <v>1187</v>
      </c>
      <c r="AE24" s="158">
        <v>1185</v>
      </c>
      <c r="AF24" s="47" t="s">
        <v>90</v>
      </c>
      <c r="AG24" s="47" t="s">
        <v>90</v>
      </c>
      <c r="AH24" s="98" t="s">
        <v>90</v>
      </c>
      <c r="AI24" s="103">
        <v>16111689</v>
      </c>
      <c r="AJ24" s="45">
        <f t="shared" si="7"/>
        <v>1199</v>
      </c>
      <c r="AK24" s="48">
        <f t="shared" si="8"/>
        <v>328.94375857338821</v>
      </c>
      <c r="AL24" s="155">
        <v>1</v>
      </c>
      <c r="AM24" s="155">
        <v>0</v>
      </c>
      <c r="AN24" s="155">
        <v>1</v>
      </c>
      <c r="AO24" s="155">
        <v>0</v>
      </c>
      <c r="AP24" s="155">
        <v>1</v>
      </c>
      <c r="AQ24" s="155">
        <v>1</v>
      </c>
      <c r="AR24" s="155">
        <v>0</v>
      </c>
      <c r="AS24" s="158"/>
      <c r="AT24" s="158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357">
        <v>43248</v>
      </c>
      <c r="B25" s="40">
        <v>2.5</v>
      </c>
      <c r="C25" s="40">
        <v>0.54166666666666696</v>
      </c>
      <c r="D25" s="156">
        <v>3</v>
      </c>
      <c r="E25" s="154">
        <f t="shared" si="2"/>
        <v>2.1126760563380285</v>
      </c>
      <c r="F25" s="154">
        <v>1</v>
      </c>
      <c r="G25" s="118">
        <v>75</v>
      </c>
      <c r="H25" s="154">
        <f t="shared" si="0"/>
        <v>52.816901408450704</v>
      </c>
      <c r="I25" s="154">
        <v>74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7">
        <v>128</v>
      </c>
      <c r="R25" s="157"/>
      <c r="S25" s="157">
        <v>95984960</v>
      </c>
      <c r="T25" s="45">
        <f t="shared" si="4"/>
        <v>4094</v>
      </c>
      <c r="U25" s="46">
        <f>T25*24/1000</f>
        <v>98.256</v>
      </c>
      <c r="V25" s="46">
        <f t="shared" si="6"/>
        <v>4.0940000000000003</v>
      </c>
      <c r="W25" s="96">
        <v>5.2</v>
      </c>
      <c r="X25" s="96">
        <f t="shared" si="1"/>
        <v>5.2</v>
      </c>
      <c r="Y25" s="97" t="s">
        <v>169</v>
      </c>
      <c r="Z25" s="158">
        <v>1027</v>
      </c>
      <c r="AA25" s="158">
        <v>0</v>
      </c>
      <c r="AB25" s="158">
        <v>1188</v>
      </c>
      <c r="AC25" s="158">
        <v>0</v>
      </c>
      <c r="AD25" s="158">
        <v>1187</v>
      </c>
      <c r="AE25" s="158">
        <v>1185</v>
      </c>
      <c r="AF25" s="47" t="s">
        <v>90</v>
      </c>
      <c r="AG25" s="47" t="s">
        <v>90</v>
      </c>
      <c r="AH25" s="98" t="s">
        <v>90</v>
      </c>
      <c r="AI25" s="103">
        <v>16112871</v>
      </c>
      <c r="AJ25" s="45">
        <f t="shared" si="7"/>
        <v>1182</v>
      </c>
      <c r="AK25" s="48">
        <f t="shared" si="8"/>
        <v>288.71519296531505</v>
      </c>
      <c r="AL25" s="155">
        <v>1</v>
      </c>
      <c r="AM25" s="155">
        <v>0</v>
      </c>
      <c r="AN25" s="155">
        <v>1</v>
      </c>
      <c r="AO25" s="155">
        <v>0</v>
      </c>
      <c r="AP25" s="155">
        <v>1</v>
      </c>
      <c r="AQ25" s="155">
        <v>1</v>
      </c>
      <c r="AR25" s="155">
        <v>0</v>
      </c>
      <c r="AS25" s="158"/>
      <c r="AT25" s="158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57">
        <v>43248</v>
      </c>
      <c r="B26" s="40">
        <v>2.5416666666666701</v>
      </c>
      <c r="C26" s="40">
        <v>0.58333333333333404</v>
      </c>
      <c r="D26" s="156">
        <v>3</v>
      </c>
      <c r="E26" s="154">
        <f t="shared" si="2"/>
        <v>2.1126760563380285</v>
      </c>
      <c r="F26" s="154">
        <v>1</v>
      </c>
      <c r="G26" s="118">
        <v>76</v>
      </c>
      <c r="H26" s="154">
        <f t="shared" si="0"/>
        <v>53.521126760563384</v>
      </c>
      <c r="I26" s="154">
        <v>75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7">
        <v>129</v>
      </c>
      <c r="R26" s="157"/>
      <c r="S26" s="157">
        <v>95990414</v>
      </c>
      <c r="T26" s="45">
        <f t="shared" si="4"/>
        <v>5454</v>
      </c>
      <c r="U26" s="46">
        <f t="shared" si="5"/>
        <v>130.89599999999999</v>
      </c>
      <c r="V26" s="46">
        <f t="shared" si="6"/>
        <v>5.4539999999999997</v>
      </c>
      <c r="W26" s="96">
        <v>4.7</v>
      </c>
      <c r="X26" s="96">
        <f t="shared" si="1"/>
        <v>4.7</v>
      </c>
      <c r="Y26" s="97" t="s">
        <v>169</v>
      </c>
      <c r="Z26" s="158">
        <v>1027</v>
      </c>
      <c r="AA26" s="158">
        <v>0</v>
      </c>
      <c r="AB26" s="158">
        <v>1187</v>
      </c>
      <c r="AC26" s="158">
        <v>0</v>
      </c>
      <c r="AD26" s="158">
        <v>1187</v>
      </c>
      <c r="AE26" s="158">
        <v>1185</v>
      </c>
      <c r="AF26" s="47" t="s">
        <v>90</v>
      </c>
      <c r="AG26" s="47" t="s">
        <v>90</v>
      </c>
      <c r="AH26" s="98" t="s">
        <v>90</v>
      </c>
      <c r="AI26" s="103">
        <v>16114054</v>
      </c>
      <c r="AJ26" s="45">
        <f t="shared" si="7"/>
        <v>1183</v>
      </c>
      <c r="AK26" s="48">
        <f t="shared" si="8"/>
        <v>216.90502383571692</v>
      </c>
      <c r="AL26" s="155">
        <v>1</v>
      </c>
      <c r="AM26" s="155">
        <v>0</v>
      </c>
      <c r="AN26" s="155">
        <v>1</v>
      </c>
      <c r="AO26" s="155">
        <v>0</v>
      </c>
      <c r="AP26" s="155">
        <v>1</v>
      </c>
      <c r="AQ26" s="155">
        <v>1</v>
      </c>
      <c r="AR26" s="155">
        <v>0</v>
      </c>
      <c r="AS26" s="158"/>
      <c r="AT26" s="158">
        <f t="shared" si="9"/>
        <v>0</v>
      </c>
      <c r="AU26" s="119">
        <v>1.1200000000000001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57">
        <v>43248</v>
      </c>
      <c r="B27" s="40">
        <v>2.5833333333333299</v>
      </c>
      <c r="C27" s="40">
        <v>0.625</v>
      </c>
      <c r="D27" s="156">
        <v>4</v>
      </c>
      <c r="E27" s="154">
        <f t="shared" si="2"/>
        <v>2.8169014084507045</v>
      </c>
      <c r="F27" s="154">
        <v>-2</v>
      </c>
      <c r="G27" s="118">
        <v>76</v>
      </c>
      <c r="H27" s="154">
        <f t="shared" si="0"/>
        <v>53.521126760563384</v>
      </c>
      <c r="I27" s="154">
        <v>74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7">
        <v>129</v>
      </c>
      <c r="R27" s="157"/>
      <c r="S27" s="157">
        <v>95996103</v>
      </c>
      <c r="T27" s="45">
        <f t="shared" si="4"/>
        <v>5689</v>
      </c>
      <c r="U27" s="46">
        <f t="shared" si="5"/>
        <v>136.536</v>
      </c>
      <c r="V27" s="46">
        <f t="shared" si="6"/>
        <v>5.6890000000000001</v>
      </c>
      <c r="W27" s="96">
        <v>4.3</v>
      </c>
      <c r="X27" s="96">
        <f t="shared" si="1"/>
        <v>4.3</v>
      </c>
      <c r="Y27" s="97" t="s">
        <v>169</v>
      </c>
      <c r="Z27" s="158">
        <v>1025</v>
      </c>
      <c r="AA27" s="158">
        <v>0</v>
      </c>
      <c r="AB27" s="158">
        <v>1186</v>
      </c>
      <c r="AC27" s="158">
        <v>0</v>
      </c>
      <c r="AD27" s="158">
        <v>1187</v>
      </c>
      <c r="AE27" s="158">
        <v>1185</v>
      </c>
      <c r="AF27" s="47" t="s">
        <v>90</v>
      </c>
      <c r="AG27" s="47" t="s">
        <v>90</v>
      </c>
      <c r="AH27" s="98" t="s">
        <v>90</v>
      </c>
      <c r="AI27" s="103">
        <v>16115248</v>
      </c>
      <c r="AJ27" s="45">
        <f t="shared" si="7"/>
        <v>1194</v>
      </c>
      <c r="AK27" s="48">
        <f t="shared" si="8"/>
        <v>209.87871330638075</v>
      </c>
      <c r="AL27" s="155">
        <v>1</v>
      </c>
      <c r="AM27" s="155">
        <v>0</v>
      </c>
      <c r="AN27" s="155">
        <v>1</v>
      </c>
      <c r="AO27" s="155">
        <v>0</v>
      </c>
      <c r="AP27" s="155">
        <v>1</v>
      </c>
      <c r="AQ27" s="155">
        <v>1</v>
      </c>
      <c r="AR27" s="155">
        <v>0</v>
      </c>
      <c r="AS27" s="158"/>
      <c r="AT27" s="158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57">
        <v>43248</v>
      </c>
      <c r="B28" s="40">
        <v>2.625</v>
      </c>
      <c r="C28" s="40">
        <v>0.66666666666666696</v>
      </c>
      <c r="D28" s="156">
        <v>4</v>
      </c>
      <c r="E28" s="154">
        <f t="shared" si="2"/>
        <v>2.8169014084507045</v>
      </c>
      <c r="F28" s="154">
        <v>-3</v>
      </c>
      <c r="G28" s="118">
        <v>77</v>
      </c>
      <c r="H28" s="154">
        <f t="shared" si="0"/>
        <v>54.225352112676056</v>
      </c>
      <c r="I28" s="154">
        <v>75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7">
        <v>132</v>
      </c>
      <c r="R28" s="157"/>
      <c r="S28" s="157">
        <v>96001799</v>
      </c>
      <c r="T28" s="45">
        <f t="shared" si="4"/>
        <v>5696</v>
      </c>
      <c r="U28" s="46">
        <f t="shared" si="5"/>
        <v>136.70400000000001</v>
      </c>
      <c r="V28" s="46">
        <f t="shared" si="6"/>
        <v>5.6959999999999997</v>
      </c>
      <c r="W28" s="96">
        <v>3.7</v>
      </c>
      <c r="X28" s="96">
        <f t="shared" si="1"/>
        <v>3.7</v>
      </c>
      <c r="Y28" s="97" t="s">
        <v>169</v>
      </c>
      <c r="Z28" s="158">
        <v>1025</v>
      </c>
      <c r="AA28" s="158">
        <v>0</v>
      </c>
      <c r="AB28" s="158">
        <v>1187</v>
      </c>
      <c r="AC28" s="158">
        <v>0</v>
      </c>
      <c r="AD28" s="158">
        <v>1187</v>
      </c>
      <c r="AE28" s="158">
        <v>1185</v>
      </c>
      <c r="AF28" s="47" t="s">
        <v>90</v>
      </c>
      <c r="AG28" s="47" t="s">
        <v>90</v>
      </c>
      <c r="AH28" s="98" t="s">
        <v>90</v>
      </c>
      <c r="AI28" s="103">
        <v>16116405</v>
      </c>
      <c r="AJ28" s="45">
        <f>IF(ISBLANK(AI28),"-",AI28-AI27)</f>
        <v>1157</v>
      </c>
      <c r="AK28" s="48">
        <f t="shared" si="8"/>
        <v>203.125</v>
      </c>
      <c r="AL28" s="155">
        <v>1</v>
      </c>
      <c r="AM28" s="155">
        <v>0</v>
      </c>
      <c r="AN28" s="155">
        <v>1</v>
      </c>
      <c r="AO28" s="155">
        <v>0</v>
      </c>
      <c r="AP28" s="155">
        <v>1</v>
      </c>
      <c r="AQ28" s="155">
        <v>1</v>
      </c>
      <c r="AR28" s="155">
        <v>0</v>
      </c>
      <c r="AS28" s="158"/>
      <c r="AT28" s="158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357">
        <v>43248</v>
      </c>
      <c r="B29" s="40">
        <v>2.6666666666666701</v>
      </c>
      <c r="C29" s="40">
        <v>0.70833333333333404</v>
      </c>
      <c r="D29" s="156">
        <v>4</v>
      </c>
      <c r="E29" s="154">
        <f t="shared" si="2"/>
        <v>2.8169014084507045</v>
      </c>
      <c r="F29" s="154">
        <v>-3</v>
      </c>
      <c r="G29" s="118">
        <v>75</v>
      </c>
      <c r="H29" s="154">
        <f t="shared" si="0"/>
        <v>52.816901408450704</v>
      </c>
      <c r="I29" s="154">
        <v>72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7">
        <v>130</v>
      </c>
      <c r="R29" s="157"/>
      <c r="S29" s="157">
        <v>96007630</v>
      </c>
      <c r="T29" s="45">
        <f t="shared" si="4"/>
        <v>5831</v>
      </c>
      <c r="U29" s="46">
        <f t="shared" si="5"/>
        <v>139.94399999999999</v>
      </c>
      <c r="V29" s="46">
        <f t="shared" si="6"/>
        <v>5.8310000000000004</v>
      </c>
      <c r="W29" s="96">
        <v>3.3</v>
      </c>
      <c r="X29" s="96">
        <f t="shared" si="1"/>
        <v>3.3</v>
      </c>
      <c r="Y29" s="97" t="s">
        <v>169</v>
      </c>
      <c r="Z29" s="158">
        <v>1026</v>
      </c>
      <c r="AA29" s="158">
        <v>0</v>
      </c>
      <c r="AB29" s="158">
        <v>1187</v>
      </c>
      <c r="AC29" s="158">
        <v>0</v>
      </c>
      <c r="AD29" s="158">
        <v>1187</v>
      </c>
      <c r="AE29" s="158">
        <v>1185</v>
      </c>
      <c r="AF29" s="47" t="s">
        <v>90</v>
      </c>
      <c r="AG29" s="47" t="s">
        <v>90</v>
      </c>
      <c r="AH29" s="98" t="s">
        <v>90</v>
      </c>
      <c r="AI29" s="103">
        <v>16117570</v>
      </c>
      <c r="AJ29" s="45">
        <f t="shared" si="7"/>
        <v>1165</v>
      </c>
      <c r="AK29" s="48">
        <f>AJ28/V29</f>
        <v>198.42222603327045</v>
      </c>
      <c r="AL29" s="155">
        <v>1</v>
      </c>
      <c r="AM29" s="155">
        <v>0</v>
      </c>
      <c r="AN29" s="155">
        <v>1</v>
      </c>
      <c r="AO29" s="155">
        <v>0</v>
      </c>
      <c r="AP29" s="155">
        <v>1</v>
      </c>
      <c r="AQ29" s="155">
        <v>1</v>
      </c>
      <c r="AR29" s="155">
        <v>0</v>
      </c>
      <c r="AS29" s="158"/>
      <c r="AT29" s="158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357">
        <v>43248</v>
      </c>
      <c r="B30" s="40">
        <v>2.7083333333333299</v>
      </c>
      <c r="C30" s="40">
        <v>0.750000000000002</v>
      </c>
      <c r="D30" s="156" t="s">
        <v>179</v>
      </c>
      <c r="E30" s="154" t="e">
        <f t="shared" si="2"/>
        <v>#VALUE!</v>
      </c>
      <c r="F30" s="154">
        <v>-4</v>
      </c>
      <c r="G30" s="118">
        <v>74</v>
      </c>
      <c r="H30" s="154">
        <f t="shared" si="0"/>
        <v>52.112676056338032</v>
      </c>
      <c r="I30" s="154">
        <v>71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7" t="s">
        <v>179</v>
      </c>
      <c r="R30" s="157"/>
      <c r="S30" s="157">
        <v>96013709</v>
      </c>
      <c r="T30" s="45">
        <f t="shared" si="4"/>
        <v>6079</v>
      </c>
      <c r="U30" s="46">
        <f t="shared" si="5"/>
        <v>145.89599999999999</v>
      </c>
      <c r="V30" s="46">
        <f t="shared" si="6"/>
        <v>6.0789999999999997</v>
      </c>
      <c r="W30" s="96">
        <v>2.9</v>
      </c>
      <c r="X30" s="96">
        <f t="shared" si="1"/>
        <v>2.9</v>
      </c>
      <c r="Y30" s="97" t="s">
        <v>169</v>
      </c>
      <c r="Z30" s="158">
        <v>1015</v>
      </c>
      <c r="AA30" s="158">
        <v>0</v>
      </c>
      <c r="AB30" s="158">
        <v>1187</v>
      </c>
      <c r="AC30" s="158">
        <v>0</v>
      </c>
      <c r="AD30" s="158">
        <v>1187</v>
      </c>
      <c r="AE30" s="158">
        <v>1185</v>
      </c>
      <c r="AF30" s="47" t="s">
        <v>90</v>
      </c>
      <c r="AG30" s="47" t="s">
        <v>90</v>
      </c>
      <c r="AH30" s="98" t="s">
        <v>90</v>
      </c>
      <c r="AI30" s="103">
        <v>16118778</v>
      </c>
      <c r="AJ30" s="45">
        <f t="shared" si="7"/>
        <v>1208</v>
      </c>
      <c r="AK30" s="48">
        <f>AJ29/V30</f>
        <v>191.64336239513079</v>
      </c>
      <c r="AL30" s="155">
        <v>1</v>
      </c>
      <c r="AM30" s="155">
        <v>0</v>
      </c>
      <c r="AN30" s="155">
        <v>1</v>
      </c>
      <c r="AO30" s="155">
        <v>0</v>
      </c>
      <c r="AP30" s="155">
        <v>1</v>
      </c>
      <c r="AQ30" s="155">
        <v>1</v>
      </c>
      <c r="AR30" s="155">
        <v>0</v>
      </c>
      <c r="AS30" s="158"/>
      <c r="AT30" s="158">
        <f t="shared" si="9"/>
        <v>0</v>
      </c>
      <c r="AU30" s="159">
        <v>1.05</v>
      </c>
      <c r="AV30" s="50" t="s">
        <v>124</v>
      </c>
      <c r="AY30" s="55" t="s">
        <v>114</v>
      </c>
      <c r="AZ30" s="55">
        <v>101.325</v>
      </c>
      <c r="BB30" s="74" t="s">
        <v>271</v>
      </c>
    </row>
    <row r="31" spans="1:54" x14ac:dyDescent="0.35">
      <c r="A31" s="357">
        <v>43248</v>
      </c>
      <c r="B31" s="40">
        <v>2.75</v>
      </c>
      <c r="C31" s="40">
        <v>0.79166666666666896</v>
      </c>
      <c r="D31" s="156" t="s">
        <v>179</v>
      </c>
      <c r="E31" s="154" t="e">
        <f t="shared" si="2"/>
        <v>#VALUE!</v>
      </c>
      <c r="F31" s="154">
        <v>-3</v>
      </c>
      <c r="G31" s="118">
        <v>74</v>
      </c>
      <c r="H31" s="154">
        <f t="shared" si="0"/>
        <v>52.112676056338032</v>
      </c>
      <c r="I31" s="154">
        <v>71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7" t="s">
        <v>179</v>
      </c>
      <c r="R31" s="157"/>
      <c r="S31" s="157">
        <v>96019455</v>
      </c>
      <c r="T31" s="45">
        <f t="shared" si="4"/>
        <v>5746</v>
      </c>
      <c r="U31" s="46">
        <f t="shared" si="5"/>
        <v>137.904</v>
      </c>
      <c r="V31" s="46">
        <f t="shared" si="6"/>
        <v>5.7460000000000004</v>
      </c>
      <c r="W31" s="96">
        <v>2.5</v>
      </c>
      <c r="X31" s="96">
        <f t="shared" si="1"/>
        <v>2.5</v>
      </c>
      <c r="Y31" s="97" t="s">
        <v>169</v>
      </c>
      <c r="Z31" s="158">
        <v>1016</v>
      </c>
      <c r="AA31" s="158">
        <v>0</v>
      </c>
      <c r="AB31" s="158">
        <v>1187</v>
      </c>
      <c r="AC31" s="158">
        <v>0</v>
      </c>
      <c r="AD31" s="158">
        <v>1187</v>
      </c>
      <c r="AE31" s="158">
        <v>1185</v>
      </c>
      <c r="AF31" s="47" t="s">
        <v>90</v>
      </c>
      <c r="AG31" s="47" t="s">
        <v>90</v>
      </c>
      <c r="AH31" s="98" t="s">
        <v>90</v>
      </c>
      <c r="AI31" s="103">
        <v>16119926</v>
      </c>
      <c r="AJ31" s="45">
        <f t="shared" si="7"/>
        <v>1148</v>
      </c>
      <c r="AK31" s="48">
        <f t="shared" si="8"/>
        <v>199.79115906717715</v>
      </c>
      <c r="AL31" s="155">
        <v>1</v>
      </c>
      <c r="AM31" s="155">
        <v>0</v>
      </c>
      <c r="AN31" s="155">
        <v>1</v>
      </c>
      <c r="AO31" s="155">
        <v>0</v>
      </c>
      <c r="AP31" s="155">
        <v>1</v>
      </c>
      <c r="AQ31" s="155">
        <v>1</v>
      </c>
      <c r="AR31" s="155">
        <v>0</v>
      </c>
      <c r="AS31" s="158"/>
      <c r="AT31" s="158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357">
        <v>43248</v>
      </c>
      <c r="B32" s="40">
        <v>2.7916666666666701</v>
      </c>
      <c r="C32" s="40">
        <v>0.83333333333333703</v>
      </c>
      <c r="D32" s="156" t="s">
        <v>179</v>
      </c>
      <c r="E32" s="154" t="e">
        <f t="shared" si="2"/>
        <v>#VALUE!</v>
      </c>
      <c r="F32" s="154">
        <v>-3</v>
      </c>
      <c r="G32" s="118">
        <v>73</v>
      </c>
      <c r="H32" s="154">
        <f t="shared" si="0"/>
        <v>51.408450704225352</v>
      </c>
      <c r="I32" s="154">
        <v>70</v>
      </c>
      <c r="J32" s="41" t="s">
        <v>88</v>
      </c>
      <c r="K32" s="41">
        <f t="shared" si="3"/>
        <v>47.887323943661976</v>
      </c>
      <c r="L32" s="42">
        <f t="shared" si="13"/>
        <v>49.295774647887328</v>
      </c>
      <c r="M32" s="41">
        <f t="shared" si="12"/>
        <v>53.521126760563384</v>
      </c>
      <c r="N32" s="43">
        <v>18</v>
      </c>
      <c r="O32" s="44" t="s">
        <v>100</v>
      </c>
      <c r="P32" s="44">
        <v>16.600000000000001</v>
      </c>
      <c r="Q32" s="157" t="s">
        <v>179</v>
      </c>
      <c r="R32" s="157"/>
      <c r="S32" s="157">
        <v>96025069</v>
      </c>
      <c r="T32" s="45">
        <f t="shared" si="4"/>
        <v>5614</v>
      </c>
      <c r="U32" s="46">
        <f t="shared" si="5"/>
        <v>134.73599999999999</v>
      </c>
      <c r="V32" s="46">
        <f t="shared" si="6"/>
        <v>5.6139999999999999</v>
      </c>
      <c r="W32" s="96">
        <v>2.2000000000000002</v>
      </c>
      <c r="X32" s="96">
        <f t="shared" si="1"/>
        <v>2.2000000000000002</v>
      </c>
      <c r="Y32" s="97" t="s">
        <v>169</v>
      </c>
      <c r="Z32" s="158">
        <v>1015</v>
      </c>
      <c r="AA32" s="158">
        <v>0</v>
      </c>
      <c r="AB32" s="158">
        <v>1187</v>
      </c>
      <c r="AC32" s="158">
        <v>0</v>
      </c>
      <c r="AD32" s="158">
        <v>1187</v>
      </c>
      <c r="AE32" s="158">
        <v>1185</v>
      </c>
      <c r="AF32" s="47" t="s">
        <v>90</v>
      </c>
      <c r="AG32" s="47" t="s">
        <v>90</v>
      </c>
      <c r="AH32" s="98" t="s">
        <v>90</v>
      </c>
      <c r="AI32" s="103">
        <v>16121067</v>
      </c>
      <c r="AJ32" s="45">
        <f t="shared" si="7"/>
        <v>1141</v>
      </c>
      <c r="AK32" s="48">
        <f t="shared" si="8"/>
        <v>203.2418952618454</v>
      </c>
      <c r="AL32" s="155">
        <v>1</v>
      </c>
      <c r="AM32" s="155">
        <v>0</v>
      </c>
      <c r="AN32" s="155">
        <v>1</v>
      </c>
      <c r="AO32" s="155">
        <v>0</v>
      </c>
      <c r="AP32" s="155">
        <v>1</v>
      </c>
      <c r="AQ32" s="155">
        <v>1</v>
      </c>
      <c r="AR32" s="155">
        <v>0</v>
      </c>
      <c r="AS32" s="158"/>
      <c r="AT32" s="158">
        <v>0</v>
      </c>
      <c r="AU32" s="49"/>
      <c r="AV32" s="50" t="s">
        <v>124</v>
      </c>
      <c r="AY32" s="308" t="s">
        <v>115</v>
      </c>
      <c r="AZ32" s="308"/>
      <c r="BB32" s="74" t="s">
        <v>156</v>
      </c>
    </row>
    <row r="33" spans="1:54" x14ac:dyDescent="0.35">
      <c r="A33" s="357">
        <v>43248</v>
      </c>
      <c r="B33" s="40">
        <v>2.8333333333333299</v>
      </c>
      <c r="C33" s="40">
        <v>0.875</v>
      </c>
      <c r="D33" s="156" t="s">
        <v>179</v>
      </c>
      <c r="E33" s="154" t="e">
        <f t="shared" si="2"/>
        <v>#VALUE!</v>
      </c>
      <c r="F33" s="154">
        <v>-3</v>
      </c>
      <c r="G33" s="118">
        <v>73</v>
      </c>
      <c r="H33" s="154">
        <f t="shared" si="0"/>
        <v>51.408450704225352</v>
      </c>
      <c r="I33" s="154">
        <v>71</v>
      </c>
      <c r="J33" s="41" t="s">
        <v>88</v>
      </c>
      <c r="K33" s="41">
        <f t="shared" si="3"/>
        <v>47.887323943661976</v>
      </c>
      <c r="L33" s="42">
        <f t="shared" si="13"/>
        <v>49.295774647887328</v>
      </c>
      <c r="M33" s="41">
        <f t="shared" si="12"/>
        <v>53.521126760563384</v>
      </c>
      <c r="N33" s="43">
        <v>18</v>
      </c>
      <c r="O33" s="44" t="s">
        <v>100</v>
      </c>
      <c r="P33" s="44">
        <v>16.100000000000001</v>
      </c>
      <c r="Q33" s="157" t="s">
        <v>179</v>
      </c>
      <c r="R33" s="157"/>
      <c r="S33" s="157">
        <v>96030852</v>
      </c>
      <c r="T33" s="45">
        <f t="shared" si="4"/>
        <v>5783</v>
      </c>
      <c r="U33" s="46">
        <f t="shared" si="5"/>
        <v>138.792</v>
      </c>
      <c r="V33" s="46">
        <f t="shared" si="6"/>
        <v>5.7830000000000004</v>
      </c>
      <c r="W33" s="96">
        <v>1.9</v>
      </c>
      <c r="X33" s="96">
        <f t="shared" si="1"/>
        <v>1.9</v>
      </c>
      <c r="Y33" s="97" t="s">
        <v>169</v>
      </c>
      <c r="Z33" s="158">
        <v>1015</v>
      </c>
      <c r="AA33" s="158">
        <v>0</v>
      </c>
      <c r="AB33" s="158">
        <v>1187</v>
      </c>
      <c r="AC33" s="158">
        <v>0</v>
      </c>
      <c r="AD33" s="158">
        <v>1187</v>
      </c>
      <c r="AE33" s="158">
        <v>1185</v>
      </c>
      <c r="AF33" s="47" t="s">
        <v>90</v>
      </c>
      <c r="AG33" s="47" t="s">
        <v>90</v>
      </c>
      <c r="AH33" s="98" t="s">
        <v>90</v>
      </c>
      <c r="AI33" s="103">
        <v>16122243</v>
      </c>
      <c r="AJ33" s="45">
        <f t="shared" si="7"/>
        <v>1176</v>
      </c>
      <c r="AK33" s="48">
        <f t="shared" si="8"/>
        <v>203.35466021096315</v>
      </c>
      <c r="AL33" s="155">
        <v>1</v>
      </c>
      <c r="AM33" s="155">
        <v>0</v>
      </c>
      <c r="AN33" s="155">
        <v>1</v>
      </c>
      <c r="AO33" s="155">
        <v>0</v>
      </c>
      <c r="AP33" s="155">
        <v>1</v>
      </c>
      <c r="AQ33" s="155">
        <v>1</v>
      </c>
      <c r="AR33" s="155">
        <v>0</v>
      </c>
      <c r="AS33" s="158"/>
      <c r="AT33" s="158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57">
        <v>43248</v>
      </c>
      <c r="B34" s="40">
        <v>2.875</v>
      </c>
      <c r="C34" s="40">
        <v>0.91666666666667096</v>
      </c>
      <c r="D34" s="156">
        <v>4</v>
      </c>
      <c r="E34" s="154">
        <f t="shared" si="2"/>
        <v>2.8169014084507045</v>
      </c>
      <c r="F34" s="154">
        <v>-1</v>
      </c>
      <c r="G34" s="118">
        <v>75</v>
      </c>
      <c r="H34" s="154">
        <f t="shared" si="0"/>
        <v>52.816901408450704</v>
      </c>
      <c r="I34" s="154">
        <v>74</v>
      </c>
      <c r="J34" s="41" t="s">
        <v>88</v>
      </c>
      <c r="K34" s="41">
        <f t="shared" si="3"/>
        <v>49.295774647887328</v>
      </c>
      <c r="L34" s="42">
        <f t="shared" si="13"/>
        <v>50.70422535211268</v>
      </c>
      <c r="M34" s="41">
        <f t="shared" si="12"/>
        <v>54.929577464788736</v>
      </c>
      <c r="N34" s="43">
        <v>14</v>
      </c>
      <c r="O34" s="44" t="s">
        <v>116</v>
      </c>
      <c r="P34" s="44">
        <v>12.6</v>
      </c>
      <c r="Q34" s="157">
        <v>129</v>
      </c>
      <c r="R34" s="157"/>
      <c r="S34" s="157">
        <v>96036372</v>
      </c>
      <c r="T34" s="45">
        <f t="shared" si="4"/>
        <v>5520</v>
      </c>
      <c r="U34" s="46">
        <f t="shared" si="5"/>
        <v>132.47999999999999</v>
      </c>
      <c r="V34" s="46">
        <f t="shared" si="6"/>
        <v>5.52</v>
      </c>
      <c r="W34" s="96">
        <v>1.6</v>
      </c>
      <c r="X34" s="96">
        <f t="shared" si="1"/>
        <v>1.6</v>
      </c>
      <c r="Y34" s="97" t="s">
        <v>169</v>
      </c>
      <c r="Z34" s="158">
        <v>1016</v>
      </c>
      <c r="AA34" s="158">
        <v>0</v>
      </c>
      <c r="AB34" s="158">
        <v>1187</v>
      </c>
      <c r="AC34" s="158">
        <v>0</v>
      </c>
      <c r="AD34" s="158">
        <v>1187</v>
      </c>
      <c r="AE34" s="158">
        <v>1185</v>
      </c>
      <c r="AF34" s="47" t="s">
        <v>90</v>
      </c>
      <c r="AG34" s="47" t="s">
        <v>90</v>
      </c>
      <c r="AH34" s="98" t="s">
        <v>90</v>
      </c>
      <c r="AI34" s="103">
        <v>16123439</v>
      </c>
      <c r="AJ34" s="45">
        <f t="shared" si="7"/>
        <v>1196</v>
      </c>
      <c r="AK34" s="48">
        <f t="shared" si="8"/>
        <v>216.66666666666669</v>
      </c>
      <c r="AL34" s="155">
        <v>1</v>
      </c>
      <c r="AM34" s="155">
        <v>0</v>
      </c>
      <c r="AN34" s="155">
        <v>1</v>
      </c>
      <c r="AO34" s="155">
        <v>0</v>
      </c>
      <c r="AP34" s="155">
        <v>1</v>
      </c>
      <c r="AQ34" s="155">
        <v>1</v>
      </c>
      <c r="AR34" s="155">
        <v>0</v>
      </c>
      <c r="AS34" s="158"/>
      <c r="AT34" s="158">
        <f>AS34-AS33</f>
        <v>0</v>
      </c>
      <c r="AU34" s="119">
        <v>1.08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357">
        <v>43248</v>
      </c>
      <c r="B35" s="40">
        <v>2.9166666666666701</v>
      </c>
      <c r="C35" s="40">
        <v>0.95833333333333803</v>
      </c>
      <c r="D35" s="156">
        <v>4</v>
      </c>
      <c r="E35" s="154">
        <f t="shared" si="2"/>
        <v>2.8169014084507045</v>
      </c>
      <c r="F35" s="154">
        <v>0</v>
      </c>
      <c r="G35" s="118">
        <v>75</v>
      </c>
      <c r="H35" s="154">
        <f t="shared" si="0"/>
        <v>52.816901408450704</v>
      </c>
      <c r="I35" s="154">
        <v>74</v>
      </c>
      <c r="J35" s="41" t="s">
        <v>88</v>
      </c>
      <c r="K35" s="41">
        <f>L35-(2/1.42)</f>
        <v>47.887323943661976</v>
      </c>
      <c r="L35" s="42">
        <f>(G35-5)/1.42</f>
        <v>49.295774647887328</v>
      </c>
      <c r="M35" s="41">
        <f t="shared" si="12"/>
        <v>53.521126760563384</v>
      </c>
      <c r="N35" s="43">
        <v>14</v>
      </c>
      <c r="O35" s="44" t="s">
        <v>116</v>
      </c>
      <c r="P35" s="44">
        <v>11.9</v>
      </c>
      <c r="Q35" s="157">
        <v>132</v>
      </c>
      <c r="R35" s="157"/>
      <c r="S35" s="157">
        <v>96042057</v>
      </c>
      <c r="T35" s="45">
        <f t="shared" si="4"/>
        <v>5685</v>
      </c>
      <c r="U35" s="46">
        <f t="shared" si="5"/>
        <v>136.44</v>
      </c>
      <c r="V35" s="46">
        <f t="shared" si="6"/>
        <v>5.6849999999999996</v>
      </c>
      <c r="W35" s="96">
        <v>1.6</v>
      </c>
      <c r="X35" s="96">
        <f t="shared" si="1"/>
        <v>1.6</v>
      </c>
      <c r="Y35" s="97" t="s">
        <v>138</v>
      </c>
      <c r="Z35" s="158">
        <v>0</v>
      </c>
      <c r="AA35" s="158">
        <v>0</v>
      </c>
      <c r="AB35" s="158">
        <v>1187</v>
      </c>
      <c r="AC35" s="158">
        <v>0</v>
      </c>
      <c r="AD35" s="158">
        <v>1187</v>
      </c>
      <c r="AE35" s="158">
        <v>1185</v>
      </c>
      <c r="AF35" s="47" t="s">
        <v>90</v>
      </c>
      <c r="AG35" s="47" t="s">
        <v>90</v>
      </c>
      <c r="AH35" s="98" t="s">
        <v>90</v>
      </c>
      <c r="AI35" s="103">
        <v>16124485</v>
      </c>
      <c r="AJ35" s="45">
        <f t="shared" si="7"/>
        <v>1046</v>
      </c>
      <c r="AK35" s="48">
        <f t="shared" si="8"/>
        <v>183.9929639401935</v>
      </c>
      <c r="AL35" s="155">
        <v>0</v>
      </c>
      <c r="AM35" s="155">
        <v>0</v>
      </c>
      <c r="AN35" s="155">
        <v>1</v>
      </c>
      <c r="AO35" s="155">
        <v>0</v>
      </c>
      <c r="AP35" s="155">
        <v>1</v>
      </c>
      <c r="AQ35" s="155">
        <v>1</v>
      </c>
      <c r="AR35" s="155">
        <v>0.3</v>
      </c>
      <c r="AS35" s="158"/>
      <c r="AT35" s="158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357">
        <v>43248</v>
      </c>
      <c r="B36" s="40">
        <v>2.9583333333333299</v>
      </c>
      <c r="C36" s="40">
        <v>1</v>
      </c>
      <c r="D36" s="156">
        <v>4</v>
      </c>
      <c r="E36" s="154">
        <f t="shared" si="2"/>
        <v>2.8169014084507045</v>
      </c>
      <c r="F36" s="154">
        <v>1</v>
      </c>
      <c r="G36" s="118">
        <v>73</v>
      </c>
      <c r="H36" s="154">
        <f t="shared" si="0"/>
        <v>51.408450704225352</v>
      </c>
      <c r="I36" s="154">
        <v>73</v>
      </c>
      <c r="J36" s="41" t="s">
        <v>88</v>
      </c>
      <c r="K36" s="41">
        <f t="shared" si="3"/>
        <v>46.478873239436624</v>
      </c>
      <c r="L36" s="42">
        <f>(G36-5)/1.42</f>
        <v>47.887323943661976</v>
      </c>
      <c r="M36" s="41">
        <f t="shared" si="12"/>
        <v>52.112676056338032</v>
      </c>
      <c r="N36" s="43">
        <v>14</v>
      </c>
      <c r="O36" s="44" t="s">
        <v>116</v>
      </c>
      <c r="P36" s="58">
        <v>11.5</v>
      </c>
      <c r="Q36" s="157">
        <v>140</v>
      </c>
      <c r="R36" s="157"/>
      <c r="S36" s="157">
        <v>96047420</v>
      </c>
      <c r="T36" s="45">
        <f t="shared" si="4"/>
        <v>5363</v>
      </c>
      <c r="U36" s="46">
        <f t="shared" si="5"/>
        <v>128.71199999999999</v>
      </c>
      <c r="V36" s="46">
        <f t="shared" si="6"/>
        <v>5.3630000000000004</v>
      </c>
      <c r="W36" s="96">
        <v>2.4</v>
      </c>
      <c r="X36" s="96">
        <f t="shared" si="1"/>
        <v>2.4</v>
      </c>
      <c r="Y36" s="97"/>
      <c r="Z36" s="158">
        <v>0</v>
      </c>
      <c r="AA36" s="158">
        <v>0</v>
      </c>
      <c r="AB36" s="158">
        <v>1187</v>
      </c>
      <c r="AC36" s="158">
        <v>0</v>
      </c>
      <c r="AD36" s="158">
        <v>1187</v>
      </c>
      <c r="AE36" s="158">
        <v>1185</v>
      </c>
      <c r="AF36" s="47" t="s">
        <v>90</v>
      </c>
      <c r="AG36" s="47" t="s">
        <v>90</v>
      </c>
      <c r="AH36" s="98" t="s">
        <v>90</v>
      </c>
      <c r="AI36" s="103">
        <v>16125640</v>
      </c>
      <c r="AJ36" s="45">
        <f t="shared" si="7"/>
        <v>1155</v>
      </c>
      <c r="AK36" s="48">
        <f t="shared" si="8"/>
        <v>215.36453477531231</v>
      </c>
      <c r="AL36" s="155">
        <v>0</v>
      </c>
      <c r="AM36" s="155">
        <v>0</v>
      </c>
      <c r="AN36" s="155">
        <v>1</v>
      </c>
      <c r="AO36" s="155">
        <v>0</v>
      </c>
      <c r="AP36" s="155">
        <v>1</v>
      </c>
      <c r="AQ36" s="155">
        <v>1</v>
      </c>
      <c r="AR36" s="155">
        <v>0.3</v>
      </c>
      <c r="AS36" s="158"/>
      <c r="AT36" s="158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73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09" t="s">
        <v>118</v>
      </c>
      <c r="O37" s="310"/>
      <c r="P37" s="311"/>
      <c r="Q37" s="101"/>
      <c r="R37" s="101"/>
      <c r="S37" s="101"/>
      <c r="T37" s="60">
        <f>SUM(T13:T36)</f>
        <v>121458</v>
      </c>
      <c r="U37" s="46">
        <f t="shared" si="5"/>
        <v>2914.9920000000002</v>
      </c>
      <c r="V37" s="46">
        <f t="shared" si="6"/>
        <v>121.458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27822</v>
      </c>
      <c r="AK37" s="61">
        <f>$AJ$37/$V37</f>
        <v>229.06683791928074</v>
      </c>
      <c r="AL37" s="155"/>
      <c r="AM37" s="155"/>
      <c r="AN37" s="155"/>
      <c r="AO37" s="155"/>
      <c r="AP37" s="155"/>
      <c r="AQ37" s="155"/>
      <c r="AR37" s="62"/>
      <c r="AS37" s="63">
        <f>AS36-AS11</f>
        <v>0</v>
      </c>
      <c r="AT37" s="64">
        <f>SUM(AT13:AT36)</f>
        <v>0</v>
      </c>
      <c r="AU37" s="65">
        <f>AVERAGE(AU13:AU36)</f>
        <v>1.0766666666666667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7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8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8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4"/>
      <c r="D47" s="164"/>
      <c r="E47" s="164"/>
      <c r="F47" s="164"/>
      <c r="G47" s="164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71" t="s">
        <v>273</v>
      </c>
      <c r="C48" s="172"/>
      <c r="D48" s="172"/>
      <c r="E48" s="172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70"/>
      <c r="D49" s="170"/>
      <c r="E49" s="170"/>
      <c r="F49" s="161"/>
      <c r="G49" s="161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163</v>
      </c>
      <c r="C50" s="143"/>
      <c r="D50" s="143"/>
      <c r="E50" s="143"/>
      <c r="F50" s="130"/>
      <c r="G50" s="130"/>
      <c r="H50" s="160"/>
      <c r="I50" s="160"/>
      <c r="J50" s="160"/>
      <c r="K50" s="160"/>
      <c r="L50" s="160"/>
      <c r="M50" s="160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210</v>
      </c>
      <c r="B51" s="115" t="s">
        <v>274</v>
      </c>
      <c r="C51" s="143"/>
      <c r="D51" s="143"/>
      <c r="E51" s="143"/>
      <c r="F51" s="130"/>
      <c r="G51" s="130"/>
      <c r="H51" s="160"/>
      <c r="I51" s="160"/>
      <c r="J51" s="160"/>
      <c r="K51" s="160"/>
      <c r="L51" s="160"/>
      <c r="M51" s="160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275</v>
      </c>
      <c r="C52" s="120"/>
      <c r="D52" s="115"/>
      <c r="E52" s="115"/>
      <c r="F52" s="115"/>
      <c r="G52" s="115"/>
      <c r="H52" s="160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70"/>
      <c r="D53" s="170"/>
      <c r="E53" s="170"/>
      <c r="F53" s="170"/>
      <c r="G53" s="115"/>
      <c r="H53" s="115"/>
      <c r="I53" s="115"/>
      <c r="J53" s="115"/>
      <c r="K53" s="115"/>
      <c r="L53" s="115"/>
      <c r="M53" s="115"/>
      <c r="N53" s="163"/>
      <c r="O53" s="163"/>
      <c r="P53" s="163"/>
      <c r="Q53" s="163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32" t="s">
        <v>170</v>
      </c>
      <c r="C54" s="153"/>
      <c r="D54" s="170"/>
      <c r="E54" s="170"/>
      <c r="F54" s="170"/>
      <c r="G54" s="170"/>
      <c r="H54" s="170"/>
      <c r="I54" s="170"/>
      <c r="J54" s="169"/>
      <c r="K54" s="166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70"/>
      <c r="E55" s="153"/>
      <c r="F55" s="153"/>
      <c r="G55" s="153"/>
      <c r="H55" s="153"/>
      <c r="I55" s="153"/>
      <c r="J55" s="169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172</v>
      </c>
      <c r="C56" s="115"/>
      <c r="D56" s="170"/>
      <c r="E56" s="153"/>
      <c r="F56" s="153"/>
      <c r="G56" s="153"/>
      <c r="H56" s="153"/>
      <c r="I56" s="153"/>
      <c r="J56" s="153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53" t="s">
        <v>216</v>
      </c>
      <c r="C57" s="170"/>
      <c r="D57" s="170"/>
      <c r="E57" s="153"/>
      <c r="F57" s="153"/>
      <c r="G57" s="153"/>
      <c r="H57" s="153"/>
      <c r="I57" s="153"/>
      <c r="J57" s="153"/>
      <c r="K57" s="166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174</v>
      </c>
      <c r="C58" s="170"/>
      <c r="D58" s="170"/>
      <c r="E58" s="115"/>
      <c r="F58" s="115"/>
      <c r="G58" s="115"/>
      <c r="H58" s="115"/>
      <c r="I58" s="153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62" t="s">
        <v>195</v>
      </c>
      <c r="C59" s="170"/>
      <c r="D59" s="170"/>
      <c r="E59" s="153"/>
      <c r="F59" s="153"/>
      <c r="G59" s="153"/>
      <c r="H59" s="153"/>
      <c r="I59" s="153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32"/>
      <c r="C60" s="170"/>
      <c r="D60" s="223"/>
      <c r="E60" s="223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62"/>
      <c r="C61" s="153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32"/>
      <c r="C62" s="115"/>
      <c r="D62" s="100"/>
      <c r="E62" s="100"/>
      <c r="F62" s="115"/>
      <c r="G62" s="115"/>
      <c r="H62" s="92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6"/>
      <c r="E63" s="166"/>
      <c r="F63" s="166"/>
      <c r="G63" s="166"/>
      <c r="H63" s="166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53"/>
      <c r="C64" s="115"/>
      <c r="D64" s="100"/>
      <c r="E64" s="100"/>
      <c r="F64" s="115"/>
      <c r="G64" s="115"/>
      <c r="H64" s="92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6"/>
      <c r="E65" s="166"/>
      <c r="F65" s="166"/>
      <c r="G65" s="166"/>
      <c r="H65" s="166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AV65" s="86"/>
      <c r="AW65" s="86"/>
      <c r="AX65" s="86"/>
      <c r="AY65" s="86"/>
      <c r="AZ65" s="86"/>
      <c r="BA65" s="86"/>
      <c r="BB65" s="86"/>
    </row>
    <row r="66" spans="2:54" x14ac:dyDescent="0.35">
      <c r="B66" s="162"/>
      <c r="C66" s="115"/>
      <c r="D66" s="166"/>
      <c r="E66" s="166"/>
      <c r="F66" s="166"/>
      <c r="G66" s="166"/>
      <c r="H66" s="166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6"/>
      <c r="E67" s="166"/>
      <c r="F67" s="166"/>
      <c r="G67" s="166"/>
      <c r="H67" s="166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3" name="Range1_16_1_1_1_1_1_1_2_2_2_2_2_2_2_2_2_2_2_2_2_2_2_2_2_2_2_2_2_2_2_1_2_2_2_2_2_2_2_2_2_2_3_2_2_2_2_2_2_2_2_2_2_1_1_1_1_2_2_1_1_1_1_1_1_1_1_1_1_1_1_1_1_3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4"/>
    <protectedRange sqref="R4:W4" name="Range1_16_1_1_1_1_1_1_2_2_2_2_2_2_2_2_2_2_2_2_2_2_2_2_2_2_2_2_2_2_2_1_2_2_2_2_2_2_2_2_2_2_3_2_2_2_2_2_2_2_2_2_2_1_1_1_1_2_2_1_1_1_1_1_1_1_1_1_1_1_1_1_1_2_1_2_1_1_1_1_1_2_1"/>
    <protectedRange sqref="R5:W5" name="Range1_16_1_1_1_1_1_1_2_2_2_2_2_2_2_2_2_2_2_2_2_2_2_2_2_2_2_2_2_2_2_1_2_2_2_2_2_2_2_2_2_2_3_2_2_2_2_2_2_2_2_2_2_1_1_1_1_2_2_1_1_1_1_1_1_1_1_1_1_3_1_3_2_1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67" priority="5" operator="containsText" text="N/A">
      <formula>NOT(ISERROR(SEARCH("N/A",Z13)))</formula>
    </cfRule>
    <cfRule type="cellIs" dxfId="66" priority="17" operator="equal">
      <formula>0</formula>
    </cfRule>
  </conditionalFormatting>
  <conditionalFormatting sqref="Z13:AG36">
    <cfRule type="cellIs" dxfId="65" priority="16" operator="greaterThanOrEqual">
      <formula>1185</formula>
    </cfRule>
  </conditionalFormatting>
  <conditionalFormatting sqref="Z13:AG36">
    <cfRule type="cellIs" dxfId="64" priority="15" operator="between">
      <formula>0.1</formula>
      <formula>1184</formula>
    </cfRule>
  </conditionalFormatting>
  <conditionalFormatting sqref="Z8:Z9 AT13:AT36 AL37:AQ37 AL13:AR36">
    <cfRule type="cellIs" dxfId="63" priority="14" operator="equal">
      <formula>0</formula>
    </cfRule>
  </conditionalFormatting>
  <conditionalFormatting sqref="Z8:Z9 AT13:AT36 AL37:AQ37 AL13:AR36">
    <cfRule type="cellIs" dxfId="62" priority="13" operator="greaterThan">
      <formula>1179</formula>
    </cfRule>
  </conditionalFormatting>
  <conditionalFormatting sqref="Z8:Z9 AT13:AT36 AL37:AQ37 AL13:AR36">
    <cfRule type="cellIs" dxfId="61" priority="12" operator="greaterThan">
      <formula>99</formula>
    </cfRule>
  </conditionalFormatting>
  <conditionalFormatting sqref="Z8:Z9 AT13:AT36 AL37:AQ37 AL13:AR36">
    <cfRule type="cellIs" dxfId="60" priority="11" operator="greaterThan">
      <formula>0.99</formula>
    </cfRule>
  </conditionalFormatting>
  <conditionalFormatting sqref="AD8:AD9">
    <cfRule type="cellIs" dxfId="59" priority="10" operator="equal">
      <formula>0</formula>
    </cfRule>
  </conditionalFormatting>
  <conditionalFormatting sqref="AD8:AD9">
    <cfRule type="cellIs" dxfId="58" priority="9" operator="greaterThan">
      <formula>1179</formula>
    </cfRule>
  </conditionalFormatting>
  <conditionalFormatting sqref="AD8:AD9">
    <cfRule type="cellIs" dxfId="57" priority="8" operator="greaterThan">
      <formula>99</formula>
    </cfRule>
  </conditionalFormatting>
  <conditionalFormatting sqref="AD8:AD9">
    <cfRule type="cellIs" dxfId="56" priority="7" operator="greaterThan">
      <formula>0.99</formula>
    </cfRule>
  </conditionalFormatting>
  <conditionalFormatting sqref="AK13:AK36">
    <cfRule type="cellIs" dxfId="55" priority="6" operator="greaterThan">
      <formula>$AK$8</formula>
    </cfRule>
  </conditionalFormatting>
  <conditionalFormatting sqref="AS13:AS36">
    <cfRule type="containsText" dxfId="54" priority="1" operator="containsText" text="N/A">
      <formula>NOT(ISERROR(SEARCH("N/A",AS13)))</formula>
    </cfRule>
    <cfRule type="cellIs" dxfId="53" priority="4" operator="equal">
      <formula>0</formula>
    </cfRule>
  </conditionalFormatting>
  <conditionalFormatting sqref="AS13:AS36">
    <cfRule type="cellIs" dxfId="52" priority="3" operator="greaterThanOrEqual">
      <formula>1185</formula>
    </cfRule>
  </conditionalFormatting>
  <conditionalFormatting sqref="AS13:AS36">
    <cfRule type="cellIs" dxfId="51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1B00-000000000000}">
      <formula1>$AY$11:$AY$21</formula1>
    </dataValidation>
    <dataValidation type="list" allowBlank="1" showInputMessage="1" showErrorMessage="1" sqref="AS8:AT9 P11:P12 N11:N12 D8:E9 Q8:V9" xr:uid="{00000000-0002-0000-1B00-000001000000}">
      <formula1>#REF!</formula1>
    </dataValidation>
    <dataValidation type="list" allowBlank="1" showInputMessage="1" showErrorMessage="1" sqref="AY33:AZ33" xr:uid="{00000000-0002-0000-1B00-000002000000}">
      <formula1>$AY$26:$AY$30</formula1>
    </dataValidation>
    <dataValidation type="list" allowBlank="1" showInputMessage="1" showErrorMessage="1" sqref="R3:R5" xr:uid="{00000000-0002-0000-1B00-000003000000}">
      <formula1>$BB$11:$BB$42</formula1>
    </dataValidation>
  </dataValidations>
  <hyperlinks>
    <hyperlink ref="J10:J11" location="'1'!AH8" display="Plant Status" xr:uid="{00000000-0004-0000-1B00-000000000000}"/>
  </hyperlinks>
  <pageMargins left="0.7" right="0.7" top="0.75" bottom="0.75" header="0.3" footer="0.3"/>
  <pageSetup paperSize="9" orientation="portrait" horizontalDpi="4294967293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>
    <tabColor rgb="FF7030A0"/>
  </sheetPr>
  <dimension ref="A2:BB88"/>
  <sheetViews>
    <sheetView topLeftCell="A43" zoomScaleNormal="100" workbookViewId="0">
      <selection activeCell="B56" sqref="B56:B5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47" t="s">
        <v>147</v>
      </c>
      <c r="S3" s="348"/>
      <c r="T3" s="348"/>
      <c r="U3" s="348"/>
      <c r="V3" s="348"/>
      <c r="W3" s="34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47" t="s">
        <v>271</v>
      </c>
      <c r="S4" s="348"/>
      <c r="T4" s="348"/>
      <c r="U4" s="348"/>
      <c r="V4" s="348"/>
      <c r="W4" s="34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47" t="s">
        <v>149</v>
      </c>
      <c r="S5" s="348"/>
      <c r="T5" s="348"/>
      <c r="U5" s="348"/>
      <c r="V5" s="348"/>
      <c r="W5" s="34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50" t="s">
        <v>6</v>
      </c>
      <c r="C6" s="351"/>
      <c r="D6" s="352" t="s">
        <v>7</v>
      </c>
      <c r="E6" s="353"/>
      <c r="F6" s="353"/>
      <c r="G6" s="353"/>
      <c r="H6" s="353"/>
      <c r="I6" s="353"/>
      <c r="J6" s="354"/>
      <c r="K6" s="87"/>
      <c r="L6" s="87"/>
      <c r="M6" s="286"/>
      <c r="N6" s="355">
        <v>41686</v>
      </c>
      <c r="O6" s="356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37" t="s">
        <v>8</v>
      </c>
      <c r="C7" s="338"/>
      <c r="D7" s="337" t="s">
        <v>9</v>
      </c>
      <c r="E7" s="339"/>
      <c r="F7" s="339"/>
      <c r="G7" s="339"/>
      <c r="H7" s="339"/>
      <c r="I7" s="338"/>
      <c r="J7" s="291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91" t="s">
        <v>14</v>
      </c>
      <c r="R7" s="337" t="s">
        <v>15</v>
      </c>
      <c r="S7" s="339"/>
      <c r="T7" s="339"/>
      <c r="U7" s="339"/>
      <c r="V7" s="338"/>
      <c r="W7" s="337" t="s">
        <v>16</v>
      </c>
      <c r="X7" s="338"/>
      <c r="Y7" s="99" t="s">
        <v>17</v>
      </c>
      <c r="Z7" s="337" t="s">
        <v>18</v>
      </c>
      <c r="AA7" s="338"/>
      <c r="AB7" s="337" t="s">
        <v>19</v>
      </c>
      <c r="AC7" s="338"/>
      <c r="AD7" s="337" t="s">
        <v>20</v>
      </c>
      <c r="AE7" s="338"/>
      <c r="AF7" s="337" t="s">
        <v>21</v>
      </c>
      <c r="AG7" s="338"/>
      <c r="AH7" s="99" t="s">
        <v>22</v>
      </c>
      <c r="AI7" s="99" t="s">
        <v>23</v>
      </c>
      <c r="AJ7" s="99" t="s">
        <v>24</v>
      </c>
      <c r="AK7" s="99" t="s">
        <v>25</v>
      </c>
      <c r="AL7" s="337" t="s">
        <v>26</v>
      </c>
      <c r="AM7" s="339"/>
      <c r="AN7" s="339"/>
      <c r="AO7" s="339"/>
      <c r="AP7" s="339"/>
      <c r="AQ7" s="338"/>
      <c r="AR7" s="337" t="s">
        <v>27</v>
      </c>
      <c r="AS7" s="339"/>
      <c r="AT7" s="33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40">
        <v>43249</v>
      </c>
      <c r="C8" s="341"/>
      <c r="D8" s="342" t="s">
        <v>29</v>
      </c>
      <c r="E8" s="343"/>
      <c r="F8" s="343"/>
      <c r="G8" s="343"/>
      <c r="H8" s="343"/>
      <c r="I8" s="344"/>
      <c r="J8" s="28"/>
      <c r="K8" s="342" t="s">
        <v>29</v>
      </c>
      <c r="L8" s="343"/>
      <c r="M8" s="34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42" t="s">
        <v>33</v>
      </c>
      <c r="X8" s="344"/>
      <c r="Y8" s="30" t="s">
        <v>34</v>
      </c>
      <c r="Z8" s="326">
        <v>0</v>
      </c>
      <c r="AA8" s="327"/>
      <c r="AB8" s="345" t="s">
        <v>35</v>
      </c>
      <c r="AC8" s="346"/>
      <c r="AD8" s="326">
        <v>1185</v>
      </c>
      <c r="AE8" s="327"/>
      <c r="AF8" s="328">
        <v>800</v>
      </c>
      <c r="AG8" s="329"/>
      <c r="AH8" s="28"/>
      <c r="AI8" s="30">
        <f>AI36-AI11</f>
        <v>27827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92"/>
      <c r="C9" s="293"/>
      <c r="D9" s="294"/>
      <c r="E9" s="295"/>
      <c r="F9" s="295"/>
      <c r="G9" s="295"/>
      <c r="H9" s="295"/>
      <c r="I9" s="296"/>
      <c r="J9" s="121"/>
      <c r="K9" s="294"/>
      <c r="L9" s="295"/>
      <c r="M9" s="296"/>
      <c r="N9" s="29"/>
      <c r="O9" s="29"/>
      <c r="P9" s="29"/>
      <c r="Q9" s="121"/>
      <c r="R9" s="121"/>
      <c r="S9" s="121"/>
      <c r="T9" s="122"/>
      <c r="U9" s="123"/>
      <c r="V9" s="124"/>
      <c r="W9" s="294"/>
      <c r="X9" s="296"/>
      <c r="Y9" s="30"/>
      <c r="Z9" s="289"/>
      <c r="AA9" s="125"/>
      <c r="AB9" s="126"/>
      <c r="AC9" s="126"/>
      <c r="AD9" s="125"/>
      <c r="AE9" s="125"/>
      <c r="AF9" s="127"/>
      <c r="AG9" s="290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30" t="s">
        <v>39</v>
      </c>
      <c r="C10" s="331"/>
      <c r="D10" s="330" t="s">
        <v>40</v>
      </c>
      <c r="E10" s="332"/>
      <c r="F10" s="331"/>
      <c r="G10" s="330" t="s">
        <v>41</v>
      </c>
      <c r="H10" s="332"/>
      <c r="I10" s="331"/>
      <c r="J10" s="333" t="s">
        <v>42</v>
      </c>
      <c r="K10" s="330" t="s">
        <v>43</v>
      </c>
      <c r="L10" s="332"/>
      <c r="M10" s="331"/>
      <c r="N10" s="99" t="s">
        <v>44</v>
      </c>
      <c r="O10" s="335" t="s">
        <v>45</v>
      </c>
      <c r="P10" s="33" t="s">
        <v>46</v>
      </c>
      <c r="Q10" s="324" t="s">
        <v>47</v>
      </c>
      <c r="R10" s="324" t="s">
        <v>48</v>
      </c>
      <c r="S10" s="34" t="s">
        <v>49</v>
      </c>
      <c r="T10" s="312" t="s">
        <v>50</v>
      </c>
      <c r="U10" s="313"/>
      <c r="V10" s="314"/>
      <c r="W10" s="287" t="s">
        <v>51</v>
      </c>
      <c r="X10" s="287" t="s">
        <v>52</v>
      </c>
      <c r="Y10" s="318" t="s">
        <v>53</v>
      </c>
      <c r="Z10" s="319" t="s">
        <v>54</v>
      </c>
      <c r="AA10" s="320"/>
      <c r="AB10" s="320"/>
      <c r="AC10" s="320"/>
      <c r="AD10" s="320"/>
      <c r="AE10" s="320"/>
      <c r="AF10" s="320"/>
      <c r="AG10" s="321"/>
      <c r="AH10" s="285" t="s">
        <v>55</v>
      </c>
      <c r="AI10" s="285" t="s">
        <v>56</v>
      </c>
      <c r="AJ10" s="307" t="s">
        <v>57</v>
      </c>
      <c r="AK10" s="322" t="s">
        <v>58</v>
      </c>
      <c r="AL10" s="287" t="s">
        <v>59</v>
      </c>
      <c r="AM10" s="287" t="s">
        <v>60</v>
      </c>
      <c r="AN10" s="287" t="s">
        <v>61</v>
      </c>
      <c r="AO10" s="287" t="s">
        <v>62</v>
      </c>
      <c r="AP10" s="287" t="s">
        <v>63</v>
      </c>
      <c r="AQ10" s="287" t="s">
        <v>123</v>
      </c>
      <c r="AR10" s="287" t="s">
        <v>64</v>
      </c>
      <c r="AS10" s="287" t="s">
        <v>65</v>
      </c>
      <c r="AT10" s="324" t="s">
        <v>66</v>
      </c>
      <c r="AU10" s="287" t="s">
        <v>67</v>
      </c>
      <c r="AV10" s="30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87" t="s">
        <v>72</v>
      </c>
      <c r="C11" s="287" t="s">
        <v>73</v>
      </c>
      <c r="D11" s="287" t="s">
        <v>74</v>
      </c>
      <c r="E11" s="287" t="s">
        <v>75</v>
      </c>
      <c r="F11" s="287" t="s">
        <v>126</v>
      </c>
      <c r="G11" s="287" t="s">
        <v>74</v>
      </c>
      <c r="H11" s="287" t="s">
        <v>75</v>
      </c>
      <c r="I11" s="287" t="s">
        <v>126</v>
      </c>
      <c r="J11" s="334"/>
      <c r="K11" s="287" t="s">
        <v>75</v>
      </c>
      <c r="L11" s="287" t="s">
        <v>75</v>
      </c>
      <c r="M11" s="287" t="s">
        <v>75</v>
      </c>
      <c r="N11" s="28" t="s">
        <v>29</v>
      </c>
      <c r="O11" s="336"/>
      <c r="P11" s="28" t="s">
        <v>29</v>
      </c>
      <c r="Q11" s="325"/>
      <c r="R11" s="325"/>
      <c r="S11" s="1">
        <f>'MAY 28'!S36</f>
        <v>96047420</v>
      </c>
      <c r="T11" s="315"/>
      <c r="U11" s="316"/>
      <c r="V11" s="317"/>
      <c r="W11" s="287" t="s">
        <v>75</v>
      </c>
      <c r="X11" s="287" t="s">
        <v>75</v>
      </c>
      <c r="Y11" s="31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'MAY 28'!AI36</f>
        <v>16125640</v>
      </c>
      <c r="AJ11" s="307"/>
      <c r="AK11" s="323"/>
      <c r="AL11" s="287" t="s">
        <v>84</v>
      </c>
      <c r="AM11" s="287" t="s">
        <v>84</v>
      </c>
      <c r="AN11" s="287" t="s">
        <v>84</v>
      </c>
      <c r="AO11" s="287" t="s">
        <v>84</v>
      </c>
      <c r="AP11" s="287" t="s">
        <v>84</v>
      </c>
      <c r="AQ11" s="287" t="s">
        <v>84</v>
      </c>
      <c r="AR11" s="287" t="s">
        <v>84</v>
      </c>
      <c r="AS11" s="1"/>
      <c r="AT11" s="325"/>
      <c r="AU11" s="288" t="s">
        <v>85</v>
      </c>
      <c r="AV11" s="307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283</v>
      </c>
      <c r="B12" s="305" t="s">
        <v>284</v>
      </c>
      <c r="C12" s="305" t="s">
        <v>285</v>
      </c>
      <c r="D12" s="305" t="s">
        <v>286</v>
      </c>
      <c r="E12" s="305" t="s">
        <v>287</v>
      </c>
      <c r="F12" s="305" t="s">
        <v>288</v>
      </c>
      <c r="G12" s="305" t="s">
        <v>289</v>
      </c>
      <c r="H12" s="305" t="s">
        <v>290</v>
      </c>
      <c r="I12" s="305" t="s">
        <v>291</v>
      </c>
      <c r="J12" s="297" t="s">
        <v>292</v>
      </c>
      <c r="K12" s="305" t="s">
        <v>293</v>
      </c>
      <c r="L12" s="305" t="s">
        <v>294</v>
      </c>
      <c r="M12" s="305" t="s">
        <v>295</v>
      </c>
      <c r="N12" s="28" t="s">
        <v>296</v>
      </c>
      <c r="O12" s="298" t="s">
        <v>297</v>
      </c>
      <c r="P12" s="28" t="s">
        <v>298</v>
      </c>
      <c r="Q12" s="300" t="s">
        <v>299</v>
      </c>
      <c r="R12" s="300" t="s">
        <v>300</v>
      </c>
      <c r="S12" s="1" t="s">
        <v>301</v>
      </c>
      <c r="T12" s="302" t="s">
        <v>302</v>
      </c>
      <c r="U12" s="303" t="s">
        <v>303</v>
      </c>
      <c r="V12" s="304" t="s">
        <v>304</v>
      </c>
      <c r="W12" s="305" t="s">
        <v>305</v>
      </c>
      <c r="X12" s="305" t="s">
        <v>306</v>
      </c>
      <c r="Y12" s="305" t="s">
        <v>307</v>
      </c>
      <c r="Z12" s="37" t="s">
        <v>308</v>
      </c>
      <c r="AA12" s="37" t="s">
        <v>309</v>
      </c>
      <c r="AB12" s="37" t="s">
        <v>310</v>
      </c>
      <c r="AC12" s="37" t="s">
        <v>311</v>
      </c>
      <c r="AD12" s="37" t="s">
        <v>312</v>
      </c>
      <c r="AE12" s="37" t="s">
        <v>313</v>
      </c>
      <c r="AF12" s="37" t="s">
        <v>314</v>
      </c>
      <c r="AG12" s="37" t="s">
        <v>315</v>
      </c>
      <c r="AH12" s="38" t="s">
        <v>316</v>
      </c>
      <c r="AI12" s="1" t="s">
        <v>317</v>
      </c>
      <c r="AJ12" s="301" t="s">
        <v>318</v>
      </c>
      <c r="AK12" s="306" t="s">
        <v>319</v>
      </c>
      <c r="AL12" s="305" t="s">
        <v>320</v>
      </c>
      <c r="AM12" s="305" t="s">
        <v>321</v>
      </c>
      <c r="AN12" s="305" t="s">
        <v>322</v>
      </c>
      <c r="AO12" s="305" t="s">
        <v>323</v>
      </c>
      <c r="AP12" s="305" t="s">
        <v>324</v>
      </c>
      <c r="AQ12" s="305" t="s">
        <v>325</v>
      </c>
      <c r="AR12" s="305" t="s">
        <v>326</v>
      </c>
      <c r="AS12" s="1" t="s">
        <v>327</v>
      </c>
      <c r="AT12" s="300" t="s">
        <v>328</v>
      </c>
      <c r="AU12" s="299" t="s">
        <v>329</v>
      </c>
      <c r="AV12" s="301"/>
      <c r="AY12" s="39"/>
      <c r="AZ12" s="39"/>
      <c r="BB12" s="136"/>
    </row>
    <row r="13" spans="1:54" x14ac:dyDescent="0.35">
      <c r="A13" s="357">
        <v>43249</v>
      </c>
      <c r="B13" s="40">
        <v>2</v>
      </c>
      <c r="C13" s="40">
        <v>4.1666666666666664E-2</v>
      </c>
      <c r="D13" s="156" t="s">
        <v>179</v>
      </c>
      <c r="E13" s="154" t="e">
        <f>D13/1.42</f>
        <v>#VALUE!</v>
      </c>
      <c r="F13" s="154">
        <v>2</v>
      </c>
      <c r="G13" s="118">
        <v>69</v>
      </c>
      <c r="H13" s="154">
        <f t="shared" ref="H13:H36" si="0">G13/1.42</f>
        <v>48.591549295774648</v>
      </c>
      <c r="I13" s="154">
        <v>72</v>
      </c>
      <c r="J13" s="41" t="s">
        <v>88</v>
      </c>
      <c r="K13" s="41">
        <f>L13-(2/1.42)</f>
        <v>43.661971830985919</v>
      </c>
      <c r="L13" s="42">
        <f>(G13-5)/1.42</f>
        <v>45.070422535211272</v>
      </c>
      <c r="M13" s="41">
        <f>L13+(6/1.42)</f>
        <v>49.295774647887328</v>
      </c>
      <c r="N13" s="43">
        <v>14</v>
      </c>
      <c r="O13" s="44" t="s">
        <v>89</v>
      </c>
      <c r="P13" s="44">
        <v>11.4</v>
      </c>
      <c r="Q13" s="157" t="s">
        <v>179</v>
      </c>
      <c r="R13" s="157"/>
      <c r="S13" s="157">
        <v>96052493</v>
      </c>
      <c r="T13" s="45">
        <f>IF(ISBLANK(S13),"-",S13-S11)</f>
        <v>5073</v>
      </c>
      <c r="U13" s="46">
        <f>T13*24/1000</f>
        <v>121.752</v>
      </c>
      <c r="V13" s="46">
        <f>T13/1000</f>
        <v>5.0730000000000004</v>
      </c>
      <c r="W13" s="96">
        <v>3.8</v>
      </c>
      <c r="X13" s="96">
        <f t="shared" ref="X13:X36" si="1">W13</f>
        <v>3.8</v>
      </c>
      <c r="Y13" s="97" t="s">
        <v>138</v>
      </c>
      <c r="Z13" s="158">
        <v>0</v>
      </c>
      <c r="AA13" s="158">
        <v>0</v>
      </c>
      <c r="AB13" s="158">
        <v>1187</v>
      </c>
      <c r="AC13" s="158">
        <v>0</v>
      </c>
      <c r="AD13" s="158">
        <v>1187</v>
      </c>
      <c r="AE13" s="158">
        <v>1185</v>
      </c>
      <c r="AF13" s="47" t="s">
        <v>90</v>
      </c>
      <c r="AG13" s="47" t="s">
        <v>90</v>
      </c>
      <c r="AH13" s="98" t="s">
        <v>90</v>
      </c>
      <c r="AI13" s="103">
        <v>16126767</v>
      </c>
      <c r="AJ13" s="45">
        <f>IF(ISBLANK(AI13),"-",AI13-AI11)</f>
        <v>1127</v>
      </c>
      <c r="AK13" s="48">
        <f>AJ13/V13</f>
        <v>222.15651488271237</v>
      </c>
      <c r="AL13" s="155">
        <v>0</v>
      </c>
      <c r="AM13" s="155">
        <v>0</v>
      </c>
      <c r="AN13" s="155">
        <v>1</v>
      </c>
      <c r="AO13" s="155">
        <v>0</v>
      </c>
      <c r="AP13" s="155">
        <v>1</v>
      </c>
      <c r="AQ13" s="155">
        <v>1</v>
      </c>
      <c r="AR13" s="155">
        <v>0.8</v>
      </c>
      <c r="AS13" s="158"/>
      <c r="AT13" s="158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357">
        <v>43249</v>
      </c>
      <c r="B14" s="40">
        <v>2.0416666666666701</v>
      </c>
      <c r="C14" s="40">
        <v>8.3333333333333329E-2</v>
      </c>
      <c r="D14" s="156" t="s">
        <v>179</v>
      </c>
      <c r="E14" s="154" t="e">
        <f t="shared" ref="E14:E36" si="2">D14/1.42</f>
        <v>#VALUE!</v>
      </c>
      <c r="F14" s="154">
        <v>4</v>
      </c>
      <c r="G14" s="118">
        <v>70</v>
      </c>
      <c r="H14" s="154">
        <f t="shared" si="0"/>
        <v>49.295774647887328</v>
      </c>
      <c r="I14" s="154">
        <v>73</v>
      </c>
      <c r="J14" s="41" t="s">
        <v>88</v>
      </c>
      <c r="K14" s="41">
        <f t="shared" ref="K14:K36" si="3">L14-(2/1.42)</f>
        <v>44.366197183098592</v>
      </c>
      <c r="L14" s="42">
        <f>(G14-5)/1.42</f>
        <v>45.774647887323944</v>
      </c>
      <c r="M14" s="41">
        <f>L14+(6/1.42)</f>
        <v>50</v>
      </c>
      <c r="N14" s="43">
        <v>14</v>
      </c>
      <c r="O14" s="44" t="s">
        <v>89</v>
      </c>
      <c r="P14" s="44">
        <v>11.2</v>
      </c>
      <c r="Q14" s="157" t="s">
        <v>179</v>
      </c>
      <c r="R14" s="157"/>
      <c r="S14" s="157">
        <v>96057372</v>
      </c>
      <c r="T14" s="45">
        <f t="shared" ref="T14:T36" si="4">IF(ISBLANK(S14),"-",S14-S13)</f>
        <v>4879</v>
      </c>
      <c r="U14" s="46">
        <f t="shared" ref="U14:U37" si="5">T14*24/1000</f>
        <v>117.096</v>
      </c>
      <c r="V14" s="46">
        <f t="shared" ref="V14:V37" si="6">T14/1000</f>
        <v>4.8789999999999996</v>
      </c>
      <c r="W14" s="96">
        <v>5.9</v>
      </c>
      <c r="X14" s="96">
        <f t="shared" si="1"/>
        <v>5.9</v>
      </c>
      <c r="Y14" s="97" t="s">
        <v>138</v>
      </c>
      <c r="Z14" s="158">
        <v>0</v>
      </c>
      <c r="AA14" s="158">
        <v>0</v>
      </c>
      <c r="AB14" s="158">
        <v>1187</v>
      </c>
      <c r="AC14" s="158">
        <v>0</v>
      </c>
      <c r="AD14" s="158">
        <v>1187</v>
      </c>
      <c r="AE14" s="158">
        <v>1185</v>
      </c>
      <c r="AF14" s="47" t="s">
        <v>90</v>
      </c>
      <c r="AG14" s="47" t="s">
        <v>90</v>
      </c>
      <c r="AH14" s="98" t="s">
        <v>90</v>
      </c>
      <c r="AI14" s="103">
        <v>16127915</v>
      </c>
      <c r="AJ14" s="45">
        <f t="shared" ref="AJ14:AJ36" si="7">IF(ISBLANK(AI14),"-",AI14-AI13)</f>
        <v>1148</v>
      </c>
      <c r="AK14" s="48">
        <f t="shared" ref="AK14:AK36" si="8">AJ14/V14</f>
        <v>235.29411764705884</v>
      </c>
      <c r="AL14" s="155">
        <v>0</v>
      </c>
      <c r="AM14" s="155">
        <v>0</v>
      </c>
      <c r="AN14" s="155">
        <v>1</v>
      </c>
      <c r="AO14" s="155">
        <v>0</v>
      </c>
      <c r="AP14" s="155">
        <v>1</v>
      </c>
      <c r="AQ14" s="155">
        <v>1</v>
      </c>
      <c r="AR14" s="155">
        <v>0.8</v>
      </c>
      <c r="AS14" s="158"/>
      <c r="AT14" s="158">
        <f t="shared" ref="AT14:AT35" si="9">AS14-AS13</f>
        <v>0</v>
      </c>
      <c r="AU14" s="119">
        <v>1.02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57">
        <v>43249</v>
      </c>
      <c r="B15" s="40">
        <v>2.0833333333333299</v>
      </c>
      <c r="C15" s="40">
        <v>0.125</v>
      </c>
      <c r="D15" s="156" t="s">
        <v>179</v>
      </c>
      <c r="E15" s="154" t="e">
        <f t="shared" si="2"/>
        <v>#VALUE!</v>
      </c>
      <c r="F15" s="154">
        <v>5</v>
      </c>
      <c r="G15" s="118">
        <v>71</v>
      </c>
      <c r="H15" s="154">
        <f t="shared" si="0"/>
        <v>50</v>
      </c>
      <c r="I15" s="154">
        <v>74</v>
      </c>
      <c r="J15" s="41" t="s">
        <v>88</v>
      </c>
      <c r="K15" s="41">
        <f t="shared" si="3"/>
        <v>45.070422535211272</v>
      </c>
      <c r="L15" s="42">
        <f>(G15-5)/1.42</f>
        <v>46.478873239436624</v>
      </c>
      <c r="M15" s="41">
        <f>L15+(6/1.42)</f>
        <v>50.70422535211268</v>
      </c>
      <c r="N15" s="43">
        <v>14</v>
      </c>
      <c r="O15" s="44" t="s">
        <v>89</v>
      </c>
      <c r="P15" s="44">
        <v>11.2</v>
      </c>
      <c r="Q15" s="157" t="s">
        <v>179</v>
      </c>
      <c r="R15" s="157"/>
      <c r="S15" s="157">
        <v>96062048</v>
      </c>
      <c r="T15" s="45">
        <f>IF(ISBLANK(S15),"-",S15-S14)</f>
        <v>4676</v>
      </c>
      <c r="U15" s="46">
        <f t="shared" si="5"/>
        <v>112.224</v>
      </c>
      <c r="V15" s="46">
        <f t="shared" si="6"/>
        <v>4.6760000000000002</v>
      </c>
      <c r="W15" s="96">
        <v>7.2</v>
      </c>
      <c r="X15" s="96">
        <f t="shared" si="1"/>
        <v>7.2</v>
      </c>
      <c r="Y15" s="97" t="s">
        <v>138</v>
      </c>
      <c r="Z15" s="158">
        <v>0</v>
      </c>
      <c r="AA15" s="158">
        <v>0</v>
      </c>
      <c r="AB15" s="158">
        <v>1187</v>
      </c>
      <c r="AC15" s="158">
        <v>0</v>
      </c>
      <c r="AD15" s="158">
        <v>1187</v>
      </c>
      <c r="AE15" s="158">
        <v>1185</v>
      </c>
      <c r="AF15" s="47" t="s">
        <v>90</v>
      </c>
      <c r="AG15" s="47" t="s">
        <v>90</v>
      </c>
      <c r="AH15" s="98" t="s">
        <v>90</v>
      </c>
      <c r="AI15" s="103">
        <v>16129044</v>
      </c>
      <c r="AJ15" s="45">
        <f t="shared" si="7"/>
        <v>1129</v>
      </c>
      <c r="AK15" s="48">
        <f t="shared" si="8"/>
        <v>241.44568006843454</v>
      </c>
      <c r="AL15" s="155">
        <v>0</v>
      </c>
      <c r="AM15" s="155">
        <v>0</v>
      </c>
      <c r="AN15" s="155">
        <v>1</v>
      </c>
      <c r="AO15" s="155">
        <v>0</v>
      </c>
      <c r="AP15" s="155">
        <v>1</v>
      </c>
      <c r="AQ15" s="155">
        <v>1</v>
      </c>
      <c r="AR15" s="155">
        <v>0.8</v>
      </c>
      <c r="AS15" s="158"/>
      <c r="AT15" s="158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357">
        <v>43249</v>
      </c>
      <c r="B16" s="40">
        <v>2.125</v>
      </c>
      <c r="C16" s="40">
        <v>0.16666666666666699</v>
      </c>
      <c r="D16" s="156" t="s">
        <v>179</v>
      </c>
      <c r="E16" s="154" t="e">
        <f t="shared" si="2"/>
        <v>#VALUE!</v>
      </c>
      <c r="F16" s="154">
        <v>6</v>
      </c>
      <c r="G16" s="118">
        <v>70</v>
      </c>
      <c r="H16" s="154">
        <f t="shared" si="0"/>
        <v>49.295774647887328</v>
      </c>
      <c r="I16" s="154">
        <v>74</v>
      </c>
      <c r="J16" s="41" t="s">
        <v>88</v>
      </c>
      <c r="K16" s="41">
        <f t="shared" si="3"/>
        <v>44.366197183098592</v>
      </c>
      <c r="L16" s="42">
        <f>(G16-5)/1.42</f>
        <v>45.774647887323944</v>
      </c>
      <c r="M16" s="41">
        <f>L16+(6/1.42)</f>
        <v>50</v>
      </c>
      <c r="N16" s="43">
        <v>14</v>
      </c>
      <c r="O16" s="44" t="s">
        <v>89</v>
      </c>
      <c r="P16" s="44">
        <v>12.8</v>
      </c>
      <c r="Q16" s="157" t="s">
        <v>179</v>
      </c>
      <c r="R16" s="157"/>
      <c r="S16" s="157">
        <v>96067196</v>
      </c>
      <c r="T16" s="45">
        <f t="shared" si="4"/>
        <v>5148</v>
      </c>
      <c r="U16" s="46">
        <f t="shared" si="5"/>
        <v>123.55200000000001</v>
      </c>
      <c r="V16" s="46">
        <f t="shared" si="6"/>
        <v>5.1479999999999997</v>
      </c>
      <c r="W16" s="96">
        <v>8.9</v>
      </c>
      <c r="X16" s="96">
        <f t="shared" si="1"/>
        <v>8.9</v>
      </c>
      <c r="Y16" s="97" t="s">
        <v>138</v>
      </c>
      <c r="Z16" s="158">
        <v>0</v>
      </c>
      <c r="AA16" s="158">
        <v>0</v>
      </c>
      <c r="AB16" s="158">
        <v>1187</v>
      </c>
      <c r="AC16" s="158">
        <v>0</v>
      </c>
      <c r="AD16" s="158">
        <v>1187</v>
      </c>
      <c r="AE16" s="158">
        <v>1185</v>
      </c>
      <c r="AF16" s="47" t="s">
        <v>90</v>
      </c>
      <c r="AG16" s="47" t="s">
        <v>90</v>
      </c>
      <c r="AH16" s="98" t="s">
        <v>90</v>
      </c>
      <c r="AI16" s="103">
        <v>16130183</v>
      </c>
      <c r="AJ16" s="45">
        <f t="shared" si="7"/>
        <v>1139</v>
      </c>
      <c r="AK16" s="48">
        <f t="shared" si="8"/>
        <v>221.25097125097128</v>
      </c>
      <c r="AL16" s="155">
        <v>0</v>
      </c>
      <c r="AM16" s="155">
        <v>0</v>
      </c>
      <c r="AN16" s="155">
        <v>1</v>
      </c>
      <c r="AO16" s="155">
        <v>0</v>
      </c>
      <c r="AP16" s="155">
        <v>1</v>
      </c>
      <c r="AQ16" s="155">
        <v>1</v>
      </c>
      <c r="AR16" s="155">
        <v>0.8</v>
      </c>
      <c r="AS16" s="158"/>
      <c r="AT16" s="158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357">
        <v>43249</v>
      </c>
      <c r="B17" s="40">
        <v>2.1666666666666701</v>
      </c>
      <c r="C17" s="40">
        <v>0.20833333333333301</v>
      </c>
      <c r="D17" s="156" t="s">
        <v>179</v>
      </c>
      <c r="E17" s="154" t="e">
        <f t="shared" si="2"/>
        <v>#VALUE!</v>
      </c>
      <c r="F17" s="154">
        <v>7</v>
      </c>
      <c r="G17" s="118">
        <v>80</v>
      </c>
      <c r="H17" s="154">
        <f t="shared" si="0"/>
        <v>56.338028169014088</v>
      </c>
      <c r="I17" s="154">
        <v>78</v>
      </c>
      <c r="J17" s="41" t="s">
        <v>88</v>
      </c>
      <c r="K17" s="41">
        <f t="shared" si="3"/>
        <v>51.408450704225352</v>
      </c>
      <c r="L17" s="42">
        <f>(G17-5)/1.42</f>
        <v>52.816901408450704</v>
      </c>
      <c r="M17" s="41">
        <f>L17+(6/1.42)</f>
        <v>57.04225352112676</v>
      </c>
      <c r="N17" s="43">
        <v>18</v>
      </c>
      <c r="O17" s="44" t="s">
        <v>89</v>
      </c>
      <c r="P17" s="44">
        <v>13.1</v>
      </c>
      <c r="Q17" s="157" t="s">
        <v>179</v>
      </c>
      <c r="R17" s="157"/>
      <c r="S17" s="157">
        <v>96072120</v>
      </c>
      <c r="T17" s="45">
        <f t="shared" si="4"/>
        <v>4924</v>
      </c>
      <c r="U17" s="46">
        <f t="shared" si="5"/>
        <v>118.176</v>
      </c>
      <c r="V17" s="46">
        <f t="shared" si="6"/>
        <v>4.9240000000000004</v>
      </c>
      <c r="W17" s="96">
        <v>9.5</v>
      </c>
      <c r="X17" s="96">
        <f t="shared" si="1"/>
        <v>9.5</v>
      </c>
      <c r="Y17" s="97" t="s">
        <v>138</v>
      </c>
      <c r="Z17" s="158">
        <v>0</v>
      </c>
      <c r="AA17" s="158">
        <v>0</v>
      </c>
      <c r="AB17" s="158">
        <v>1187</v>
      </c>
      <c r="AC17" s="158">
        <v>0</v>
      </c>
      <c r="AD17" s="158">
        <v>1187</v>
      </c>
      <c r="AE17" s="158">
        <v>1185</v>
      </c>
      <c r="AF17" s="47" t="s">
        <v>90</v>
      </c>
      <c r="AG17" s="47" t="s">
        <v>90</v>
      </c>
      <c r="AH17" s="98" t="s">
        <v>90</v>
      </c>
      <c r="AI17" s="103">
        <v>16131257</v>
      </c>
      <c r="AJ17" s="45">
        <f t="shared" si="7"/>
        <v>1074</v>
      </c>
      <c r="AK17" s="48">
        <f t="shared" si="8"/>
        <v>218.11535337124286</v>
      </c>
      <c r="AL17" s="155">
        <v>0</v>
      </c>
      <c r="AM17" s="155">
        <v>0</v>
      </c>
      <c r="AN17" s="155">
        <v>1</v>
      </c>
      <c r="AO17" s="155">
        <v>0</v>
      </c>
      <c r="AP17" s="155">
        <v>1</v>
      </c>
      <c r="AQ17" s="155">
        <v>1</v>
      </c>
      <c r="AR17" s="155">
        <v>0</v>
      </c>
      <c r="AS17" s="158"/>
      <c r="AT17" s="158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57">
        <v>43249</v>
      </c>
      <c r="B18" s="40">
        <v>2.2083333333333299</v>
      </c>
      <c r="C18" s="40">
        <v>0.25</v>
      </c>
      <c r="D18" s="156" t="s">
        <v>179</v>
      </c>
      <c r="E18" s="154" t="e">
        <f t="shared" si="2"/>
        <v>#VALUE!</v>
      </c>
      <c r="F18" s="154">
        <v>8</v>
      </c>
      <c r="G18" s="118">
        <v>80</v>
      </c>
      <c r="H18" s="154">
        <f t="shared" si="0"/>
        <v>56.338028169014088</v>
      </c>
      <c r="I18" s="154">
        <v>80</v>
      </c>
      <c r="J18" s="41" t="s">
        <v>88</v>
      </c>
      <c r="K18" s="41">
        <f t="shared" si="3"/>
        <v>54.929577464788736</v>
      </c>
      <c r="L18" s="42">
        <f t="shared" ref="L18:L27" si="10">G18/1.42</f>
        <v>56.338028169014088</v>
      </c>
      <c r="M18" s="41">
        <f>L18+1.42</f>
        <v>57.758028169014089</v>
      </c>
      <c r="N18" s="43">
        <v>19</v>
      </c>
      <c r="O18" s="44" t="s">
        <v>100</v>
      </c>
      <c r="P18" s="44">
        <v>13.1</v>
      </c>
      <c r="Q18" s="157" t="s">
        <v>179</v>
      </c>
      <c r="R18" s="157"/>
      <c r="S18" s="157">
        <v>96078151</v>
      </c>
      <c r="T18" s="45">
        <f t="shared" si="4"/>
        <v>6031</v>
      </c>
      <c r="U18" s="46">
        <f t="shared" si="5"/>
        <v>144.744</v>
      </c>
      <c r="V18" s="46">
        <f t="shared" si="6"/>
        <v>6.0309999999999997</v>
      </c>
      <c r="W18" s="96">
        <v>9.5</v>
      </c>
      <c r="X18" s="96">
        <f t="shared" si="1"/>
        <v>9.5</v>
      </c>
      <c r="Y18" s="97" t="s">
        <v>138</v>
      </c>
      <c r="Z18" s="158">
        <v>0</v>
      </c>
      <c r="AA18" s="158">
        <v>0</v>
      </c>
      <c r="AB18" s="158">
        <v>1187</v>
      </c>
      <c r="AC18" s="158">
        <v>0</v>
      </c>
      <c r="AD18" s="158">
        <v>1187</v>
      </c>
      <c r="AE18" s="158">
        <v>1185</v>
      </c>
      <c r="AF18" s="47" t="s">
        <v>90</v>
      </c>
      <c r="AG18" s="47" t="s">
        <v>90</v>
      </c>
      <c r="AH18" s="98" t="s">
        <v>90</v>
      </c>
      <c r="AI18" s="103">
        <v>16132265</v>
      </c>
      <c r="AJ18" s="45">
        <f t="shared" si="7"/>
        <v>1008</v>
      </c>
      <c r="AK18" s="48">
        <f t="shared" si="8"/>
        <v>167.13646161498923</v>
      </c>
      <c r="AL18" s="155">
        <v>0</v>
      </c>
      <c r="AM18" s="155">
        <v>0</v>
      </c>
      <c r="AN18" s="155">
        <v>1</v>
      </c>
      <c r="AO18" s="155">
        <v>0</v>
      </c>
      <c r="AP18" s="155">
        <v>1</v>
      </c>
      <c r="AQ18" s="155">
        <v>1</v>
      </c>
      <c r="AR18" s="155">
        <v>0</v>
      </c>
      <c r="AS18" s="158"/>
      <c r="AT18" s="158">
        <f t="shared" si="9"/>
        <v>0</v>
      </c>
      <c r="AU18" s="119">
        <v>1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57">
        <v>43249</v>
      </c>
      <c r="B19" s="40">
        <v>2.25</v>
      </c>
      <c r="C19" s="40">
        <v>0.29166666666666669</v>
      </c>
      <c r="D19" s="156" t="s">
        <v>179</v>
      </c>
      <c r="E19" s="154" t="e">
        <f t="shared" si="2"/>
        <v>#VALUE!</v>
      </c>
      <c r="F19" s="154">
        <v>7</v>
      </c>
      <c r="G19" s="118">
        <v>79</v>
      </c>
      <c r="H19" s="154">
        <f t="shared" si="0"/>
        <v>55.633802816901408</v>
      </c>
      <c r="I19" s="154">
        <v>79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7" t="s">
        <v>179</v>
      </c>
      <c r="R19" s="157"/>
      <c r="S19" s="157">
        <v>96084301</v>
      </c>
      <c r="T19" s="45">
        <f t="shared" si="4"/>
        <v>6150</v>
      </c>
      <c r="U19" s="46">
        <f t="shared" si="5"/>
        <v>147.6</v>
      </c>
      <c r="V19" s="46">
        <f t="shared" si="6"/>
        <v>6.15</v>
      </c>
      <c r="W19" s="96">
        <v>8.8000000000000007</v>
      </c>
      <c r="X19" s="96">
        <f t="shared" si="1"/>
        <v>8.8000000000000007</v>
      </c>
      <c r="Y19" s="97" t="s">
        <v>169</v>
      </c>
      <c r="Z19" s="158">
        <v>0</v>
      </c>
      <c r="AA19" s="158">
        <v>1046</v>
      </c>
      <c r="AB19" s="158">
        <v>1187</v>
      </c>
      <c r="AC19" s="158">
        <v>0</v>
      </c>
      <c r="AD19" s="158">
        <v>1187</v>
      </c>
      <c r="AE19" s="158">
        <v>1185</v>
      </c>
      <c r="AF19" s="47" t="s">
        <v>90</v>
      </c>
      <c r="AG19" s="47" t="s">
        <v>90</v>
      </c>
      <c r="AH19" s="98" t="s">
        <v>90</v>
      </c>
      <c r="AI19" s="103">
        <v>16133627</v>
      </c>
      <c r="AJ19" s="45">
        <f t="shared" si="7"/>
        <v>1362</v>
      </c>
      <c r="AK19" s="48">
        <f t="shared" si="8"/>
        <v>221.46341463414632</v>
      </c>
      <c r="AL19" s="155">
        <v>0</v>
      </c>
      <c r="AM19" s="155">
        <v>1</v>
      </c>
      <c r="AN19" s="155">
        <v>1</v>
      </c>
      <c r="AO19" s="155">
        <v>0</v>
      </c>
      <c r="AP19" s="155">
        <v>1</v>
      </c>
      <c r="AQ19" s="155">
        <v>1</v>
      </c>
      <c r="AR19" s="155">
        <v>0</v>
      </c>
      <c r="AS19" s="158"/>
      <c r="AT19" s="158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57">
        <v>43249</v>
      </c>
      <c r="B20" s="40">
        <v>2.2916666666666701</v>
      </c>
      <c r="C20" s="40">
        <v>0.33333333333333298</v>
      </c>
      <c r="D20" s="156" t="s">
        <v>179</v>
      </c>
      <c r="E20" s="154" t="e">
        <f t="shared" si="2"/>
        <v>#VALUE!</v>
      </c>
      <c r="F20" s="154">
        <v>6</v>
      </c>
      <c r="G20" s="118">
        <v>76</v>
      </c>
      <c r="H20" s="154">
        <f t="shared" si="0"/>
        <v>53.521126760563384</v>
      </c>
      <c r="I20" s="154">
        <v>78</v>
      </c>
      <c r="J20" s="41" t="s">
        <v>88</v>
      </c>
      <c r="K20" s="41">
        <f t="shared" si="3"/>
        <v>52.112676056338032</v>
      </c>
      <c r="L20" s="42">
        <f t="shared" si="10"/>
        <v>53.521126760563384</v>
      </c>
      <c r="M20" s="41">
        <f t="shared" ref="M20:M24" si="11">L20+1.42</f>
        <v>54.941126760563385</v>
      </c>
      <c r="N20" s="43">
        <v>19</v>
      </c>
      <c r="O20" s="44" t="s">
        <v>100</v>
      </c>
      <c r="P20" s="44">
        <v>17.3</v>
      </c>
      <c r="Q20" s="157" t="s">
        <v>179</v>
      </c>
      <c r="R20" s="157"/>
      <c r="S20" s="157">
        <v>96090296</v>
      </c>
      <c r="T20" s="45">
        <f t="shared" si="4"/>
        <v>5995</v>
      </c>
      <c r="U20" s="46">
        <f>T20*24/1000</f>
        <v>143.88</v>
      </c>
      <c r="V20" s="46">
        <f t="shared" si="6"/>
        <v>5.9950000000000001</v>
      </c>
      <c r="W20" s="96">
        <v>8.1</v>
      </c>
      <c r="X20" s="96">
        <f t="shared" si="1"/>
        <v>8.1</v>
      </c>
      <c r="Y20" s="97" t="s">
        <v>169</v>
      </c>
      <c r="Z20" s="158">
        <v>0</v>
      </c>
      <c r="AA20" s="158">
        <v>1046</v>
      </c>
      <c r="AB20" s="158">
        <v>1187</v>
      </c>
      <c r="AC20" s="158">
        <v>0</v>
      </c>
      <c r="AD20" s="158">
        <v>1187</v>
      </c>
      <c r="AE20" s="158">
        <v>1185</v>
      </c>
      <c r="AF20" s="47" t="s">
        <v>90</v>
      </c>
      <c r="AG20" s="47" t="s">
        <v>90</v>
      </c>
      <c r="AH20" s="98" t="s">
        <v>90</v>
      </c>
      <c r="AI20" s="103">
        <v>16134822</v>
      </c>
      <c r="AJ20" s="45">
        <f t="shared" si="7"/>
        <v>1195</v>
      </c>
      <c r="AK20" s="48">
        <f t="shared" si="8"/>
        <v>199.33277731442868</v>
      </c>
      <c r="AL20" s="155">
        <v>0</v>
      </c>
      <c r="AM20" s="155">
        <v>1</v>
      </c>
      <c r="AN20" s="155">
        <v>1</v>
      </c>
      <c r="AO20" s="155">
        <v>0</v>
      </c>
      <c r="AP20" s="155">
        <v>1</v>
      </c>
      <c r="AQ20" s="155">
        <v>1</v>
      </c>
      <c r="AR20" s="155">
        <v>0</v>
      </c>
      <c r="AS20" s="158"/>
      <c r="AT20" s="158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357">
        <v>43249</v>
      </c>
      <c r="B21" s="40">
        <v>2.3333333333333299</v>
      </c>
      <c r="C21" s="40">
        <v>0.375</v>
      </c>
      <c r="D21" s="156">
        <v>3</v>
      </c>
      <c r="E21" s="154">
        <f t="shared" si="2"/>
        <v>2.1126760563380285</v>
      </c>
      <c r="F21" s="154">
        <v>6</v>
      </c>
      <c r="G21" s="118">
        <v>75</v>
      </c>
      <c r="H21" s="154">
        <f t="shared" si="0"/>
        <v>52.816901408450704</v>
      </c>
      <c r="I21" s="154">
        <v>78</v>
      </c>
      <c r="J21" s="41" t="s">
        <v>88</v>
      </c>
      <c r="K21" s="41">
        <f t="shared" si="3"/>
        <v>51.408450704225352</v>
      </c>
      <c r="L21" s="42">
        <f t="shared" si="10"/>
        <v>52.816901408450704</v>
      </c>
      <c r="M21" s="41">
        <f t="shared" si="11"/>
        <v>54.236901408450706</v>
      </c>
      <c r="N21" s="43">
        <v>19</v>
      </c>
      <c r="O21" s="44" t="s">
        <v>100</v>
      </c>
      <c r="P21" s="44">
        <v>18.399999999999999</v>
      </c>
      <c r="Q21" s="157">
        <v>128</v>
      </c>
      <c r="R21" s="157"/>
      <c r="S21" s="157">
        <v>96094921</v>
      </c>
      <c r="T21" s="45">
        <f t="shared" si="4"/>
        <v>4625</v>
      </c>
      <c r="U21" s="46">
        <f t="shared" si="5"/>
        <v>111</v>
      </c>
      <c r="V21" s="46">
        <f t="shared" si="6"/>
        <v>4.625</v>
      </c>
      <c r="W21" s="96">
        <v>7.4</v>
      </c>
      <c r="X21" s="96">
        <f t="shared" si="1"/>
        <v>7.4</v>
      </c>
      <c r="Y21" s="97" t="s">
        <v>169</v>
      </c>
      <c r="Z21" s="158">
        <v>0</v>
      </c>
      <c r="AA21" s="158">
        <v>1046</v>
      </c>
      <c r="AB21" s="158">
        <v>1187</v>
      </c>
      <c r="AC21" s="158">
        <v>0</v>
      </c>
      <c r="AD21" s="158">
        <v>1187</v>
      </c>
      <c r="AE21" s="158">
        <v>1185</v>
      </c>
      <c r="AF21" s="47" t="s">
        <v>90</v>
      </c>
      <c r="AG21" s="47" t="s">
        <v>90</v>
      </c>
      <c r="AH21" s="98" t="s">
        <v>90</v>
      </c>
      <c r="AI21" s="103">
        <v>16136047</v>
      </c>
      <c r="AJ21" s="45">
        <f t="shared" si="7"/>
        <v>1225</v>
      </c>
      <c r="AK21" s="48">
        <f t="shared" si="8"/>
        <v>264.86486486486484</v>
      </c>
      <c r="AL21" s="155">
        <v>0</v>
      </c>
      <c r="AM21" s="155">
        <v>1</v>
      </c>
      <c r="AN21" s="155">
        <v>1</v>
      </c>
      <c r="AO21" s="155">
        <v>0</v>
      </c>
      <c r="AP21" s="155">
        <v>1</v>
      </c>
      <c r="AQ21" s="155">
        <v>1</v>
      </c>
      <c r="AR21" s="155">
        <v>0</v>
      </c>
      <c r="AS21" s="158"/>
      <c r="AT21" s="158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205</v>
      </c>
    </row>
    <row r="22" spans="1:54" x14ac:dyDescent="0.35">
      <c r="A22" s="357">
        <v>43249</v>
      </c>
      <c r="B22" s="40">
        <v>2.375</v>
      </c>
      <c r="C22" s="40">
        <v>0.41666666666666669</v>
      </c>
      <c r="D22" s="156">
        <v>3</v>
      </c>
      <c r="E22" s="154">
        <f t="shared" si="2"/>
        <v>2.1126760563380285</v>
      </c>
      <c r="F22" s="154">
        <v>5</v>
      </c>
      <c r="G22" s="118">
        <v>76</v>
      </c>
      <c r="H22" s="154">
        <f t="shared" si="0"/>
        <v>53.521126760563384</v>
      </c>
      <c r="I22" s="154">
        <v>77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7">
        <v>130</v>
      </c>
      <c r="R22" s="157"/>
      <c r="S22" s="157">
        <v>96098592</v>
      </c>
      <c r="T22" s="45">
        <f t="shared" si="4"/>
        <v>3671</v>
      </c>
      <c r="U22" s="46">
        <f t="shared" si="5"/>
        <v>88.103999999999999</v>
      </c>
      <c r="V22" s="46">
        <f t="shared" si="6"/>
        <v>3.6709999999999998</v>
      </c>
      <c r="W22" s="96">
        <v>6.7</v>
      </c>
      <c r="X22" s="96">
        <f t="shared" si="1"/>
        <v>6.7</v>
      </c>
      <c r="Y22" s="97" t="s">
        <v>169</v>
      </c>
      <c r="Z22" s="158">
        <v>0</v>
      </c>
      <c r="AA22" s="158">
        <v>1046</v>
      </c>
      <c r="AB22" s="158">
        <v>1187</v>
      </c>
      <c r="AC22" s="158">
        <v>0</v>
      </c>
      <c r="AD22" s="158">
        <v>1187</v>
      </c>
      <c r="AE22" s="158">
        <v>1185</v>
      </c>
      <c r="AF22" s="47" t="s">
        <v>90</v>
      </c>
      <c r="AG22" s="47" t="s">
        <v>90</v>
      </c>
      <c r="AH22" s="98" t="s">
        <v>90</v>
      </c>
      <c r="AI22" s="103">
        <v>16137428</v>
      </c>
      <c r="AJ22" s="45">
        <f t="shared" si="7"/>
        <v>1381</v>
      </c>
      <c r="AK22" s="48">
        <f t="shared" si="8"/>
        <v>376.19177335875787</v>
      </c>
      <c r="AL22" s="155">
        <v>0</v>
      </c>
      <c r="AM22" s="155">
        <v>1</v>
      </c>
      <c r="AN22" s="155">
        <v>1</v>
      </c>
      <c r="AO22" s="155">
        <v>0</v>
      </c>
      <c r="AP22" s="155">
        <v>1</v>
      </c>
      <c r="AQ22" s="155">
        <v>1</v>
      </c>
      <c r="AR22" s="155">
        <v>0</v>
      </c>
      <c r="AS22" s="158"/>
      <c r="AT22" s="158">
        <f t="shared" si="9"/>
        <v>0</v>
      </c>
      <c r="AU22" s="119">
        <v>1.03</v>
      </c>
      <c r="AV22" s="50" t="s">
        <v>125</v>
      </c>
      <c r="BB22" s="136" t="s">
        <v>157</v>
      </c>
    </row>
    <row r="23" spans="1:54" x14ac:dyDescent="0.35">
      <c r="A23" s="357">
        <v>43249</v>
      </c>
      <c r="B23" s="40">
        <v>2.4166666666666701</v>
      </c>
      <c r="C23" s="40">
        <v>0.45833333333333298</v>
      </c>
      <c r="D23" s="156">
        <v>3</v>
      </c>
      <c r="E23" s="154">
        <f t="shared" si="2"/>
        <v>2.1126760563380285</v>
      </c>
      <c r="F23" s="154">
        <v>5</v>
      </c>
      <c r="G23" s="118">
        <v>75</v>
      </c>
      <c r="H23" s="154">
        <f t="shared" si="0"/>
        <v>52.816901408450704</v>
      </c>
      <c r="I23" s="154">
        <v>77</v>
      </c>
      <c r="J23" s="41" t="s">
        <v>88</v>
      </c>
      <c r="K23" s="41">
        <f t="shared" si="3"/>
        <v>51.408450704225352</v>
      </c>
      <c r="L23" s="42">
        <f t="shared" si="10"/>
        <v>52.816901408450704</v>
      </c>
      <c r="M23" s="41">
        <f t="shared" si="11"/>
        <v>54.236901408450706</v>
      </c>
      <c r="N23" s="43">
        <v>19</v>
      </c>
      <c r="O23" s="44" t="s">
        <v>100</v>
      </c>
      <c r="P23" s="44">
        <v>17.7</v>
      </c>
      <c r="Q23" s="157">
        <v>128</v>
      </c>
      <c r="R23" s="157"/>
      <c r="S23" s="157">
        <v>96102164</v>
      </c>
      <c r="T23" s="45">
        <f t="shared" si="4"/>
        <v>3572</v>
      </c>
      <c r="U23" s="46">
        <f t="shared" si="5"/>
        <v>85.727999999999994</v>
      </c>
      <c r="V23" s="46">
        <f t="shared" si="6"/>
        <v>3.5720000000000001</v>
      </c>
      <c r="W23" s="96">
        <v>6.1</v>
      </c>
      <c r="X23" s="96">
        <f>W23</f>
        <v>6.1</v>
      </c>
      <c r="Y23" s="97" t="s">
        <v>169</v>
      </c>
      <c r="Z23" s="158">
        <v>0</v>
      </c>
      <c r="AA23" s="158">
        <v>1046</v>
      </c>
      <c r="AB23" s="158">
        <v>1187</v>
      </c>
      <c r="AC23" s="158">
        <v>0</v>
      </c>
      <c r="AD23" s="158">
        <v>1187</v>
      </c>
      <c r="AE23" s="158">
        <v>1185</v>
      </c>
      <c r="AF23" s="47" t="s">
        <v>90</v>
      </c>
      <c r="AG23" s="47" t="s">
        <v>90</v>
      </c>
      <c r="AH23" s="98" t="s">
        <v>90</v>
      </c>
      <c r="AI23" s="103">
        <v>16138453</v>
      </c>
      <c r="AJ23" s="45">
        <f t="shared" si="7"/>
        <v>1025</v>
      </c>
      <c r="AK23" s="48">
        <f t="shared" si="8"/>
        <v>286.95408734602461</v>
      </c>
      <c r="AL23" s="155">
        <v>0</v>
      </c>
      <c r="AM23" s="155">
        <v>1</v>
      </c>
      <c r="AN23" s="155">
        <v>1</v>
      </c>
      <c r="AO23" s="155">
        <v>0</v>
      </c>
      <c r="AP23" s="155">
        <v>1</v>
      </c>
      <c r="AQ23" s="155">
        <v>1</v>
      </c>
      <c r="AR23" s="155">
        <v>0</v>
      </c>
      <c r="AS23" s="158"/>
      <c r="AT23" s="158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357">
        <v>43249</v>
      </c>
      <c r="B24" s="40">
        <v>2.4583333333333299</v>
      </c>
      <c r="C24" s="40">
        <v>0.5</v>
      </c>
      <c r="D24" s="156" t="s">
        <v>179</v>
      </c>
      <c r="E24" s="154" t="e">
        <f t="shared" si="2"/>
        <v>#VALUE!</v>
      </c>
      <c r="F24" s="154">
        <v>4</v>
      </c>
      <c r="G24" s="118">
        <v>75</v>
      </c>
      <c r="H24" s="154">
        <f t="shared" si="0"/>
        <v>52.816901408450704</v>
      </c>
      <c r="I24" s="154">
        <v>76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7" t="s">
        <v>179</v>
      </c>
      <c r="R24" s="157"/>
      <c r="S24" s="157">
        <v>96105913</v>
      </c>
      <c r="T24" s="45">
        <f t="shared" si="4"/>
        <v>3749</v>
      </c>
      <c r="U24" s="46">
        <f>T24*24/1000</f>
        <v>89.975999999999999</v>
      </c>
      <c r="V24" s="46">
        <f t="shared" si="6"/>
        <v>3.7490000000000001</v>
      </c>
      <c r="W24" s="96">
        <v>5.4</v>
      </c>
      <c r="X24" s="96">
        <f t="shared" si="1"/>
        <v>5.4</v>
      </c>
      <c r="Y24" s="97" t="s">
        <v>169</v>
      </c>
      <c r="Z24" s="158">
        <v>0</v>
      </c>
      <c r="AA24" s="158">
        <v>1046</v>
      </c>
      <c r="AB24" s="158">
        <v>1187</v>
      </c>
      <c r="AC24" s="158">
        <v>0</v>
      </c>
      <c r="AD24" s="158">
        <v>1187</v>
      </c>
      <c r="AE24" s="158">
        <v>1185</v>
      </c>
      <c r="AF24" s="47" t="s">
        <v>90</v>
      </c>
      <c r="AG24" s="47" t="s">
        <v>90</v>
      </c>
      <c r="AH24" s="98" t="s">
        <v>90</v>
      </c>
      <c r="AI24" s="103">
        <v>16139670</v>
      </c>
      <c r="AJ24" s="45">
        <f t="shared" si="7"/>
        <v>1217</v>
      </c>
      <c r="AK24" s="48">
        <f t="shared" si="8"/>
        <v>324.6198986396372</v>
      </c>
      <c r="AL24" s="155">
        <v>0</v>
      </c>
      <c r="AM24" s="155">
        <v>1</v>
      </c>
      <c r="AN24" s="155">
        <v>1</v>
      </c>
      <c r="AO24" s="155">
        <v>0</v>
      </c>
      <c r="AP24" s="155">
        <v>1</v>
      </c>
      <c r="AQ24" s="155">
        <v>1</v>
      </c>
      <c r="AR24" s="155">
        <v>0</v>
      </c>
      <c r="AS24" s="158"/>
      <c r="AT24" s="158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357">
        <v>43249</v>
      </c>
      <c r="B25" s="40">
        <v>2.5</v>
      </c>
      <c r="C25" s="40">
        <v>0.54166666666666696</v>
      </c>
      <c r="D25" s="156" t="s">
        <v>179</v>
      </c>
      <c r="E25" s="154" t="e">
        <f t="shared" si="2"/>
        <v>#VALUE!</v>
      </c>
      <c r="F25" s="154">
        <v>4</v>
      </c>
      <c r="G25" s="118">
        <v>75</v>
      </c>
      <c r="H25" s="154">
        <f t="shared" si="0"/>
        <v>52.816901408450704</v>
      </c>
      <c r="I25" s="154">
        <v>76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7" t="s">
        <v>179</v>
      </c>
      <c r="R25" s="157"/>
      <c r="S25" s="157">
        <v>96110851</v>
      </c>
      <c r="T25" s="45">
        <f t="shared" si="4"/>
        <v>4938</v>
      </c>
      <c r="U25" s="46">
        <f>T25*24/1000</f>
        <v>118.512</v>
      </c>
      <c r="V25" s="46">
        <f t="shared" si="6"/>
        <v>4.9379999999999997</v>
      </c>
      <c r="W25" s="96">
        <v>4.8</v>
      </c>
      <c r="X25" s="96">
        <f t="shared" si="1"/>
        <v>4.8</v>
      </c>
      <c r="Y25" s="97" t="s">
        <v>169</v>
      </c>
      <c r="Z25" s="158">
        <v>0</v>
      </c>
      <c r="AA25" s="158">
        <v>1036</v>
      </c>
      <c r="AB25" s="158">
        <v>1187</v>
      </c>
      <c r="AC25" s="158">
        <v>0</v>
      </c>
      <c r="AD25" s="158">
        <v>1187</v>
      </c>
      <c r="AE25" s="158">
        <v>1185</v>
      </c>
      <c r="AF25" s="47" t="s">
        <v>90</v>
      </c>
      <c r="AG25" s="47" t="s">
        <v>90</v>
      </c>
      <c r="AH25" s="98" t="s">
        <v>90</v>
      </c>
      <c r="AI25" s="103">
        <v>16140849</v>
      </c>
      <c r="AJ25" s="45">
        <f t="shared" si="7"/>
        <v>1179</v>
      </c>
      <c r="AK25" s="48">
        <f t="shared" si="8"/>
        <v>238.76063183475094</v>
      </c>
      <c r="AL25" s="155">
        <v>0</v>
      </c>
      <c r="AM25" s="155">
        <v>1</v>
      </c>
      <c r="AN25" s="155">
        <v>1</v>
      </c>
      <c r="AO25" s="155">
        <v>0</v>
      </c>
      <c r="AP25" s="155">
        <v>1</v>
      </c>
      <c r="AQ25" s="155">
        <v>1</v>
      </c>
      <c r="AR25" s="155">
        <v>0</v>
      </c>
      <c r="AS25" s="158"/>
      <c r="AT25" s="158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57">
        <v>43249</v>
      </c>
      <c r="B26" s="40">
        <v>2.5416666666666701</v>
      </c>
      <c r="C26" s="40">
        <v>0.58333333333333404</v>
      </c>
      <c r="D26" s="156">
        <v>4</v>
      </c>
      <c r="E26" s="154">
        <f t="shared" si="2"/>
        <v>2.8169014084507045</v>
      </c>
      <c r="F26" s="154">
        <v>3</v>
      </c>
      <c r="G26" s="118">
        <v>75</v>
      </c>
      <c r="H26" s="154">
        <f t="shared" si="0"/>
        <v>52.816901408450704</v>
      </c>
      <c r="I26" s="154">
        <v>73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7">
        <v>129</v>
      </c>
      <c r="R26" s="157"/>
      <c r="S26" s="157">
        <v>96116123</v>
      </c>
      <c r="T26" s="45">
        <f t="shared" si="4"/>
        <v>5272</v>
      </c>
      <c r="U26" s="46">
        <f t="shared" si="5"/>
        <v>126.52800000000001</v>
      </c>
      <c r="V26" s="46">
        <f t="shared" si="6"/>
        <v>5.2720000000000002</v>
      </c>
      <c r="W26" s="96">
        <v>4.3</v>
      </c>
      <c r="X26" s="96">
        <f t="shared" si="1"/>
        <v>4.3</v>
      </c>
      <c r="Y26" s="97" t="s">
        <v>169</v>
      </c>
      <c r="Z26" s="158">
        <v>0</v>
      </c>
      <c r="AA26" s="158">
        <v>1028</v>
      </c>
      <c r="AB26" s="158">
        <v>1188</v>
      </c>
      <c r="AC26" s="158">
        <v>0</v>
      </c>
      <c r="AD26" s="158">
        <v>1186</v>
      </c>
      <c r="AE26" s="158">
        <v>1185</v>
      </c>
      <c r="AF26" s="47" t="s">
        <v>90</v>
      </c>
      <c r="AG26" s="47" t="s">
        <v>90</v>
      </c>
      <c r="AH26" s="98" t="s">
        <v>90</v>
      </c>
      <c r="AI26" s="103">
        <v>16141990</v>
      </c>
      <c r="AJ26" s="45">
        <f t="shared" si="7"/>
        <v>1141</v>
      </c>
      <c r="AK26" s="48">
        <f t="shared" si="8"/>
        <v>216.42640364188162</v>
      </c>
      <c r="AL26" s="155">
        <v>0</v>
      </c>
      <c r="AM26" s="155">
        <v>1</v>
      </c>
      <c r="AN26" s="155">
        <v>1</v>
      </c>
      <c r="AO26" s="155">
        <v>0</v>
      </c>
      <c r="AP26" s="155">
        <v>1</v>
      </c>
      <c r="AQ26" s="155">
        <v>1</v>
      </c>
      <c r="AR26" s="155">
        <v>0</v>
      </c>
      <c r="AS26" s="158"/>
      <c r="AT26" s="158">
        <f t="shared" si="9"/>
        <v>0</v>
      </c>
      <c r="AU26" s="119">
        <v>1.03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57">
        <v>43249</v>
      </c>
      <c r="B27" s="40">
        <v>2.5833333333333299</v>
      </c>
      <c r="C27" s="40">
        <v>0.625</v>
      </c>
      <c r="D27" s="156">
        <v>4</v>
      </c>
      <c r="E27" s="154">
        <f t="shared" si="2"/>
        <v>2.8169014084507045</v>
      </c>
      <c r="F27" s="154">
        <v>2</v>
      </c>
      <c r="G27" s="118">
        <v>75</v>
      </c>
      <c r="H27" s="154">
        <f t="shared" si="0"/>
        <v>52.816901408450704</v>
      </c>
      <c r="I27" s="154">
        <v>72</v>
      </c>
      <c r="J27" s="41" t="s">
        <v>88</v>
      </c>
      <c r="K27" s="41">
        <f t="shared" si="3"/>
        <v>51.408450704225352</v>
      </c>
      <c r="L27" s="42">
        <f t="shared" si="10"/>
        <v>52.816901408450704</v>
      </c>
      <c r="M27" s="41">
        <f t="shared" si="12"/>
        <v>57.04225352112676</v>
      </c>
      <c r="N27" s="43">
        <v>18</v>
      </c>
      <c r="O27" s="44" t="s">
        <v>100</v>
      </c>
      <c r="P27" s="44">
        <v>16.899999999999999</v>
      </c>
      <c r="Q27" s="157">
        <v>129</v>
      </c>
      <c r="R27" s="157"/>
      <c r="S27" s="157">
        <v>96121753</v>
      </c>
      <c r="T27" s="45">
        <f t="shared" si="4"/>
        <v>5630</v>
      </c>
      <c r="U27" s="46">
        <f t="shared" si="5"/>
        <v>135.12</v>
      </c>
      <c r="V27" s="46">
        <f t="shared" si="6"/>
        <v>5.63</v>
      </c>
      <c r="W27" s="96">
        <v>3.7</v>
      </c>
      <c r="X27" s="96">
        <f t="shared" si="1"/>
        <v>3.7</v>
      </c>
      <c r="Y27" s="97" t="s">
        <v>169</v>
      </c>
      <c r="Z27" s="158">
        <v>0</v>
      </c>
      <c r="AA27" s="158">
        <v>1025</v>
      </c>
      <c r="AB27" s="158">
        <v>1187</v>
      </c>
      <c r="AC27" s="158">
        <v>0</v>
      </c>
      <c r="AD27" s="158">
        <v>1187</v>
      </c>
      <c r="AE27" s="158">
        <v>1185</v>
      </c>
      <c r="AF27" s="47" t="s">
        <v>90</v>
      </c>
      <c r="AG27" s="47" t="s">
        <v>90</v>
      </c>
      <c r="AH27" s="98" t="s">
        <v>90</v>
      </c>
      <c r="AI27" s="103">
        <v>16143167</v>
      </c>
      <c r="AJ27" s="45">
        <f t="shared" si="7"/>
        <v>1177</v>
      </c>
      <c r="AK27" s="48">
        <f t="shared" si="8"/>
        <v>209.05861456483126</v>
      </c>
      <c r="AL27" s="155">
        <v>0</v>
      </c>
      <c r="AM27" s="155">
        <v>1</v>
      </c>
      <c r="AN27" s="155">
        <v>1</v>
      </c>
      <c r="AO27" s="155">
        <v>0</v>
      </c>
      <c r="AP27" s="155">
        <v>1</v>
      </c>
      <c r="AQ27" s="155">
        <v>1</v>
      </c>
      <c r="AR27" s="155">
        <v>0</v>
      </c>
      <c r="AS27" s="158"/>
      <c r="AT27" s="158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57">
        <v>43249</v>
      </c>
      <c r="B28" s="40">
        <v>2.625</v>
      </c>
      <c r="C28" s="40">
        <v>0.66666666666666696</v>
      </c>
      <c r="D28" s="156">
        <v>4</v>
      </c>
      <c r="E28" s="154">
        <f t="shared" si="2"/>
        <v>2.8169014084507045</v>
      </c>
      <c r="F28" s="154">
        <v>1</v>
      </c>
      <c r="G28" s="118">
        <v>76</v>
      </c>
      <c r="H28" s="154">
        <f t="shared" si="0"/>
        <v>53.521126760563384</v>
      </c>
      <c r="I28" s="154">
        <v>74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7">
        <v>133</v>
      </c>
      <c r="R28" s="157"/>
      <c r="S28" s="157">
        <v>96127564</v>
      </c>
      <c r="T28" s="45">
        <f t="shared" si="4"/>
        <v>5811</v>
      </c>
      <c r="U28" s="46">
        <f t="shared" si="5"/>
        <v>139.464</v>
      </c>
      <c r="V28" s="46">
        <f t="shared" si="6"/>
        <v>5.8109999999999999</v>
      </c>
      <c r="W28" s="96">
        <v>3.4</v>
      </c>
      <c r="X28" s="96">
        <f t="shared" si="1"/>
        <v>3.4</v>
      </c>
      <c r="Y28" s="97" t="s">
        <v>169</v>
      </c>
      <c r="Z28" s="158">
        <v>0</v>
      </c>
      <c r="AA28" s="158">
        <v>1015</v>
      </c>
      <c r="AB28" s="158">
        <v>1187</v>
      </c>
      <c r="AC28" s="158">
        <v>0</v>
      </c>
      <c r="AD28" s="158">
        <v>1187</v>
      </c>
      <c r="AE28" s="158">
        <v>1185</v>
      </c>
      <c r="AF28" s="47" t="s">
        <v>90</v>
      </c>
      <c r="AG28" s="47" t="s">
        <v>90</v>
      </c>
      <c r="AH28" s="98" t="s">
        <v>90</v>
      </c>
      <c r="AI28" s="103">
        <v>16144340</v>
      </c>
      <c r="AJ28" s="45">
        <f>IF(ISBLANK(AI28),"-",AI28-AI27)</f>
        <v>1173</v>
      </c>
      <c r="AK28" s="48">
        <f t="shared" si="8"/>
        <v>201.85854414042333</v>
      </c>
      <c r="AL28" s="155">
        <v>0</v>
      </c>
      <c r="AM28" s="155">
        <v>1</v>
      </c>
      <c r="AN28" s="155">
        <v>1</v>
      </c>
      <c r="AO28" s="155">
        <v>0</v>
      </c>
      <c r="AP28" s="155">
        <v>1</v>
      </c>
      <c r="AQ28" s="155">
        <v>1</v>
      </c>
      <c r="AR28" s="155">
        <v>0</v>
      </c>
      <c r="AS28" s="158"/>
      <c r="AT28" s="158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357">
        <v>43249</v>
      </c>
      <c r="B29" s="40">
        <v>2.6666666666666701</v>
      </c>
      <c r="C29" s="40">
        <v>0.70833333333333404</v>
      </c>
      <c r="D29" s="156">
        <v>4</v>
      </c>
      <c r="E29" s="154">
        <f t="shared" si="2"/>
        <v>2.8169014084507045</v>
      </c>
      <c r="F29" s="154">
        <v>0</v>
      </c>
      <c r="G29" s="118">
        <v>74</v>
      </c>
      <c r="H29" s="154">
        <f t="shared" si="0"/>
        <v>52.112676056338032</v>
      </c>
      <c r="I29" s="154">
        <v>71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7">
        <v>130</v>
      </c>
      <c r="R29" s="157"/>
      <c r="S29" s="157">
        <v>96133487</v>
      </c>
      <c r="T29" s="45">
        <f t="shared" si="4"/>
        <v>5923</v>
      </c>
      <c r="U29" s="46">
        <f t="shared" si="5"/>
        <v>142.15199999999999</v>
      </c>
      <c r="V29" s="46">
        <f t="shared" si="6"/>
        <v>5.923</v>
      </c>
      <c r="W29" s="96">
        <v>3</v>
      </c>
      <c r="X29" s="96">
        <f t="shared" si="1"/>
        <v>3</v>
      </c>
      <c r="Y29" s="97" t="s">
        <v>169</v>
      </c>
      <c r="Z29" s="158">
        <v>0</v>
      </c>
      <c r="AA29" s="158">
        <v>1015</v>
      </c>
      <c r="AB29" s="158">
        <v>1187</v>
      </c>
      <c r="AC29" s="158">
        <v>0</v>
      </c>
      <c r="AD29" s="158">
        <v>1187</v>
      </c>
      <c r="AE29" s="158">
        <v>1185</v>
      </c>
      <c r="AF29" s="47" t="s">
        <v>90</v>
      </c>
      <c r="AG29" s="47" t="s">
        <v>90</v>
      </c>
      <c r="AH29" s="98" t="s">
        <v>90</v>
      </c>
      <c r="AI29" s="103">
        <v>16145501</v>
      </c>
      <c r="AJ29" s="45">
        <f t="shared" si="7"/>
        <v>1161</v>
      </c>
      <c r="AK29" s="48">
        <f>AJ28/V29</f>
        <v>198.04153300692218</v>
      </c>
      <c r="AL29" s="155">
        <v>0</v>
      </c>
      <c r="AM29" s="155">
        <v>1</v>
      </c>
      <c r="AN29" s="155">
        <v>1</v>
      </c>
      <c r="AO29" s="155">
        <v>0</v>
      </c>
      <c r="AP29" s="155">
        <v>1</v>
      </c>
      <c r="AQ29" s="155">
        <v>1</v>
      </c>
      <c r="AR29" s="155">
        <v>0</v>
      </c>
      <c r="AS29" s="158"/>
      <c r="AT29" s="158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357">
        <v>43249</v>
      </c>
      <c r="B30" s="40">
        <v>2.7083333333333299</v>
      </c>
      <c r="C30" s="40">
        <v>0.750000000000002</v>
      </c>
      <c r="D30" s="156">
        <v>4</v>
      </c>
      <c r="E30" s="154">
        <f t="shared" si="2"/>
        <v>2.8169014084507045</v>
      </c>
      <c r="F30" s="154">
        <v>-1</v>
      </c>
      <c r="G30" s="118">
        <v>73</v>
      </c>
      <c r="H30" s="154">
        <f t="shared" si="0"/>
        <v>51.408450704225352</v>
      </c>
      <c r="I30" s="154">
        <v>70</v>
      </c>
      <c r="J30" s="41" t="s">
        <v>88</v>
      </c>
      <c r="K30" s="41">
        <f t="shared" si="3"/>
        <v>47.887323943661976</v>
      </c>
      <c r="L30" s="42">
        <f t="shared" si="13"/>
        <v>49.295774647887328</v>
      </c>
      <c r="M30" s="41">
        <f t="shared" si="12"/>
        <v>53.521126760563384</v>
      </c>
      <c r="N30" s="43">
        <v>18</v>
      </c>
      <c r="O30" s="44" t="s">
        <v>100</v>
      </c>
      <c r="P30" s="44">
        <v>16.7</v>
      </c>
      <c r="Q30" s="157">
        <v>130</v>
      </c>
      <c r="R30" s="157"/>
      <c r="S30" s="157">
        <v>96139408</v>
      </c>
      <c r="T30" s="45">
        <f t="shared" si="4"/>
        <v>5921</v>
      </c>
      <c r="U30" s="46">
        <f t="shared" si="5"/>
        <v>142.10400000000001</v>
      </c>
      <c r="V30" s="46">
        <f t="shared" si="6"/>
        <v>5.9210000000000003</v>
      </c>
      <c r="W30" s="96">
        <v>2.6</v>
      </c>
      <c r="X30" s="96">
        <f t="shared" si="1"/>
        <v>2.6</v>
      </c>
      <c r="Y30" s="97" t="s">
        <v>169</v>
      </c>
      <c r="Z30" s="158">
        <v>0</v>
      </c>
      <c r="AA30" s="158">
        <v>1016</v>
      </c>
      <c r="AB30" s="158">
        <v>1186</v>
      </c>
      <c r="AC30" s="158">
        <v>0</v>
      </c>
      <c r="AD30" s="158">
        <v>1187</v>
      </c>
      <c r="AE30" s="158">
        <v>1185</v>
      </c>
      <c r="AF30" s="47" t="s">
        <v>90</v>
      </c>
      <c r="AG30" s="47" t="s">
        <v>90</v>
      </c>
      <c r="AH30" s="98" t="s">
        <v>90</v>
      </c>
      <c r="AI30" s="103">
        <v>16146673</v>
      </c>
      <c r="AJ30" s="45">
        <f t="shared" si="7"/>
        <v>1172</v>
      </c>
      <c r="AK30" s="48">
        <f>AJ29/V30</f>
        <v>196.08174294882619</v>
      </c>
      <c r="AL30" s="155">
        <v>0</v>
      </c>
      <c r="AM30" s="155">
        <v>1</v>
      </c>
      <c r="AN30" s="155">
        <v>1</v>
      </c>
      <c r="AO30" s="155">
        <v>0</v>
      </c>
      <c r="AP30" s="155">
        <v>1</v>
      </c>
      <c r="AQ30" s="155">
        <v>1</v>
      </c>
      <c r="AR30" s="155">
        <v>0</v>
      </c>
      <c r="AS30" s="158"/>
      <c r="AT30" s="158">
        <f t="shared" si="9"/>
        <v>0</v>
      </c>
      <c r="AU30" s="159">
        <v>0.98</v>
      </c>
      <c r="AV30" s="50" t="s">
        <v>124</v>
      </c>
      <c r="AY30" s="55" t="s">
        <v>114</v>
      </c>
      <c r="AZ30" s="55">
        <v>101.325</v>
      </c>
      <c r="BB30" s="74" t="s">
        <v>271</v>
      </c>
    </row>
    <row r="31" spans="1:54" x14ac:dyDescent="0.35">
      <c r="A31" s="357">
        <v>43249</v>
      </c>
      <c r="B31" s="40">
        <v>2.75</v>
      </c>
      <c r="C31" s="40">
        <v>0.79166666666666896</v>
      </c>
      <c r="D31" s="156">
        <v>4</v>
      </c>
      <c r="E31" s="154">
        <f t="shared" si="2"/>
        <v>2.8169014084507045</v>
      </c>
      <c r="F31" s="154">
        <v>-2</v>
      </c>
      <c r="G31" s="118">
        <v>74</v>
      </c>
      <c r="H31" s="154">
        <f t="shared" si="0"/>
        <v>52.112676056338032</v>
      </c>
      <c r="I31" s="154">
        <v>71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7">
        <v>129</v>
      </c>
      <c r="R31" s="157"/>
      <c r="S31" s="157">
        <v>96145039</v>
      </c>
      <c r="T31" s="45">
        <f t="shared" si="4"/>
        <v>5631</v>
      </c>
      <c r="U31" s="46">
        <f t="shared" si="5"/>
        <v>135.14400000000001</v>
      </c>
      <c r="V31" s="46">
        <f t="shared" si="6"/>
        <v>5.6310000000000002</v>
      </c>
      <c r="W31" s="96">
        <v>2.2999999999999998</v>
      </c>
      <c r="X31" s="96">
        <f t="shared" si="1"/>
        <v>2.2999999999999998</v>
      </c>
      <c r="Y31" s="97" t="s">
        <v>169</v>
      </c>
      <c r="Z31" s="158">
        <v>0</v>
      </c>
      <c r="AA31" s="158">
        <v>1015</v>
      </c>
      <c r="AB31" s="158">
        <v>1187</v>
      </c>
      <c r="AC31" s="158">
        <v>0</v>
      </c>
      <c r="AD31" s="158">
        <v>1187</v>
      </c>
      <c r="AE31" s="158">
        <v>1185</v>
      </c>
      <c r="AF31" s="47" t="s">
        <v>90</v>
      </c>
      <c r="AG31" s="47" t="s">
        <v>90</v>
      </c>
      <c r="AH31" s="98" t="s">
        <v>90</v>
      </c>
      <c r="AI31" s="103">
        <v>16147825</v>
      </c>
      <c r="AJ31" s="45">
        <f t="shared" si="7"/>
        <v>1152</v>
      </c>
      <c r="AK31" s="48">
        <f t="shared" si="8"/>
        <v>204.58177943526903</v>
      </c>
      <c r="AL31" s="155">
        <v>0</v>
      </c>
      <c r="AM31" s="155">
        <v>1</v>
      </c>
      <c r="AN31" s="155">
        <v>1</v>
      </c>
      <c r="AO31" s="155">
        <v>0</v>
      </c>
      <c r="AP31" s="155">
        <v>1</v>
      </c>
      <c r="AQ31" s="155">
        <v>1</v>
      </c>
      <c r="AR31" s="155">
        <v>0</v>
      </c>
      <c r="AS31" s="158"/>
      <c r="AT31" s="158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357">
        <v>43249</v>
      </c>
      <c r="B32" s="40">
        <v>2.7916666666666701</v>
      </c>
      <c r="C32" s="40">
        <v>0.83333333333333703</v>
      </c>
      <c r="D32" s="156">
        <v>4</v>
      </c>
      <c r="E32" s="154">
        <f t="shared" si="2"/>
        <v>2.8169014084507045</v>
      </c>
      <c r="F32" s="154">
        <v>-3</v>
      </c>
      <c r="G32" s="118">
        <v>73</v>
      </c>
      <c r="H32" s="154">
        <f t="shared" si="0"/>
        <v>51.408450704225352</v>
      </c>
      <c r="I32" s="154">
        <v>70</v>
      </c>
      <c r="J32" s="41" t="s">
        <v>88</v>
      </c>
      <c r="K32" s="41">
        <f t="shared" si="3"/>
        <v>47.887323943661976</v>
      </c>
      <c r="L32" s="42">
        <f t="shared" si="13"/>
        <v>49.295774647887328</v>
      </c>
      <c r="M32" s="41">
        <f t="shared" si="12"/>
        <v>53.521126760563384</v>
      </c>
      <c r="N32" s="43">
        <v>18</v>
      </c>
      <c r="O32" s="44" t="s">
        <v>100</v>
      </c>
      <c r="P32" s="44">
        <v>16.600000000000001</v>
      </c>
      <c r="Q32" s="157">
        <v>127</v>
      </c>
      <c r="R32" s="157"/>
      <c r="S32" s="157">
        <v>96150615</v>
      </c>
      <c r="T32" s="45">
        <f t="shared" si="4"/>
        <v>5576</v>
      </c>
      <c r="U32" s="46">
        <f t="shared" si="5"/>
        <v>133.82400000000001</v>
      </c>
      <c r="V32" s="46">
        <f t="shared" si="6"/>
        <v>5.5759999999999996</v>
      </c>
      <c r="W32" s="96">
        <v>1.9</v>
      </c>
      <c r="X32" s="96">
        <f t="shared" si="1"/>
        <v>1.9</v>
      </c>
      <c r="Y32" s="97" t="s">
        <v>169</v>
      </c>
      <c r="Z32" s="158">
        <v>0</v>
      </c>
      <c r="AA32" s="158">
        <v>1015</v>
      </c>
      <c r="AB32" s="158">
        <v>1187</v>
      </c>
      <c r="AC32" s="158">
        <v>0</v>
      </c>
      <c r="AD32" s="158">
        <v>1187</v>
      </c>
      <c r="AE32" s="158">
        <v>1185</v>
      </c>
      <c r="AF32" s="47" t="s">
        <v>90</v>
      </c>
      <c r="AG32" s="47" t="s">
        <v>90</v>
      </c>
      <c r="AH32" s="98" t="s">
        <v>90</v>
      </c>
      <c r="AI32" s="103">
        <v>16148983</v>
      </c>
      <c r="AJ32" s="45">
        <f t="shared" si="7"/>
        <v>1158</v>
      </c>
      <c r="AK32" s="48">
        <f t="shared" si="8"/>
        <v>207.67575322812053</v>
      </c>
      <c r="AL32" s="155">
        <v>0</v>
      </c>
      <c r="AM32" s="155">
        <v>1</v>
      </c>
      <c r="AN32" s="155">
        <v>1</v>
      </c>
      <c r="AO32" s="155">
        <v>0</v>
      </c>
      <c r="AP32" s="155">
        <v>1</v>
      </c>
      <c r="AQ32" s="155">
        <v>1</v>
      </c>
      <c r="AR32" s="155">
        <v>0</v>
      </c>
      <c r="AS32" s="158"/>
      <c r="AT32" s="158">
        <v>0</v>
      </c>
      <c r="AU32" s="49"/>
      <c r="AV32" s="50" t="s">
        <v>124</v>
      </c>
      <c r="AY32" s="308" t="s">
        <v>115</v>
      </c>
      <c r="AZ32" s="308"/>
      <c r="BB32" s="74" t="s">
        <v>156</v>
      </c>
    </row>
    <row r="33" spans="1:54" x14ac:dyDescent="0.35">
      <c r="A33" s="357">
        <v>43249</v>
      </c>
      <c r="B33" s="40">
        <v>2.8333333333333299</v>
      </c>
      <c r="C33" s="40">
        <v>0.875</v>
      </c>
      <c r="D33" s="156">
        <v>4</v>
      </c>
      <c r="E33" s="154">
        <f t="shared" si="2"/>
        <v>2.8169014084507045</v>
      </c>
      <c r="F33" s="154">
        <v>-3</v>
      </c>
      <c r="G33" s="118">
        <v>73</v>
      </c>
      <c r="H33" s="154">
        <f t="shared" si="0"/>
        <v>51.408450704225352</v>
      </c>
      <c r="I33" s="154">
        <v>71</v>
      </c>
      <c r="J33" s="41" t="s">
        <v>88</v>
      </c>
      <c r="K33" s="41">
        <f t="shared" si="3"/>
        <v>47.887323943661976</v>
      </c>
      <c r="L33" s="42">
        <f t="shared" si="13"/>
        <v>49.295774647887328</v>
      </c>
      <c r="M33" s="41">
        <f t="shared" si="12"/>
        <v>53.521126760563384</v>
      </c>
      <c r="N33" s="43">
        <v>18</v>
      </c>
      <c r="O33" s="44" t="s">
        <v>100</v>
      </c>
      <c r="P33" s="44">
        <v>16.100000000000001</v>
      </c>
      <c r="Q33" s="157">
        <v>127</v>
      </c>
      <c r="R33" s="157"/>
      <c r="S33" s="157">
        <v>96156632</v>
      </c>
      <c r="T33" s="45">
        <f t="shared" si="4"/>
        <v>6017</v>
      </c>
      <c r="U33" s="46">
        <f t="shared" si="5"/>
        <v>144.40799999999999</v>
      </c>
      <c r="V33" s="46">
        <f t="shared" si="6"/>
        <v>6.0170000000000003</v>
      </c>
      <c r="W33" s="96">
        <v>1.6</v>
      </c>
      <c r="X33" s="96">
        <f t="shared" si="1"/>
        <v>1.6</v>
      </c>
      <c r="Y33" s="97" t="s">
        <v>169</v>
      </c>
      <c r="Z33" s="158">
        <v>0</v>
      </c>
      <c r="AA33" s="158">
        <v>1016</v>
      </c>
      <c r="AB33" s="158">
        <v>1187</v>
      </c>
      <c r="AC33" s="158">
        <v>0</v>
      </c>
      <c r="AD33" s="158">
        <v>1187</v>
      </c>
      <c r="AE33" s="158">
        <v>1185</v>
      </c>
      <c r="AF33" s="47" t="s">
        <v>90</v>
      </c>
      <c r="AG33" s="47" t="s">
        <v>90</v>
      </c>
      <c r="AH33" s="98" t="s">
        <v>90</v>
      </c>
      <c r="AI33" s="103">
        <v>16150160</v>
      </c>
      <c r="AJ33" s="45">
        <f t="shared" si="7"/>
        <v>1177</v>
      </c>
      <c r="AK33" s="48">
        <f t="shared" si="8"/>
        <v>195.61243144424131</v>
      </c>
      <c r="AL33" s="155">
        <v>0</v>
      </c>
      <c r="AM33" s="155">
        <v>1</v>
      </c>
      <c r="AN33" s="155">
        <v>1</v>
      </c>
      <c r="AO33" s="155">
        <v>0</v>
      </c>
      <c r="AP33" s="155">
        <v>1</v>
      </c>
      <c r="AQ33" s="155">
        <v>1</v>
      </c>
      <c r="AR33" s="155">
        <v>0</v>
      </c>
      <c r="AS33" s="158"/>
      <c r="AT33" s="158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57">
        <v>43249</v>
      </c>
      <c r="B34" s="40">
        <v>2.875</v>
      </c>
      <c r="C34" s="40">
        <v>0.91666666666667096</v>
      </c>
      <c r="D34" s="156">
        <v>4</v>
      </c>
      <c r="E34" s="154">
        <f t="shared" si="2"/>
        <v>2.8169014084507045</v>
      </c>
      <c r="F34" s="154">
        <v>-2</v>
      </c>
      <c r="G34" s="118">
        <v>72</v>
      </c>
      <c r="H34" s="154">
        <f t="shared" si="0"/>
        <v>50.70422535211268</v>
      </c>
      <c r="I34" s="154">
        <v>71</v>
      </c>
      <c r="J34" s="41" t="s">
        <v>88</v>
      </c>
      <c r="K34" s="41">
        <f t="shared" si="3"/>
        <v>47.183098591549296</v>
      </c>
      <c r="L34" s="42">
        <f t="shared" si="13"/>
        <v>48.591549295774648</v>
      </c>
      <c r="M34" s="41">
        <f t="shared" si="12"/>
        <v>52.816901408450704</v>
      </c>
      <c r="N34" s="43">
        <v>14</v>
      </c>
      <c r="O34" s="44" t="s">
        <v>116</v>
      </c>
      <c r="P34" s="44">
        <v>12.6</v>
      </c>
      <c r="Q34" s="157">
        <v>132</v>
      </c>
      <c r="R34" s="157"/>
      <c r="S34" s="157">
        <v>96162427</v>
      </c>
      <c r="T34" s="45">
        <f t="shared" si="4"/>
        <v>5795</v>
      </c>
      <c r="U34" s="46">
        <f t="shared" si="5"/>
        <v>139.08000000000001</v>
      </c>
      <c r="V34" s="46">
        <f t="shared" si="6"/>
        <v>5.7949999999999999</v>
      </c>
      <c r="W34" s="96">
        <v>1.4</v>
      </c>
      <c r="X34" s="96">
        <f t="shared" si="1"/>
        <v>1.4</v>
      </c>
      <c r="Y34" s="97" t="s">
        <v>138</v>
      </c>
      <c r="Z34" s="158">
        <v>0</v>
      </c>
      <c r="AA34" s="158">
        <v>0</v>
      </c>
      <c r="AB34" s="158">
        <v>1187</v>
      </c>
      <c r="AC34" s="158">
        <v>0</v>
      </c>
      <c r="AD34" s="158">
        <v>1187</v>
      </c>
      <c r="AE34" s="158">
        <v>1185</v>
      </c>
      <c r="AF34" s="47" t="s">
        <v>90</v>
      </c>
      <c r="AG34" s="47" t="s">
        <v>90</v>
      </c>
      <c r="AH34" s="98" t="s">
        <v>90</v>
      </c>
      <c r="AI34" s="103">
        <v>16151303</v>
      </c>
      <c r="AJ34" s="45">
        <f t="shared" si="7"/>
        <v>1143</v>
      </c>
      <c r="AK34" s="48">
        <f t="shared" si="8"/>
        <v>197.23899913718722</v>
      </c>
      <c r="AL34" s="155">
        <v>0</v>
      </c>
      <c r="AM34" s="155">
        <v>0</v>
      </c>
      <c r="AN34" s="155">
        <v>1</v>
      </c>
      <c r="AO34" s="155">
        <v>0</v>
      </c>
      <c r="AP34" s="155">
        <v>1</v>
      </c>
      <c r="AQ34" s="155">
        <v>1</v>
      </c>
      <c r="AR34" s="155">
        <v>0</v>
      </c>
      <c r="AS34" s="158"/>
      <c r="AT34" s="158">
        <f>AS34-AS33</f>
        <v>0</v>
      </c>
      <c r="AU34" s="119">
        <v>1.01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357">
        <v>43249</v>
      </c>
      <c r="B35" s="40">
        <v>2.9166666666666701</v>
      </c>
      <c r="C35" s="40">
        <v>0.95833333333333803</v>
      </c>
      <c r="D35" s="156">
        <v>4</v>
      </c>
      <c r="E35" s="154">
        <f t="shared" si="2"/>
        <v>2.8169014084507045</v>
      </c>
      <c r="F35" s="154">
        <v>0</v>
      </c>
      <c r="G35" s="118">
        <v>75</v>
      </c>
      <c r="H35" s="154">
        <f t="shared" si="0"/>
        <v>52.816901408450704</v>
      </c>
      <c r="I35" s="154">
        <v>73</v>
      </c>
      <c r="J35" s="41" t="s">
        <v>88</v>
      </c>
      <c r="K35" s="41">
        <f>L35-(2/1.42)</f>
        <v>47.887323943661976</v>
      </c>
      <c r="L35" s="42">
        <f>(G35-5)/1.42</f>
        <v>49.295774647887328</v>
      </c>
      <c r="M35" s="41">
        <f t="shared" si="12"/>
        <v>53.521126760563384</v>
      </c>
      <c r="N35" s="43">
        <v>14</v>
      </c>
      <c r="O35" s="44" t="s">
        <v>116</v>
      </c>
      <c r="P35" s="44">
        <v>11.9</v>
      </c>
      <c r="Q35" s="157">
        <v>136</v>
      </c>
      <c r="R35" s="157"/>
      <c r="S35" s="157">
        <v>96167676</v>
      </c>
      <c r="T35" s="45">
        <f t="shared" si="4"/>
        <v>5249</v>
      </c>
      <c r="U35" s="46">
        <f t="shared" si="5"/>
        <v>125.976</v>
      </c>
      <c r="V35" s="46">
        <f t="shared" si="6"/>
        <v>5.2489999999999997</v>
      </c>
      <c r="W35" s="96">
        <v>1.6</v>
      </c>
      <c r="X35" s="96">
        <f t="shared" si="1"/>
        <v>1.6</v>
      </c>
      <c r="Y35" s="97" t="s">
        <v>138</v>
      </c>
      <c r="Z35" s="158">
        <v>0</v>
      </c>
      <c r="AA35" s="158">
        <v>0</v>
      </c>
      <c r="AB35" s="158">
        <v>1187</v>
      </c>
      <c r="AC35" s="158">
        <v>0</v>
      </c>
      <c r="AD35" s="158">
        <v>1187</v>
      </c>
      <c r="AE35" s="158">
        <v>1185</v>
      </c>
      <c r="AF35" s="47" t="s">
        <v>90</v>
      </c>
      <c r="AG35" s="47" t="s">
        <v>90</v>
      </c>
      <c r="AH35" s="98" t="s">
        <v>90</v>
      </c>
      <c r="AI35" s="103">
        <v>16152353</v>
      </c>
      <c r="AJ35" s="45">
        <f t="shared" si="7"/>
        <v>1050</v>
      </c>
      <c r="AK35" s="48">
        <f t="shared" si="8"/>
        <v>200.03810249571347</v>
      </c>
      <c r="AL35" s="155">
        <v>0</v>
      </c>
      <c r="AM35" s="155">
        <v>0</v>
      </c>
      <c r="AN35" s="155">
        <v>1</v>
      </c>
      <c r="AO35" s="155">
        <v>0</v>
      </c>
      <c r="AP35" s="155">
        <v>1</v>
      </c>
      <c r="AQ35" s="155">
        <v>1</v>
      </c>
      <c r="AR35" s="155">
        <v>0.3</v>
      </c>
      <c r="AS35" s="158"/>
      <c r="AT35" s="158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357">
        <v>43249</v>
      </c>
      <c r="B36" s="40">
        <v>2.9583333333333299</v>
      </c>
      <c r="C36" s="40">
        <v>1</v>
      </c>
      <c r="D36" s="156" t="s">
        <v>179</v>
      </c>
      <c r="E36" s="154" t="e">
        <f t="shared" si="2"/>
        <v>#VALUE!</v>
      </c>
      <c r="F36" s="154">
        <v>1</v>
      </c>
      <c r="G36" s="118">
        <v>74</v>
      </c>
      <c r="H36" s="154">
        <f t="shared" si="0"/>
        <v>52.112676056338032</v>
      </c>
      <c r="I36" s="154">
        <v>73</v>
      </c>
      <c r="J36" s="41" t="s">
        <v>88</v>
      </c>
      <c r="K36" s="41">
        <f t="shared" si="3"/>
        <v>47.183098591549296</v>
      </c>
      <c r="L36" s="42">
        <f>(G36-5)/1.42</f>
        <v>48.591549295774648</v>
      </c>
      <c r="M36" s="41">
        <f t="shared" si="12"/>
        <v>52.816901408450704</v>
      </c>
      <c r="N36" s="43">
        <v>14</v>
      </c>
      <c r="O36" s="44" t="s">
        <v>116</v>
      </c>
      <c r="P36" s="58">
        <v>11.5</v>
      </c>
      <c r="Q36" s="157" t="s">
        <v>179</v>
      </c>
      <c r="R36" s="157"/>
      <c r="S36" s="157">
        <v>96172982</v>
      </c>
      <c r="T36" s="45">
        <f t="shared" si="4"/>
        <v>5306</v>
      </c>
      <c r="U36" s="46">
        <f t="shared" si="5"/>
        <v>127.34399999999999</v>
      </c>
      <c r="V36" s="46">
        <f t="shared" si="6"/>
        <v>5.306</v>
      </c>
      <c r="W36" s="96">
        <v>2.4</v>
      </c>
      <c r="X36" s="96">
        <f t="shared" si="1"/>
        <v>2.4</v>
      </c>
      <c r="Y36" s="97" t="s">
        <v>138</v>
      </c>
      <c r="Z36" s="158">
        <v>0</v>
      </c>
      <c r="AA36" s="158">
        <v>0</v>
      </c>
      <c r="AB36" s="158">
        <v>1187</v>
      </c>
      <c r="AC36" s="158">
        <v>0</v>
      </c>
      <c r="AD36" s="158">
        <v>1187</v>
      </c>
      <c r="AE36" s="158">
        <v>1185</v>
      </c>
      <c r="AF36" s="47" t="s">
        <v>90</v>
      </c>
      <c r="AG36" s="47" t="s">
        <v>90</v>
      </c>
      <c r="AH36" s="98" t="s">
        <v>90</v>
      </c>
      <c r="AI36" s="103">
        <v>16153467</v>
      </c>
      <c r="AJ36" s="45">
        <f t="shared" si="7"/>
        <v>1114</v>
      </c>
      <c r="AK36" s="48">
        <f t="shared" si="8"/>
        <v>209.95099886920468</v>
      </c>
      <c r="AL36" s="155">
        <v>0</v>
      </c>
      <c r="AM36" s="155">
        <v>0</v>
      </c>
      <c r="AN36" s="155">
        <v>1</v>
      </c>
      <c r="AO36" s="155">
        <v>0</v>
      </c>
      <c r="AP36" s="155">
        <v>1</v>
      </c>
      <c r="AQ36" s="155">
        <v>1</v>
      </c>
      <c r="AR36" s="155">
        <v>0.3</v>
      </c>
      <c r="AS36" s="158"/>
      <c r="AT36" s="158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73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09" t="s">
        <v>118</v>
      </c>
      <c r="O37" s="310"/>
      <c r="P37" s="311"/>
      <c r="Q37" s="101"/>
      <c r="R37" s="101"/>
      <c r="S37" s="101"/>
      <c r="T37" s="60">
        <f>SUM(T13:T36)</f>
        <v>125562</v>
      </c>
      <c r="U37" s="46">
        <f t="shared" si="5"/>
        <v>3013.4879999999998</v>
      </c>
      <c r="V37" s="46">
        <f t="shared" si="6"/>
        <v>125.562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27827</v>
      </c>
      <c r="AK37" s="61">
        <f>$AJ$37/$V37</f>
        <v>221.61959828610568</v>
      </c>
      <c r="AL37" s="155"/>
      <c r="AM37" s="155"/>
      <c r="AN37" s="155"/>
      <c r="AO37" s="155"/>
      <c r="AP37" s="155"/>
      <c r="AQ37" s="155"/>
      <c r="AR37" s="62"/>
      <c r="AS37" s="63">
        <f>AS36-AS11</f>
        <v>0</v>
      </c>
      <c r="AT37" s="64">
        <f>SUM(AT13:AT36)</f>
        <v>0</v>
      </c>
      <c r="AU37" s="65">
        <f>AVERAGE(AU13:AU36)</f>
        <v>1.0116666666666667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7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8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8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4"/>
      <c r="D47" s="164"/>
      <c r="E47" s="164"/>
      <c r="F47" s="164"/>
      <c r="G47" s="164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71" t="s">
        <v>276</v>
      </c>
      <c r="C48" s="172"/>
      <c r="D48" s="172"/>
      <c r="E48" s="172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70"/>
      <c r="D49" s="170"/>
      <c r="E49" s="170"/>
      <c r="F49" s="161"/>
      <c r="G49" s="161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163</v>
      </c>
      <c r="C50" s="143"/>
      <c r="D50" s="143"/>
      <c r="E50" s="143"/>
      <c r="F50" s="130"/>
      <c r="G50" s="130"/>
      <c r="H50" s="160"/>
      <c r="I50" s="160"/>
      <c r="J50" s="160"/>
      <c r="K50" s="160"/>
      <c r="L50" s="160"/>
      <c r="M50" s="160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210</v>
      </c>
      <c r="B51" s="115" t="s">
        <v>164</v>
      </c>
      <c r="C51" s="143"/>
      <c r="D51" s="143"/>
      <c r="E51" s="143"/>
      <c r="F51" s="130"/>
      <c r="G51" s="130"/>
      <c r="H51" s="160"/>
      <c r="I51" s="160"/>
      <c r="J51" s="160"/>
      <c r="K51" s="160"/>
      <c r="L51" s="160"/>
      <c r="M51" s="160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277</v>
      </c>
      <c r="C52" s="120"/>
      <c r="D52" s="115"/>
      <c r="E52" s="115"/>
      <c r="F52" s="115"/>
      <c r="G52" s="115"/>
      <c r="H52" s="160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70"/>
      <c r="D53" s="170"/>
      <c r="E53" s="170"/>
      <c r="F53" s="170"/>
      <c r="G53" s="115"/>
      <c r="H53" s="115"/>
      <c r="I53" s="115"/>
      <c r="J53" s="115"/>
      <c r="K53" s="115"/>
      <c r="L53" s="115"/>
      <c r="M53" s="115"/>
      <c r="N53" s="163"/>
      <c r="O53" s="163"/>
      <c r="P53" s="163"/>
      <c r="Q53" s="163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32" t="s">
        <v>170</v>
      </c>
      <c r="C54" s="153"/>
      <c r="D54" s="170"/>
      <c r="E54" s="170"/>
      <c r="F54" s="170"/>
      <c r="G54" s="170"/>
      <c r="H54" s="170"/>
      <c r="I54" s="170"/>
      <c r="J54" s="169"/>
      <c r="K54" s="166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70"/>
      <c r="E55" s="153"/>
      <c r="F55" s="153"/>
      <c r="G55" s="153"/>
      <c r="H55" s="153"/>
      <c r="I55" s="153"/>
      <c r="J55" s="169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172</v>
      </c>
      <c r="C56" s="115"/>
      <c r="D56" s="170"/>
      <c r="E56" s="153"/>
      <c r="F56" s="153"/>
      <c r="G56" s="153"/>
      <c r="H56" s="153"/>
      <c r="I56" s="153"/>
      <c r="J56" s="153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53" t="s">
        <v>278</v>
      </c>
      <c r="C57" s="170"/>
      <c r="D57" s="170"/>
      <c r="E57" s="153"/>
      <c r="F57" s="153"/>
      <c r="G57" s="153"/>
      <c r="H57" s="153"/>
      <c r="I57" s="153"/>
      <c r="J57" s="153"/>
      <c r="K57" s="166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174</v>
      </c>
      <c r="C58" s="170"/>
      <c r="D58" s="170"/>
      <c r="E58" s="115"/>
      <c r="F58" s="115"/>
      <c r="G58" s="115"/>
      <c r="H58" s="115"/>
      <c r="I58" s="153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62" t="s">
        <v>195</v>
      </c>
      <c r="C59" s="170"/>
      <c r="D59" s="170"/>
      <c r="E59" s="153"/>
      <c r="F59" s="153"/>
      <c r="G59" s="153"/>
      <c r="H59" s="153"/>
      <c r="I59" s="153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32"/>
      <c r="C60" s="170"/>
      <c r="D60" s="223"/>
      <c r="E60" s="223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62"/>
      <c r="C61" s="153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32"/>
      <c r="C62" s="115"/>
      <c r="D62" s="100"/>
      <c r="E62" s="100"/>
      <c r="F62" s="115"/>
      <c r="G62" s="115"/>
      <c r="H62" s="92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6"/>
      <c r="E63" s="166"/>
      <c r="F63" s="166"/>
      <c r="G63" s="166"/>
      <c r="H63" s="166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53"/>
      <c r="C64" s="115"/>
      <c r="D64" s="100"/>
      <c r="E64" s="100"/>
      <c r="F64" s="115"/>
      <c r="G64" s="115"/>
      <c r="H64" s="92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6"/>
      <c r="E65" s="166"/>
      <c r="F65" s="166"/>
      <c r="G65" s="166"/>
      <c r="H65" s="166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AV65" s="86"/>
      <c r="AW65" s="86"/>
      <c r="AX65" s="86"/>
      <c r="AY65" s="86"/>
      <c r="AZ65" s="86"/>
      <c r="BA65" s="86"/>
      <c r="BB65" s="86"/>
    </row>
    <row r="66" spans="2:54" x14ac:dyDescent="0.35">
      <c r="B66" s="162"/>
      <c r="C66" s="115"/>
      <c r="D66" s="166"/>
      <c r="E66" s="166"/>
      <c r="F66" s="166"/>
      <c r="G66" s="166"/>
      <c r="H66" s="166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6"/>
      <c r="E67" s="166"/>
      <c r="F67" s="166"/>
      <c r="G67" s="166"/>
      <c r="H67" s="166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3" name="Range1_16_1_1_1_1_1_1_2_2_2_2_2_2_2_2_2_2_2_2_2_2_2_2_2_2_2_2_2_2_2_1_2_2_2_2_2_2_2_2_2_2_3_2_2_2_2_2_2_2_2_2_2_1_1_1_1_2_2_1_1_1_1_1_1_1_1_1_1_1_1_1_1_3_1"/>
    <protectedRange sqref="R5:W5" name="Range1_16_1_1_1_1_1_1_2_2_2_2_2_2_2_2_2_2_2_2_2_2_2_2_2_2_2_2_2_2_2_1_2_2_2_2_2_2_2_2_2_2_3_2_2_2_2_2_2_2_2_2_2_1_1_1_1_2_2_1_1_1_1_1_1_1_1_1_1_3_1_3_2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7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9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10"/>
    <protectedRange sqref="R4:W4" name="Range1_16_1_1_1_1_1_1_2_2_2_2_2_2_2_2_2_2_2_2_2_2_2_2_2_2_2_2_2_2_2_1_2_2_2_2_2_2_2_2_2_2_3_2_2_2_2_2_2_2_2_2_2_1_1_1_1_2_2_1_1_1_1_1_1_1_1_1_1_1_1_1_1_2_1_2_1_1_1_1_1_2_1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50" priority="5" operator="containsText" text="N/A">
      <formula>NOT(ISERROR(SEARCH("N/A",Z13)))</formula>
    </cfRule>
    <cfRule type="cellIs" dxfId="49" priority="17" operator="equal">
      <formula>0</formula>
    </cfRule>
  </conditionalFormatting>
  <conditionalFormatting sqref="Z13:AG36">
    <cfRule type="cellIs" dxfId="48" priority="16" operator="greaterThanOrEqual">
      <formula>1185</formula>
    </cfRule>
  </conditionalFormatting>
  <conditionalFormatting sqref="Z13:AG36">
    <cfRule type="cellIs" dxfId="47" priority="15" operator="between">
      <formula>0.1</formula>
      <formula>1184</formula>
    </cfRule>
  </conditionalFormatting>
  <conditionalFormatting sqref="Z8:Z9 AT13:AT36 AL37:AQ37 AL13:AR36">
    <cfRule type="cellIs" dxfId="46" priority="14" operator="equal">
      <formula>0</formula>
    </cfRule>
  </conditionalFormatting>
  <conditionalFormatting sqref="Z8:Z9 AT13:AT36 AL37:AQ37 AL13:AR36">
    <cfRule type="cellIs" dxfId="45" priority="13" operator="greaterThan">
      <formula>1179</formula>
    </cfRule>
  </conditionalFormatting>
  <conditionalFormatting sqref="Z8:Z9 AT13:AT36 AL37:AQ37 AL13:AR36">
    <cfRule type="cellIs" dxfId="44" priority="12" operator="greaterThan">
      <formula>99</formula>
    </cfRule>
  </conditionalFormatting>
  <conditionalFormatting sqref="Z8:Z9 AT13:AT36 AL37:AQ37 AL13:AR36">
    <cfRule type="cellIs" dxfId="43" priority="11" operator="greaterThan">
      <formula>0.99</formula>
    </cfRule>
  </conditionalFormatting>
  <conditionalFormatting sqref="AD8:AD9">
    <cfRule type="cellIs" dxfId="42" priority="10" operator="equal">
      <formula>0</formula>
    </cfRule>
  </conditionalFormatting>
  <conditionalFormatting sqref="AD8:AD9">
    <cfRule type="cellIs" dxfId="41" priority="9" operator="greaterThan">
      <formula>1179</formula>
    </cfRule>
  </conditionalFormatting>
  <conditionalFormatting sqref="AD8:AD9">
    <cfRule type="cellIs" dxfId="40" priority="8" operator="greaterThan">
      <formula>99</formula>
    </cfRule>
  </conditionalFormatting>
  <conditionalFormatting sqref="AD8:AD9">
    <cfRule type="cellIs" dxfId="39" priority="7" operator="greaterThan">
      <formula>0.99</formula>
    </cfRule>
  </conditionalFormatting>
  <conditionalFormatting sqref="AK13:AK36">
    <cfRule type="cellIs" dxfId="38" priority="6" operator="greaterThan">
      <formula>$AK$8</formula>
    </cfRule>
  </conditionalFormatting>
  <conditionalFormatting sqref="AS13:AS36">
    <cfRule type="containsText" dxfId="37" priority="1" operator="containsText" text="N/A">
      <formula>NOT(ISERROR(SEARCH("N/A",AS13)))</formula>
    </cfRule>
    <cfRule type="cellIs" dxfId="36" priority="4" operator="equal">
      <formula>0</formula>
    </cfRule>
  </conditionalFormatting>
  <conditionalFormatting sqref="AS13:AS36">
    <cfRule type="cellIs" dxfId="35" priority="3" operator="greaterThanOrEqual">
      <formula>1185</formula>
    </cfRule>
  </conditionalFormatting>
  <conditionalFormatting sqref="AS13:AS36">
    <cfRule type="cellIs" dxfId="34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C00-000000000000}">
      <formula1>$BB$11:$BB$42</formula1>
    </dataValidation>
    <dataValidation type="list" allowBlank="1" showInputMessage="1" showErrorMessage="1" sqref="AY33:AZ33" xr:uid="{00000000-0002-0000-1C00-000001000000}">
      <formula1>$AY$26:$AY$30</formula1>
    </dataValidation>
    <dataValidation type="list" allowBlank="1" showInputMessage="1" showErrorMessage="1" sqref="AS8:AT9 P11:P12 N11:N12 D8:E9 Q8:V9" xr:uid="{00000000-0002-0000-1C00-000002000000}">
      <formula1>#REF!</formula1>
    </dataValidation>
    <dataValidation type="list" allowBlank="1" showInputMessage="1" showErrorMessage="1" sqref="J13:J36" xr:uid="{00000000-0002-0000-1C00-000003000000}">
      <formula1>$AY$11:$AY$21</formula1>
    </dataValidation>
  </dataValidations>
  <hyperlinks>
    <hyperlink ref="J10:J11" location="'1'!AH8" display="Plant Status" xr:uid="{00000000-0004-0000-1C00-000000000000}"/>
  </hyperlinks>
  <pageMargins left="0.7" right="0.7" top="0.75" bottom="0.75" header="0.3" footer="0.3"/>
  <pageSetup paperSize="9" orientation="portrait" horizontalDpi="4294967293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>
    <tabColor rgb="FF7030A0"/>
  </sheetPr>
  <dimension ref="A2:BB88"/>
  <sheetViews>
    <sheetView zoomScaleNormal="100" workbookViewId="0">
      <selection activeCell="R5" sqref="R5:W5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47" t="s">
        <v>145</v>
      </c>
      <c r="S3" s="348"/>
      <c r="T3" s="348"/>
      <c r="U3" s="348"/>
      <c r="V3" s="348"/>
      <c r="W3" s="34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47" t="s">
        <v>146</v>
      </c>
      <c r="S4" s="348"/>
      <c r="T4" s="348"/>
      <c r="U4" s="348"/>
      <c r="V4" s="348"/>
      <c r="W4" s="34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47" t="s">
        <v>151</v>
      </c>
      <c r="S5" s="348"/>
      <c r="T5" s="348"/>
      <c r="U5" s="348"/>
      <c r="V5" s="348"/>
      <c r="W5" s="34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50" t="s">
        <v>6</v>
      </c>
      <c r="C6" s="351"/>
      <c r="D6" s="352" t="s">
        <v>7</v>
      </c>
      <c r="E6" s="353"/>
      <c r="F6" s="353"/>
      <c r="G6" s="353"/>
      <c r="H6" s="353"/>
      <c r="I6" s="353"/>
      <c r="J6" s="354"/>
      <c r="K6" s="87"/>
      <c r="L6" s="87"/>
      <c r="M6" s="286"/>
      <c r="N6" s="355">
        <v>41686</v>
      </c>
      <c r="O6" s="356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37" t="s">
        <v>8</v>
      </c>
      <c r="C7" s="338"/>
      <c r="D7" s="337" t="s">
        <v>9</v>
      </c>
      <c r="E7" s="339"/>
      <c r="F7" s="339"/>
      <c r="G7" s="339"/>
      <c r="H7" s="339"/>
      <c r="I7" s="338"/>
      <c r="J7" s="291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91" t="s">
        <v>14</v>
      </c>
      <c r="R7" s="337" t="s">
        <v>15</v>
      </c>
      <c r="S7" s="339"/>
      <c r="T7" s="339"/>
      <c r="U7" s="339"/>
      <c r="V7" s="338"/>
      <c r="W7" s="337" t="s">
        <v>16</v>
      </c>
      <c r="X7" s="338"/>
      <c r="Y7" s="99" t="s">
        <v>17</v>
      </c>
      <c r="Z7" s="337" t="s">
        <v>18</v>
      </c>
      <c r="AA7" s="338"/>
      <c r="AB7" s="337" t="s">
        <v>19</v>
      </c>
      <c r="AC7" s="338"/>
      <c r="AD7" s="337" t="s">
        <v>20</v>
      </c>
      <c r="AE7" s="338"/>
      <c r="AF7" s="337" t="s">
        <v>21</v>
      </c>
      <c r="AG7" s="338"/>
      <c r="AH7" s="99" t="s">
        <v>22</v>
      </c>
      <c r="AI7" s="99" t="s">
        <v>23</v>
      </c>
      <c r="AJ7" s="99" t="s">
        <v>24</v>
      </c>
      <c r="AK7" s="99" t="s">
        <v>25</v>
      </c>
      <c r="AL7" s="337" t="s">
        <v>26</v>
      </c>
      <c r="AM7" s="339"/>
      <c r="AN7" s="339"/>
      <c r="AO7" s="339"/>
      <c r="AP7" s="339"/>
      <c r="AQ7" s="338"/>
      <c r="AR7" s="337" t="s">
        <v>27</v>
      </c>
      <c r="AS7" s="339"/>
      <c r="AT7" s="33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40">
        <v>43250</v>
      </c>
      <c r="C8" s="341"/>
      <c r="D8" s="342" t="s">
        <v>29</v>
      </c>
      <c r="E8" s="343"/>
      <c r="F8" s="343"/>
      <c r="G8" s="343"/>
      <c r="H8" s="343"/>
      <c r="I8" s="344"/>
      <c r="J8" s="28"/>
      <c r="K8" s="342" t="s">
        <v>29</v>
      </c>
      <c r="L8" s="343"/>
      <c r="M8" s="34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42" t="s">
        <v>33</v>
      </c>
      <c r="X8" s="344"/>
      <c r="Y8" s="30" t="s">
        <v>34</v>
      </c>
      <c r="Z8" s="326">
        <v>0</v>
      </c>
      <c r="AA8" s="327"/>
      <c r="AB8" s="345" t="s">
        <v>35</v>
      </c>
      <c r="AC8" s="346"/>
      <c r="AD8" s="326">
        <v>1185</v>
      </c>
      <c r="AE8" s="327"/>
      <c r="AF8" s="328">
        <v>800</v>
      </c>
      <c r="AG8" s="329"/>
      <c r="AH8" s="28"/>
      <c r="AI8" s="30">
        <f>AI36-AI11</f>
        <v>27778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92"/>
      <c r="C9" s="293"/>
      <c r="D9" s="294"/>
      <c r="E9" s="295"/>
      <c r="F9" s="295"/>
      <c r="G9" s="295"/>
      <c r="H9" s="295"/>
      <c r="I9" s="296"/>
      <c r="J9" s="121"/>
      <c r="K9" s="294"/>
      <c r="L9" s="295"/>
      <c r="M9" s="296"/>
      <c r="N9" s="29"/>
      <c r="O9" s="29"/>
      <c r="P9" s="29"/>
      <c r="Q9" s="121"/>
      <c r="R9" s="121"/>
      <c r="S9" s="121"/>
      <c r="T9" s="122"/>
      <c r="U9" s="123"/>
      <c r="V9" s="124"/>
      <c r="W9" s="294"/>
      <c r="X9" s="296"/>
      <c r="Y9" s="30"/>
      <c r="Z9" s="289"/>
      <c r="AA9" s="125"/>
      <c r="AB9" s="126"/>
      <c r="AC9" s="126"/>
      <c r="AD9" s="125"/>
      <c r="AE9" s="125"/>
      <c r="AF9" s="127"/>
      <c r="AG9" s="290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30" t="s">
        <v>39</v>
      </c>
      <c r="C10" s="331"/>
      <c r="D10" s="330" t="s">
        <v>40</v>
      </c>
      <c r="E10" s="332"/>
      <c r="F10" s="331"/>
      <c r="G10" s="330" t="s">
        <v>41</v>
      </c>
      <c r="H10" s="332"/>
      <c r="I10" s="331"/>
      <c r="J10" s="333" t="s">
        <v>42</v>
      </c>
      <c r="K10" s="330" t="s">
        <v>43</v>
      </c>
      <c r="L10" s="332"/>
      <c r="M10" s="331"/>
      <c r="N10" s="99" t="s">
        <v>44</v>
      </c>
      <c r="O10" s="335" t="s">
        <v>45</v>
      </c>
      <c r="P10" s="33" t="s">
        <v>46</v>
      </c>
      <c r="Q10" s="324" t="s">
        <v>47</v>
      </c>
      <c r="R10" s="324" t="s">
        <v>48</v>
      </c>
      <c r="S10" s="34" t="s">
        <v>49</v>
      </c>
      <c r="T10" s="312" t="s">
        <v>50</v>
      </c>
      <c r="U10" s="313"/>
      <c r="V10" s="314"/>
      <c r="W10" s="287" t="s">
        <v>51</v>
      </c>
      <c r="X10" s="287" t="s">
        <v>52</v>
      </c>
      <c r="Y10" s="318" t="s">
        <v>53</v>
      </c>
      <c r="Z10" s="319" t="s">
        <v>54</v>
      </c>
      <c r="AA10" s="320"/>
      <c r="AB10" s="320"/>
      <c r="AC10" s="320"/>
      <c r="AD10" s="320"/>
      <c r="AE10" s="320"/>
      <c r="AF10" s="320"/>
      <c r="AG10" s="321"/>
      <c r="AH10" s="285" t="s">
        <v>55</v>
      </c>
      <c r="AI10" s="285" t="s">
        <v>56</v>
      </c>
      <c r="AJ10" s="307" t="s">
        <v>57</v>
      </c>
      <c r="AK10" s="322" t="s">
        <v>58</v>
      </c>
      <c r="AL10" s="287" t="s">
        <v>59</v>
      </c>
      <c r="AM10" s="287" t="s">
        <v>60</v>
      </c>
      <c r="AN10" s="287" t="s">
        <v>61</v>
      </c>
      <c r="AO10" s="287" t="s">
        <v>62</v>
      </c>
      <c r="AP10" s="287" t="s">
        <v>63</v>
      </c>
      <c r="AQ10" s="287" t="s">
        <v>123</v>
      </c>
      <c r="AR10" s="287" t="s">
        <v>64</v>
      </c>
      <c r="AS10" s="287" t="s">
        <v>65</v>
      </c>
      <c r="AT10" s="324" t="s">
        <v>66</v>
      </c>
      <c r="AU10" s="287" t="s">
        <v>67</v>
      </c>
      <c r="AV10" s="30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87" t="s">
        <v>72</v>
      </c>
      <c r="C11" s="287" t="s">
        <v>73</v>
      </c>
      <c r="D11" s="287" t="s">
        <v>74</v>
      </c>
      <c r="E11" s="287" t="s">
        <v>75</v>
      </c>
      <c r="F11" s="287" t="s">
        <v>126</v>
      </c>
      <c r="G11" s="287" t="s">
        <v>74</v>
      </c>
      <c r="H11" s="287" t="s">
        <v>75</v>
      </c>
      <c r="I11" s="287" t="s">
        <v>126</v>
      </c>
      <c r="J11" s="334"/>
      <c r="K11" s="287" t="s">
        <v>75</v>
      </c>
      <c r="L11" s="287" t="s">
        <v>75</v>
      </c>
      <c r="M11" s="287" t="s">
        <v>75</v>
      </c>
      <c r="N11" s="28" t="s">
        <v>29</v>
      </c>
      <c r="O11" s="336"/>
      <c r="P11" s="28" t="s">
        <v>29</v>
      </c>
      <c r="Q11" s="325"/>
      <c r="R11" s="325"/>
      <c r="S11" s="1">
        <f>'MAY 29'!S36</f>
        <v>96172982</v>
      </c>
      <c r="T11" s="315"/>
      <c r="U11" s="316"/>
      <c r="V11" s="317"/>
      <c r="W11" s="287" t="s">
        <v>75</v>
      </c>
      <c r="X11" s="287" t="s">
        <v>75</v>
      </c>
      <c r="Y11" s="31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'MAY 29'!AI36</f>
        <v>16153467</v>
      </c>
      <c r="AJ11" s="307"/>
      <c r="AK11" s="323"/>
      <c r="AL11" s="287" t="s">
        <v>84</v>
      </c>
      <c r="AM11" s="287" t="s">
        <v>84</v>
      </c>
      <c r="AN11" s="287" t="s">
        <v>84</v>
      </c>
      <c r="AO11" s="287" t="s">
        <v>84</v>
      </c>
      <c r="AP11" s="287" t="s">
        <v>84</v>
      </c>
      <c r="AQ11" s="287" t="s">
        <v>84</v>
      </c>
      <c r="AR11" s="287" t="s">
        <v>84</v>
      </c>
      <c r="AS11" s="1"/>
      <c r="AT11" s="325"/>
      <c r="AU11" s="288" t="s">
        <v>85</v>
      </c>
      <c r="AV11" s="307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283</v>
      </c>
      <c r="B12" s="305" t="s">
        <v>284</v>
      </c>
      <c r="C12" s="305" t="s">
        <v>285</v>
      </c>
      <c r="D12" s="305" t="s">
        <v>286</v>
      </c>
      <c r="E12" s="305" t="s">
        <v>287</v>
      </c>
      <c r="F12" s="305" t="s">
        <v>288</v>
      </c>
      <c r="G12" s="305" t="s">
        <v>289</v>
      </c>
      <c r="H12" s="305" t="s">
        <v>290</v>
      </c>
      <c r="I12" s="305" t="s">
        <v>291</v>
      </c>
      <c r="J12" s="297" t="s">
        <v>292</v>
      </c>
      <c r="K12" s="305" t="s">
        <v>293</v>
      </c>
      <c r="L12" s="305" t="s">
        <v>294</v>
      </c>
      <c r="M12" s="305" t="s">
        <v>295</v>
      </c>
      <c r="N12" s="28" t="s">
        <v>296</v>
      </c>
      <c r="O12" s="298" t="s">
        <v>297</v>
      </c>
      <c r="P12" s="28" t="s">
        <v>298</v>
      </c>
      <c r="Q12" s="300" t="s">
        <v>299</v>
      </c>
      <c r="R12" s="300" t="s">
        <v>300</v>
      </c>
      <c r="S12" s="1" t="s">
        <v>301</v>
      </c>
      <c r="T12" s="302" t="s">
        <v>302</v>
      </c>
      <c r="U12" s="303" t="s">
        <v>303</v>
      </c>
      <c r="V12" s="304" t="s">
        <v>304</v>
      </c>
      <c r="W12" s="305" t="s">
        <v>305</v>
      </c>
      <c r="X12" s="305" t="s">
        <v>306</v>
      </c>
      <c r="Y12" s="305" t="s">
        <v>307</v>
      </c>
      <c r="Z12" s="37" t="s">
        <v>308</v>
      </c>
      <c r="AA12" s="37" t="s">
        <v>309</v>
      </c>
      <c r="AB12" s="37" t="s">
        <v>310</v>
      </c>
      <c r="AC12" s="37" t="s">
        <v>311</v>
      </c>
      <c r="AD12" s="37" t="s">
        <v>312</v>
      </c>
      <c r="AE12" s="37" t="s">
        <v>313</v>
      </c>
      <c r="AF12" s="37" t="s">
        <v>314</v>
      </c>
      <c r="AG12" s="37" t="s">
        <v>315</v>
      </c>
      <c r="AH12" s="38" t="s">
        <v>316</v>
      </c>
      <c r="AI12" s="1" t="s">
        <v>317</v>
      </c>
      <c r="AJ12" s="301" t="s">
        <v>318</v>
      </c>
      <c r="AK12" s="306" t="s">
        <v>319</v>
      </c>
      <c r="AL12" s="305" t="s">
        <v>320</v>
      </c>
      <c r="AM12" s="305" t="s">
        <v>321</v>
      </c>
      <c r="AN12" s="305" t="s">
        <v>322</v>
      </c>
      <c r="AO12" s="305" t="s">
        <v>323</v>
      </c>
      <c r="AP12" s="305" t="s">
        <v>324</v>
      </c>
      <c r="AQ12" s="305" t="s">
        <v>325</v>
      </c>
      <c r="AR12" s="305" t="s">
        <v>326</v>
      </c>
      <c r="AS12" s="1" t="s">
        <v>327</v>
      </c>
      <c r="AT12" s="300" t="s">
        <v>328</v>
      </c>
      <c r="AU12" s="299" t="s">
        <v>329</v>
      </c>
      <c r="AV12" s="301"/>
      <c r="AY12" s="39"/>
      <c r="AZ12" s="39"/>
      <c r="BB12" s="136"/>
    </row>
    <row r="13" spans="1:54" x14ac:dyDescent="0.35">
      <c r="A13" s="357">
        <v>43250</v>
      </c>
      <c r="B13" s="40">
        <v>2</v>
      </c>
      <c r="C13" s="40">
        <v>4.1666666666666664E-2</v>
      </c>
      <c r="D13" s="156">
        <v>4</v>
      </c>
      <c r="E13" s="154">
        <f>D13/1.42</f>
        <v>2.8169014084507045</v>
      </c>
      <c r="F13" s="154">
        <v>2</v>
      </c>
      <c r="G13" s="118">
        <v>68</v>
      </c>
      <c r="H13" s="154">
        <f t="shared" ref="H13:H36" si="0">G13/1.42</f>
        <v>47.887323943661976</v>
      </c>
      <c r="I13" s="154">
        <v>70</v>
      </c>
      <c r="J13" s="41" t="s">
        <v>88</v>
      </c>
      <c r="K13" s="41">
        <f>L13-(2/1.42)</f>
        <v>42.95774647887324</v>
      </c>
      <c r="L13" s="42">
        <f>(G13-5)/1.42</f>
        <v>44.366197183098592</v>
      </c>
      <c r="M13" s="41">
        <f>L13+(6/1.42)</f>
        <v>48.591549295774648</v>
      </c>
      <c r="N13" s="43">
        <v>14</v>
      </c>
      <c r="O13" s="44" t="s">
        <v>89</v>
      </c>
      <c r="P13" s="44">
        <v>11.4</v>
      </c>
      <c r="Q13" s="157">
        <v>145</v>
      </c>
      <c r="R13" s="157"/>
      <c r="S13" s="157">
        <v>96177862</v>
      </c>
      <c r="T13" s="45">
        <f>IF(ISBLANK(S13),"-",S13-S11)</f>
        <v>4880</v>
      </c>
      <c r="U13" s="46">
        <f>T13*24/1000</f>
        <v>117.12</v>
      </c>
      <c r="V13" s="46">
        <f>T13/1000</f>
        <v>4.88</v>
      </c>
      <c r="W13" s="96">
        <v>4</v>
      </c>
      <c r="X13" s="96">
        <f t="shared" ref="X13:X36" si="1">W13</f>
        <v>4</v>
      </c>
      <c r="Y13" s="97" t="s">
        <v>138</v>
      </c>
      <c r="Z13" s="158">
        <v>0</v>
      </c>
      <c r="AA13" s="158">
        <v>0</v>
      </c>
      <c r="AB13" s="158">
        <v>1187</v>
      </c>
      <c r="AC13" s="158">
        <v>0</v>
      </c>
      <c r="AD13" s="158">
        <v>1187</v>
      </c>
      <c r="AE13" s="158">
        <v>1185</v>
      </c>
      <c r="AF13" s="47" t="s">
        <v>90</v>
      </c>
      <c r="AG13" s="47" t="s">
        <v>90</v>
      </c>
      <c r="AH13" s="98" t="s">
        <v>90</v>
      </c>
      <c r="AI13" s="103">
        <v>16154588</v>
      </c>
      <c r="AJ13" s="45">
        <f>IF(ISBLANK(AI13),"-",AI13-AI11)</f>
        <v>1121</v>
      </c>
      <c r="AK13" s="48">
        <f>AJ13/V13</f>
        <v>229.71311475409837</v>
      </c>
      <c r="AL13" s="155">
        <v>0</v>
      </c>
      <c r="AM13" s="155">
        <v>0</v>
      </c>
      <c r="AN13" s="155">
        <v>1</v>
      </c>
      <c r="AO13" s="155">
        <v>0</v>
      </c>
      <c r="AP13" s="155">
        <v>1</v>
      </c>
      <c r="AQ13" s="155">
        <v>1</v>
      </c>
      <c r="AR13" s="155">
        <v>0.8</v>
      </c>
      <c r="AS13" s="158"/>
      <c r="AT13" s="158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357">
        <v>43250</v>
      </c>
      <c r="B14" s="40">
        <v>2.0416666666666701</v>
      </c>
      <c r="C14" s="40">
        <v>8.3333333333333329E-2</v>
      </c>
      <c r="D14" s="156">
        <v>4</v>
      </c>
      <c r="E14" s="154">
        <f t="shared" ref="E14:E36" si="2">D14/1.42</f>
        <v>2.8169014084507045</v>
      </c>
      <c r="F14" s="154">
        <v>4</v>
      </c>
      <c r="G14" s="118">
        <v>69</v>
      </c>
      <c r="H14" s="154">
        <f t="shared" si="0"/>
        <v>48.591549295774648</v>
      </c>
      <c r="I14" s="154">
        <v>73</v>
      </c>
      <c r="J14" s="41" t="s">
        <v>88</v>
      </c>
      <c r="K14" s="41">
        <f t="shared" ref="K14:K36" si="3">L14-(2/1.42)</f>
        <v>43.661971830985919</v>
      </c>
      <c r="L14" s="42">
        <f>(G14-5)/1.42</f>
        <v>45.070422535211272</v>
      </c>
      <c r="M14" s="41">
        <f>L14+(6/1.42)</f>
        <v>49.295774647887328</v>
      </c>
      <c r="N14" s="43">
        <v>14</v>
      </c>
      <c r="O14" s="44" t="s">
        <v>89</v>
      </c>
      <c r="P14" s="44">
        <v>11.2</v>
      </c>
      <c r="Q14" s="157">
        <v>146</v>
      </c>
      <c r="R14" s="157"/>
      <c r="S14" s="157">
        <v>96182665</v>
      </c>
      <c r="T14" s="45">
        <f t="shared" ref="T14:T36" si="4">IF(ISBLANK(S14),"-",S14-S13)</f>
        <v>4803</v>
      </c>
      <c r="U14" s="46">
        <f t="shared" ref="U14:U37" si="5">T14*24/1000</f>
        <v>115.27200000000001</v>
      </c>
      <c r="V14" s="46">
        <f t="shared" ref="V14:V37" si="6">T14/1000</f>
        <v>4.8029999999999999</v>
      </c>
      <c r="W14" s="96">
        <v>5.8</v>
      </c>
      <c r="X14" s="96">
        <f t="shared" si="1"/>
        <v>5.8</v>
      </c>
      <c r="Y14" s="97" t="s">
        <v>138</v>
      </c>
      <c r="Z14" s="158">
        <v>0</v>
      </c>
      <c r="AA14" s="158">
        <v>0</v>
      </c>
      <c r="AB14" s="158">
        <v>1187</v>
      </c>
      <c r="AC14" s="158">
        <v>0</v>
      </c>
      <c r="AD14" s="158">
        <v>1187</v>
      </c>
      <c r="AE14" s="158">
        <v>1185</v>
      </c>
      <c r="AF14" s="47" t="s">
        <v>90</v>
      </c>
      <c r="AG14" s="47" t="s">
        <v>90</v>
      </c>
      <c r="AH14" s="98" t="s">
        <v>90</v>
      </c>
      <c r="AI14" s="103">
        <v>16155719</v>
      </c>
      <c r="AJ14" s="45">
        <f t="shared" ref="AJ14:AJ36" si="7">IF(ISBLANK(AI14),"-",AI14-AI13)</f>
        <v>1131</v>
      </c>
      <c r="AK14" s="48">
        <f t="shared" ref="AK14:AK36" si="8">AJ14/V14</f>
        <v>235.47782635852593</v>
      </c>
      <c r="AL14" s="155">
        <v>0</v>
      </c>
      <c r="AM14" s="155">
        <v>0</v>
      </c>
      <c r="AN14" s="155">
        <v>1</v>
      </c>
      <c r="AO14" s="155">
        <v>0</v>
      </c>
      <c r="AP14" s="155">
        <v>1</v>
      </c>
      <c r="AQ14" s="155">
        <v>1</v>
      </c>
      <c r="AR14" s="155">
        <v>0.8</v>
      </c>
      <c r="AS14" s="158"/>
      <c r="AT14" s="158">
        <f t="shared" ref="AT14:AT35" si="9">AS14-AS13</f>
        <v>0</v>
      </c>
      <c r="AU14" s="119">
        <v>0.95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57">
        <v>43250</v>
      </c>
      <c r="B15" s="40">
        <v>2.0833333333333299</v>
      </c>
      <c r="C15" s="40">
        <v>0.125</v>
      </c>
      <c r="D15" s="156">
        <v>4</v>
      </c>
      <c r="E15" s="154">
        <f t="shared" si="2"/>
        <v>2.8169014084507045</v>
      </c>
      <c r="F15" s="154">
        <v>5</v>
      </c>
      <c r="G15" s="118">
        <v>69</v>
      </c>
      <c r="H15" s="154">
        <f t="shared" si="0"/>
        <v>48.591549295774648</v>
      </c>
      <c r="I15" s="154">
        <v>73</v>
      </c>
      <c r="J15" s="41" t="s">
        <v>88</v>
      </c>
      <c r="K15" s="41">
        <f t="shared" si="3"/>
        <v>43.661971830985919</v>
      </c>
      <c r="L15" s="42">
        <f>(G15-5)/1.42</f>
        <v>45.070422535211272</v>
      </c>
      <c r="M15" s="41">
        <f>L15+(6/1.42)</f>
        <v>49.295774647887328</v>
      </c>
      <c r="N15" s="43">
        <v>14</v>
      </c>
      <c r="O15" s="44" t="s">
        <v>89</v>
      </c>
      <c r="P15" s="44">
        <v>11.2</v>
      </c>
      <c r="Q15" s="157">
        <v>147</v>
      </c>
      <c r="R15" s="157"/>
      <c r="S15" s="157">
        <v>96187540</v>
      </c>
      <c r="T15" s="45">
        <f>IF(ISBLANK(S15),"-",S15-S14)</f>
        <v>4875</v>
      </c>
      <c r="U15" s="46">
        <f t="shared" si="5"/>
        <v>117</v>
      </c>
      <c r="V15" s="46">
        <f t="shared" si="6"/>
        <v>4.875</v>
      </c>
      <c r="W15" s="96">
        <v>7.5</v>
      </c>
      <c r="X15" s="96">
        <f t="shared" si="1"/>
        <v>7.5</v>
      </c>
      <c r="Y15" s="97" t="s">
        <v>138</v>
      </c>
      <c r="Z15" s="158">
        <v>0</v>
      </c>
      <c r="AA15" s="158">
        <v>0</v>
      </c>
      <c r="AB15" s="158">
        <v>1187</v>
      </c>
      <c r="AC15" s="158">
        <v>0</v>
      </c>
      <c r="AD15" s="158">
        <v>1187</v>
      </c>
      <c r="AE15" s="158">
        <v>1185</v>
      </c>
      <c r="AF15" s="47" t="s">
        <v>90</v>
      </c>
      <c r="AG15" s="47" t="s">
        <v>90</v>
      </c>
      <c r="AH15" s="98" t="s">
        <v>90</v>
      </c>
      <c r="AI15" s="103">
        <v>16156892</v>
      </c>
      <c r="AJ15" s="45">
        <f t="shared" si="7"/>
        <v>1173</v>
      </c>
      <c r="AK15" s="48">
        <f t="shared" si="8"/>
        <v>240.61538461538461</v>
      </c>
      <c r="AL15" s="155">
        <v>0</v>
      </c>
      <c r="AM15" s="155">
        <v>0</v>
      </c>
      <c r="AN15" s="155">
        <v>1</v>
      </c>
      <c r="AO15" s="155">
        <v>0</v>
      </c>
      <c r="AP15" s="155">
        <v>1</v>
      </c>
      <c r="AQ15" s="155">
        <v>1</v>
      </c>
      <c r="AR15" s="155">
        <v>0.8</v>
      </c>
      <c r="AS15" s="158"/>
      <c r="AT15" s="158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357">
        <v>43250</v>
      </c>
      <c r="B16" s="40">
        <v>2.125</v>
      </c>
      <c r="C16" s="40">
        <v>0.16666666666666699</v>
      </c>
      <c r="D16" s="156">
        <v>4</v>
      </c>
      <c r="E16" s="154">
        <f t="shared" si="2"/>
        <v>2.8169014084507045</v>
      </c>
      <c r="F16" s="154">
        <v>6</v>
      </c>
      <c r="G16" s="118">
        <v>69</v>
      </c>
      <c r="H16" s="154">
        <f t="shared" si="0"/>
        <v>48.591549295774648</v>
      </c>
      <c r="I16" s="154">
        <v>73</v>
      </c>
      <c r="J16" s="41" t="s">
        <v>88</v>
      </c>
      <c r="K16" s="41">
        <f t="shared" si="3"/>
        <v>43.661971830985919</v>
      </c>
      <c r="L16" s="42">
        <f>(G16-5)/1.42</f>
        <v>45.070422535211272</v>
      </c>
      <c r="M16" s="41">
        <f>L16+(6/1.42)</f>
        <v>49.295774647887328</v>
      </c>
      <c r="N16" s="43">
        <v>14</v>
      </c>
      <c r="O16" s="44" t="s">
        <v>89</v>
      </c>
      <c r="P16" s="44">
        <v>12.8</v>
      </c>
      <c r="Q16" s="157">
        <v>149</v>
      </c>
      <c r="R16" s="157"/>
      <c r="S16" s="157">
        <v>96192368</v>
      </c>
      <c r="T16" s="45">
        <f t="shared" si="4"/>
        <v>4828</v>
      </c>
      <c r="U16" s="46">
        <f t="shared" si="5"/>
        <v>115.872</v>
      </c>
      <c r="V16" s="46">
        <f t="shared" si="6"/>
        <v>4.8280000000000003</v>
      </c>
      <c r="W16" s="96">
        <v>9.1999999999999993</v>
      </c>
      <c r="X16" s="96">
        <f t="shared" si="1"/>
        <v>9.1999999999999993</v>
      </c>
      <c r="Y16" s="97" t="s">
        <v>138</v>
      </c>
      <c r="Z16" s="158">
        <v>0</v>
      </c>
      <c r="AA16" s="158">
        <v>0</v>
      </c>
      <c r="AB16" s="158">
        <v>1187</v>
      </c>
      <c r="AC16" s="158">
        <v>0</v>
      </c>
      <c r="AD16" s="158">
        <v>1187</v>
      </c>
      <c r="AE16" s="158">
        <v>1185</v>
      </c>
      <c r="AF16" s="47" t="s">
        <v>90</v>
      </c>
      <c r="AG16" s="47" t="s">
        <v>90</v>
      </c>
      <c r="AH16" s="98" t="s">
        <v>90</v>
      </c>
      <c r="AI16" s="103">
        <v>16158010</v>
      </c>
      <c r="AJ16" s="45">
        <f t="shared" si="7"/>
        <v>1118</v>
      </c>
      <c r="AK16" s="48">
        <f t="shared" si="8"/>
        <v>231.56586578293289</v>
      </c>
      <c r="AL16" s="155">
        <v>0</v>
      </c>
      <c r="AM16" s="155">
        <v>0</v>
      </c>
      <c r="AN16" s="155">
        <v>1</v>
      </c>
      <c r="AO16" s="155">
        <v>0</v>
      </c>
      <c r="AP16" s="155">
        <v>1</v>
      </c>
      <c r="AQ16" s="155">
        <v>1</v>
      </c>
      <c r="AR16" s="155">
        <v>0.8</v>
      </c>
      <c r="AS16" s="158"/>
      <c r="AT16" s="158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357">
        <v>43250</v>
      </c>
      <c r="B17" s="40">
        <v>2.1666666666666701</v>
      </c>
      <c r="C17" s="40">
        <v>0.20833333333333301</v>
      </c>
      <c r="D17" s="156">
        <v>4</v>
      </c>
      <c r="E17" s="154">
        <f t="shared" si="2"/>
        <v>2.8169014084507045</v>
      </c>
      <c r="F17" s="154">
        <v>7</v>
      </c>
      <c r="G17" s="118">
        <v>80</v>
      </c>
      <c r="H17" s="154">
        <f t="shared" si="0"/>
        <v>56.338028169014088</v>
      </c>
      <c r="I17" s="154">
        <v>78</v>
      </c>
      <c r="J17" s="41" t="s">
        <v>88</v>
      </c>
      <c r="K17" s="41">
        <f t="shared" si="3"/>
        <v>51.408450704225352</v>
      </c>
      <c r="L17" s="42">
        <f>(G17-5)/1.42</f>
        <v>52.816901408450704</v>
      </c>
      <c r="M17" s="41">
        <f>L17+(6/1.42)</f>
        <v>57.04225352112676</v>
      </c>
      <c r="N17" s="43">
        <v>18</v>
      </c>
      <c r="O17" s="44" t="s">
        <v>89</v>
      </c>
      <c r="P17" s="44">
        <v>13.1</v>
      </c>
      <c r="Q17" s="157">
        <v>127</v>
      </c>
      <c r="R17" s="157"/>
      <c r="S17" s="157">
        <v>96197973</v>
      </c>
      <c r="T17" s="45">
        <f t="shared" si="4"/>
        <v>5605</v>
      </c>
      <c r="U17" s="46">
        <f t="shared" si="5"/>
        <v>134.52000000000001</v>
      </c>
      <c r="V17" s="46">
        <f t="shared" si="6"/>
        <v>5.6050000000000004</v>
      </c>
      <c r="W17" s="96">
        <v>9.5</v>
      </c>
      <c r="X17" s="96">
        <f t="shared" si="1"/>
        <v>9.5</v>
      </c>
      <c r="Y17" s="97" t="s">
        <v>138</v>
      </c>
      <c r="Z17" s="158">
        <v>0</v>
      </c>
      <c r="AA17" s="158">
        <v>0</v>
      </c>
      <c r="AB17" s="158">
        <v>1187</v>
      </c>
      <c r="AC17" s="158">
        <v>0</v>
      </c>
      <c r="AD17" s="158">
        <v>1187</v>
      </c>
      <c r="AE17" s="158">
        <v>1185</v>
      </c>
      <c r="AF17" s="47" t="s">
        <v>90</v>
      </c>
      <c r="AG17" s="47" t="s">
        <v>90</v>
      </c>
      <c r="AH17" s="98" t="s">
        <v>90</v>
      </c>
      <c r="AI17" s="103">
        <v>16159096</v>
      </c>
      <c r="AJ17" s="45">
        <f t="shared" si="7"/>
        <v>1086</v>
      </c>
      <c r="AK17" s="48">
        <f t="shared" si="8"/>
        <v>193.75557537912576</v>
      </c>
      <c r="AL17" s="155">
        <v>0</v>
      </c>
      <c r="AM17" s="155">
        <v>0</v>
      </c>
      <c r="AN17" s="155">
        <v>1</v>
      </c>
      <c r="AO17" s="155">
        <v>0</v>
      </c>
      <c r="AP17" s="155">
        <v>1</v>
      </c>
      <c r="AQ17" s="155">
        <v>1</v>
      </c>
      <c r="AR17" s="155">
        <v>0</v>
      </c>
      <c r="AS17" s="158"/>
      <c r="AT17" s="158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57">
        <v>43250</v>
      </c>
      <c r="B18" s="40">
        <v>2.2083333333333299</v>
      </c>
      <c r="C18" s="40">
        <v>0.25</v>
      </c>
      <c r="D18" s="156">
        <v>4</v>
      </c>
      <c r="E18" s="154">
        <f t="shared" si="2"/>
        <v>2.8169014084507045</v>
      </c>
      <c r="F18" s="154">
        <v>7</v>
      </c>
      <c r="G18" s="118">
        <v>75</v>
      </c>
      <c r="H18" s="154">
        <f t="shared" si="0"/>
        <v>52.816901408450704</v>
      </c>
      <c r="I18" s="154">
        <v>76</v>
      </c>
      <c r="J18" s="41" t="s">
        <v>88</v>
      </c>
      <c r="K18" s="41">
        <f t="shared" si="3"/>
        <v>51.408450704225352</v>
      </c>
      <c r="L18" s="42">
        <f t="shared" ref="L18:L27" si="10">G18/1.42</f>
        <v>52.816901408450704</v>
      </c>
      <c r="M18" s="41">
        <f>L18+1.42</f>
        <v>54.236901408450706</v>
      </c>
      <c r="N18" s="43">
        <v>19</v>
      </c>
      <c r="O18" s="44" t="s">
        <v>100</v>
      </c>
      <c r="P18" s="44">
        <v>13.1</v>
      </c>
      <c r="Q18" s="157">
        <v>138</v>
      </c>
      <c r="R18" s="157"/>
      <c r="S18" s="157">
        <v>96202964</v>
      </c>
      <c r="T18" s="45">
        <f t="shared" si="4"/>
        <v>4991</v>
      </c>
      <c r="U18" s="46">
        <f t="shared" si="5"/>
        <v>119.78400000000001</v>
      </c>
      <c r="V18" s="46">
        <f t="shared" si="6"/>
        <v>4.9909999999999997</v>
      </c>
      <c r="W18" s="96">
        <v>9.5</v>
      </c>
      <c r="X18" s="96">
        <f t="shared" si="1"/>
        <v>9.5</v>
      </c>
      <c r="Y18" s="97" t="s">
        <v>138</v>
      </c>
      <c r="Z18" s="158">
        <v>0</v>
      </c>
      <c r="AA18" s="158">
        <v>0</v>
      </c>
      <c r="AB18" s="158">
        <v>1187</v>
      </c>
      <c r="AC18" s="158">
        <v>0</v>
      </c>
      <c r="AD18" s="158">
        <v>1187</v>
      </c>
      <c r="AE18" s="158">
        <v>1185</v>
      </c>
      <c r="AF18" s="47" t="s">
        <v>90</v>
      </c>
      <c r="AG18" s="47" t="s">
        <v>90</v>
      </c>
      <c r="AH18" s="98" t="s">
        <v>90</v>
      </c>
      <c r="AI18" s="103">
        <v>16160098</v>
      </c>
      <c r="AJ18" s="45">
        <f t="shared" si="7"/>
        <v>1002</v>
      </c>
      <c r="AK18" s="48">
        <f t="shared" si="8"/>
        <v>200.76137046684033</v>
      </c>
      <c r="AL18" s="155">
        <v>0</v>
      </c>
      <c r="AM18" s="155">
        <v>0</v>
      </c>
      <c r="AN18" s="155">
        <v>1</v>
      </c>
      <c r="AO18" s="155">
        <v>0</v>
      </c>
      <c r="AP18" s="155">
        <v>1</v>
      </c>
      <c r="AQ18" s="155">
        <v>1</v>
      </c>
      <c r="AR18" s="155">
        <v>0</v>
      </c>
      <c r="AS18" s="158"/>
      <c r="AT18" s="158">
        <f t="shared" si="9"/>
        <v>0</v>
      </c>
      <c r="AU18" s="119">
        <v>1.08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57">
        <v>43250</v>
      </c>
      <c r="B19" s="40">
        <v>2.25</v>
      </c>
      <c r="C19" s="40">
        <v>0.29166666666666669</v>
      </c>
      <c r="D19" s="156">
        <v>4</v>
      </c>
      <c r="E19" s="154">
        <f t="shared" si="2"/>
        <v>2.8169014084507045</v>
      </c>
      <c r="F19" s="154">
        <v>6</v>
      </c>
      <c r="G19" s="118">
        <v>77</v>
      </c>
      <c r="H19" s="154">
        <f t="shared" si="0"/>
        <v>54.225352112676056</v>
      </c>
      <c r="I19" s="154">
        <v>74</v>
      </c>
      <c r="J19" s="41" t="s">
        <v>88</v>
      </c>
      <c r="K19" s="41">
        <f t="shared" si="3"/>
        <v>52.816901408450704</v>
      </c>
      <c r="L19" s="42">
        <f t="shared" si="10"/>
        <v>54.225352112676056</v>
      </c>
      <c r="M19" s="41">
        <f>L19+1.42</f>
        <v>55.645352112676058</v>
      </c>
      <c r="N19" s="43">
        <v>19</v>
      </c>
      <c r="O19" s="44" t="s">
        <v>100</v>
      </c>
      <c r="P19" s="44">
        <v>16.7</v>
      </c>
      <c r="Q19" s="157">
        <v>130</v>
      </c>
      <c r="R19" s="157"/>
      <c r="S19" s="157">
        <v>96209445</v>
      </c>
      <c r="T19" s="45">
        <f t="shared" si="4"/>
        <v>6481</v>
      </c>
      <c r="U19" s="46">
        <f t="shared" si="5"/>
        <v>155.54400000000001</v>
      </c>
      <c r="V19" s="46">
        <f t="shared" si="6"/>
        <v>6.4809999999999999</v>
      </c>
      <c r="W19" s="96">
        <v>9.1</v>
      </c>
      <c r="X19" s="96">
        <f t="shared" si="1"/>
        <v>9.1</v>
      </c>
      <c r="Y19" s="97" t="s">
        <v>169</v>
      </c>
      <c r="Z19" s="158">
        <v>1027</v>
      </c>
      <c r="AA19" s="158">
        <v>0</v>
      </c>
      <c r="AB19" s="158">
        <v>1187</v>
      </c>
      <c r="AC19" s="158">
        <v>0</v>
      </c>
      <c r="AD19" s="158">
        <v>1187</v>
      </c>
      <c r="AE19" s="158">
        <v>1185</v>
      </c>
      <c r="AF19" s="47" t="s">
        <v>90</v>
      </c>
      <c r="AG19" s="47" t="s">
        <v>90</v>
      </c>
      <c r="AH19" s="98" t="s">
        <v>90</v>
      </c>
      <c r="AI19" s="103">
        <v>16161366</v>
      </c>
      <c r="AJ19" s="45">
        <f t="shared" si="7"/>
        <v>1268</v>
      </c>
      <c r="AK19" s="48">
        <f t="shared" si="8"/>
        <v>195.64881962660084</v>
      </c>
      <c r="AL19" s="155">
        <v>1</v>
      </c>
      <c r="AM19" s="155">
        <v>0</v>
      </c>
      <c r="AN19" s="155">
        <v>1</v>
      </c>
      <c r="AO19" s="155">
        <v>0</v>
      </c>
      <c r="AP19" s="155">
        <v>1</v>
      </c>
      <c r="AQ19" s="155">
        <v>1</v>
      </c>
      <c r="AR19" s="155">
        <v>0</v>
      </c>
      <c r="AS19" s="158"/>
      <c r="AT19" s="158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57">
        <v>43250</v>
      </c>
      <c r="B20" s="40">
        <v>2.2916666666666701</v>
      </c>
      <c r="C20" s="40">
        <v>0.33333333333333298</v>
      </c>
      <c r="D20" s="156">
        <v>4</v>
      </c>
      <c r="E20" s="154">
        <f t="shared" si="2"/>
        <v>2.8169014084507045</v>
      </c>
      <c r="F20" s="154">
        <v>5</v>
      </c>
      <c r="G20" s="118">
        <v>76</v>
      </c>
      <c r="H20" s="154">
        <f t="shared" si="0"/>
        <v>53.521126760563384</v>
      </c>
      <c r="I20" s="154">
        <v>75</v>
      </c>
      <c r="J20" s="41" t="s">
        <v>88</v>
      </c>
      <c r="K20" s="41">
        <f t="shared" si="3"/>
        <v>52.112676056338032</v>
      </c>
      <c r="L20" s="42">
        <f t="shared" si="10"/>
        <v>53.521126760563384</v>
      </c>
      <c r="M20" s="41">
        <f t="shared" ref="M20:M24" si="11">L20+1.42</f>
        <v>54.941126760563385</v>
      </c>
      <c r="N20" s="43">
        <v>19</v>
      </c>
      <c r="O20" s="44" t="s">
        <v>100</v>
      </c>
      <c r="P20" s="44">
        <v>17.3</v>
      </c>
      <c r="Q20" s="157">
        <v>129</v>
      </c>
      <c r="R20" s="157"/>
      <c r="S20" s="157">
        <v>96215270</v>
      </c>
      <c r="T20" s="45">
        <f t="shared" si="4"/>
        <v>5825</v>
      </c>
      <c r="U20" s="46">
        <f>T20*24/1000</f>
        <v>139.80000000000001</v>
      </c>
      <c r="V20" s="46">
        <f t="shared" si="6"/>
        <v>5.8250000000000002</v>
      </c>
      <c r="W20" s="96">
        <v>8.4</v>
      </c>
      <c r="X20" s="96">
        <f t="shared" si="1"/>
        <v>8.4</v>
      </c>
      <c r="Y20" s="97" t="s">
        <v>169</v>
      </c>
      <c r="Z20" s="158">
        <v>1028</v>
      </c>
      <c r="AA20" s="158">
        <v>0</v>
      </c>
      <c r="AB20" s="158">
        <v>1187</v>
      </c>
      <c r="AC20" s="158">
        <v>0</v>
      </c>
      <c r="AD20" s="158">
        <v>1187</v>
      </c>
      <c r="AE20" s="158">
        <v>1185</v>
      </c>
      <c r="AF20" s="47" t="s">
        <v>90</v>
      </c>
      <c r="AG20" s="47" t="s">
        <v>90</v>
      </c>
      <c r="AH20" s="98" t="s">
        <v>90</v>
      </c>
      <c r="AI20" s="103">
        <v>16162592</v>
      </c>
      <c r="AJ20" s="45">
        <f t="shared" si="7"/>
        <v>1226</v>
      </c>
      <c r="AK20" s="48">
        <f t="shared" si="8"/>
        <v>210.47210300429185</v>
      </c>
      <c r="AL20" s="155">
        <v>1</v>
      </c>
      <c r="AM20" s="155">
        <v>0</v>
      </c>
      <c r="AN20" s="155">
        <v>1</v>
      </c>
      <c r="AO20" s="155">
        <v>0</v>
      </c>
      <c r="AP20" s="155">
        <v>1</v>
      </c>
      <c r="AQ20" s="155">
        <v>1</v>
      </c>
      <c r="AR20" s="155">
        <v>0</v>
      </c>
      <c r="AS20" s="158"/>
      <c r="AT20" s="158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357">
        <v>43250</v>
      </c>
      <c r="B21" s="40">
        <v>2.3333333333333299</v>
      </c>
      <c r="C21" s="40">
        <v>0.375</v>
      </c>
      <c r="D21" s="156">
        <v>4</v>
      </c>
      <c r="E21" s="154">
        <f t="shared" si="2"/>
        <v>2.8169014084507045</v>
      </c>
      <c r="F21" s="154">
        <v>4</v>
      </c>
      <c r="G21" s="118">
        <v>76</v>
      </c>
      <c r="H21" s="154">
        <f t="shared" si="0"/>
        <v>53.521126760563384</v>
      </c>
      <c r="I21" s="154">
        <v>72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7">
        <v>130</v>
      </c>
      <c r="R21" s="157"/>
      <c r="S21" s="157">
        <v>96220260</v>
      </c>
      <c r="T21" s="45">
        <f t="shared" si="4"/>
        <v>4990</v>
      </c>
      <c r="U21" s="46">
        <f t="shared" si="5"/>
        <v>119.76</v>
      </c>
      <c r="V21" s="46">
        <f t="shared" si="6"/>
        <v>4.99</v>
      </c>
      <c r="W21" s="96">
        <v>7.8</v>
      </c>
      <c r="X21" s="96">
        <f t="shared" si="1"/>
        <v>7.8</v>
      </c>
      <c r="Y21" s="97" t="s">
        <v>169</v>
      </c>
      <c r="Z21" s="158">
        <v>1027</v>
      </c>
      <c r="AA21" s="158">
        <v>0</v>
      </c>
      <c r="AB21" s="158">
        <v>1187</v>
      </c>
      <c r="AC21" s="158">
        <v>0</v>
      </c>
      <c r="AD21" s="158">
        <v>1187</v>
      </c>
      <c r="AE21" s="158">
        <v>1185</v>
      </c>
      <c r="AF21" s="47" t="s">
        <v>90</v>
      </c>
      <c r="AG21" s="47" t="s">
        <v>90</v>
      </c>
      <c r="AH21" s="98" t="s">
        <v>90</v>
      </c>
      <c r="AI21" s="103">
        <v>16163775</v>
      </c>
      <c r="AJ21" s="45">
        <f t="shared" si="7"/>
        <v>1183</v>
      </c>
      <c r="AK21" s="48">
        <f t="shared" si="8"/>
        <v>237.07414829659317</v>
      </c>
      <c r="AL21" s="155">
        <v>1</v>
      </c>
      <c r="AM21" s="155">
        <v>0</v>
      </c>
      <c r="AN21" s="155">
        <v>1</v>
      </c>
      <c r="AO21" s="155">
        <v>0</v>
      </c>
      <c r="AP21" s="155">
        <v>1</v>
      </c>
      <c r="AQ21" s="155">
        <v>1</v>
      </c>
      <c r="AR21" s="155">
        <v>0</v>
      </c>
      <c r="AS21" s="158"/>
      <c r="AT21" s="158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205</v>
      </c>
    </row>
    <row r="22" spans="1:54" x14ac:dyDescent="0.35">
      <c r="A22" s="357">
        <v>43250</v>
      </c>
      <c r="B22" s="40">
        <v>2.375</v>
      </c>
      <c r="C22" s="40">
        <v>0.41666666666666669</v>
      </c>
      <c r="D22" s="156">
        <v>4</v>
      </c>
      <c r="E22" s="154">
        <f t="shared" si="2"/>
        <v>2.8169014084507045</v>
      </c>
      <c r="F22" s="154">
        <v>3</v>
      </c>
      <c r="G22" s="118">
        <v>76</v>
      </c>
      <c r="H22" s="154">
        <f t="shared" si="0"/>
        <v>53.521126760563384</v>
      </c>
      <c r="I22" s="154">
        <v>73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7">
        <v>132</v>
      </c>
      <c r="R22" s="157"/>
      <c r="S22" s="157">
        <v>96224889</v>
      </c>
      <c r="T22" s="45">
        <f t="shared" si="4"/>
        <v>4629</v>
      </c>
      <c r="U22" s="46">
        <f t="shared" si="5"/>
        <v>111.096</v>
      </c>
      <c r="V22" s="46">
        <f t="shared" si="6"/>
        <v>4.6289999999999996</v>
      </c>
      <c r="W22" s="96">
        <v>7.2</v>
      </c>
      <c r="X22" s="96">
        <f t="shared" si="1"/>
        <v>7.2</v>
      </c>
      <c r="Y22" s="97" t="s">
        <v>169</v>
      </c>
      <c r="Z22" s="158">
        <v>1026</v>
      </c>
      <c r="AA22" s="158">
        <v>0</v>
      </c>
      <c r="AB22" s="158">
        <v>1187</v>
      </c>
      <c r="AC22" s="158">
        <v>0</v>
      </c>
      <c r="AD22" s="158">
        <v>1187</v>
      </c>
      <c r="AE22" s="158">
        <v>1185</v>
      </c>
      <c r="AF22" s="47" t="s">
        <v>90</v>
      </c>
      <c r="AG22" s="47" t="s">
        <v>90</v>
      </c>
      <c r="AH22" s="98" t="s">
        <v>90</v>
      </c>
      <c r="AI22" s="103">
        <v>16164958</v>
      </c>
      <c r="AJ22" s="45">
        <f t="shared" si="7"/>
        <v>1183</v>
      </c>
      <c r="AK22" s="48">
        <f t="shared" si="8"/>
        <v>255.56275653488876</v>
      </c>
      <c r="AL22" s="155">
        <v>1</v>
      </c>
      <c r="AM22" s="155">
        <v>0</v>
      </c>
      <c r="AN22" s="155">
        <v>1</v>
      </c>
      <c r="AO22" s="155">
        <v>0</v>
      </c>
      <c r="AP22" s="155">
        <v>1</v>
      </c>
      <c r="AQ22" s="155">
        <v>1</v>
      </c>
      <c r="AR22" s="155">
        <v>0</v>
      </c>
      <c r="AS22" s="158"/>
      <c r="AT22" s="158">
        <f t="shared" si="9"/>
        <v>0</v>
      </c>
      <c r="AU22" s="119">
        <v>1.1000000000000001</v>
      </c>
      <c r="AV22" s="50" t="s">
        <v>125</v>
      </c>
      <c r="BB22" s="136" t="s">
        <v>157</v>
      </c>
    </row>
    <row r="23" spans="1:54" x14ac:dyDescent="0.35">
      <c r="A23" s="357">
        <v>43250</v>
      </c>
      <c r="B23" s="40">
        <v>2.4166666666666701</v>
      </c>
      <c r="C23" s="40">
        <v>0.45833333333333298</v>
      </c>
      <c r="D23" s="156">
        <v>4</v>
      </c>
      <c r="E23" s="154">
        <f t="shared" si="2"/>
        <v>2.8169014084507045</v>
      </c>
      <c r="F23" s="154">
        <v>2</v>
      </c>
      <c r="G23" s="118">
        <v>75</v>
      </c>
      <c r="H23" s="154">
        <f t="shared" si="0"/>
        <v>52.816901408450704</v>
      </c>
      <c r="I23" s="154">
        <v>70</v>
      </c>
      <c r="J23" s="41" t="s">
        <v>88</v>
      </c>
      <c r="K23" s="41">
        <f t="shared" si="3"/>
        <v>51.408450704225352</v>
      </c>
      <c r="L23" s="42">
        <f t="shared" si="10"/>
        <v>52.816901408450704</v>
      </c>
      <c r="M23" s="41">
        <f t="shared" si="11"/>
        <v>54.236901408450706</v>
      </c>
      <c r="N23" s="43">
        <v>19</v>
      </c>
      <c r="O23" s="44" t="s">
        <v>100</v>
      </c>
      <c r="P23" s="44">
        <v>17.7</v>
      </c>
      <c r="Q23" s="157">
        <v>131</v>
      </c>
      <c r="R23" s="157"/>
      <c r="S23" s="157">
        <v>96227910</v>
      </c>
      <c r="T23" s="45">
        <f t="shared" si="4"/>
        <v>3021</v>
      </c>
      <c r="U23" s="46">
        <f t="shared" si="5"/>
        <v>72.504000000000005</v>
      </c>
      <c r="V23" s="46">
        <f t="shared" si="6"/>
        <v>3.0209999999999999</v>
      </c>
      <c r="W23" s="96">
        <v>6.6</v>
      </c>
      <c r="X23" s="96">
        <f>W23</f>
        <v>6.6</v>
      </c>
      <c r="Y23" s="97" t="s">
        <v>169</v>
      </c>
      <c r="Z23" s="158">
        <v>1026</v>
      </c>
      <c r="AA23" s="158">
        <v>0</v>
      </c>
      <c r="AB23" s="158">
        <v>1187</v>
      </c>
      <c r="AC23" s="158">
        <v>0</v>
      </c>
      <c r="AD23" s="158">
        <v>1187</v>
      </c>
      <c r="AE23" s="158">
        <v>1185</v>
      </c>
      <c r="AF23" s="47" t="s">
        <v>90</v>
      </c>
      <c r="AG23" s="47" t="s">
        <v>90</v>
      </c>
      <c r="AH23" s="98" t="s">
        <v>90</v>
      </c>
      <c r="AI23" s="103">
        <v>16166188</v>
      </c>
      <c r="AJ23" s="45">
        <f t="shared" si="7"/>
        <v>1230</v>
      </c>
      <c r="AK23" s="48">
        <f t="shared" si="8"/>
        <v>407.14995034756703</v>
      </c>
      <c r="AL23" s="155">
        <v>1</v>
      </c>
      <c r="AM23" s="155">
        <v>0</v>
      </c>
      <c r="AN23" s="155">
        <v>1</v>
      </c>
      <c r="AO23" s="155">
        <v>0</v>
      </c>
      <c r="AP23" s="155">
        <v>1</v>
      </c>
      <c r="AQ23" s="155">
        <v>1</v>
      </c>
      <c r="AR23" s="155">
        <v>0</v>
      </c>
      <c r="AS23" s="158"/>
      <c r="AT23" s="158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357">
        <v>43250</v>
      </c>
      <c r="B24" s="40">
        <v>2.4583333333333299</v>
      </c>
      <c r="C24" s="40">
        <v>0.5</v>
      </c>
      <c r="D24" s="156">
        <v>4</v>
      </c>
      <c r="E24" s="154">
        <f t="shared" si="2"/>
        <v>2.8169014084507045</v>
      </c>
      <c r="F24" s="154">
        <v>1</v>
      </c>
      <c r="G24" s="118">
        <v>74</v>
      </c>
      <c r="H24" s="154">
        <f t="shared" si="0"/>
        <v>52.112676056338032</v>
      </c>
      <c r="I24" s="154">
        <v>71</v>
      </c>
      <c r="J24" s="41" t="s">
        <v>88</v>
      </c>
      <c r="K24" s="41">
        <f t="shared" si="3"/>
        <v>50.70422535211268</v>
      </c>
      <c r="L24" s="42">
        <f t="shared" si="10"/>
        <v>52.112676056338032</v>
      </c>
      <c r="M24" s="41">
        <f t="shared" si="11"/>
        <v>53.532676056338033</v>
      </c>
      <c r="N24" s="43">
        <v>19</v>
      </c>
      <c r="O24" s="44" t="s">
        <v>100</v>
      </c>
      <c r="P24" s="44">
        <v>17.3</v>
      </c>
      <c r="Q24" s="157">
        <v>128</v>
      </c>
      <c r="R24" s="157"/>
      <c r="S24" s="157">
        <v>96231585</v>
      </c>
      <c r="T24" s="45">
        <f t="shared" si="4"/>
        <v>3675</v>
      </c>
      <c r="U24" s="46">
        <f>T24*24/1000</f>
        <v>88.2</v>
      </c>
      <c r="V24" s="46">
        <f t="shared" si="6"/>
        <v>3.6749999999999998</v>
      </c>
      <c r="W24" s="96">
        <v>6</v>
      </c>
      <c r="X24" s="96">
        <f t="shared" si="1"/>
        <v>6</v>
      </c>
      <c r="Y24" s="97" t="s">
        <v>169</v>
      </c>
      <c r="Z24" s="158">
        <v>1025</v>
      </c>
      <c r="AA24" s="158">
        <v>0</v>
      </c>
      <c r="AB24" s="158">
        <v>1187</v>
      </c>
      <c r="AC24" s="158">
        <v>0</v>
      </c>
      <c r="AD24" s="158">
        <v>1187</v>
      </c>
      <c r="AE24" s="158">
        <v>1185</v>
      </c>
      <c r="AF24" s="47" t="s">
        <v>90</v>
      </c>
      <c r="AG24" s="47" t="s">
        <v>90</v>
      </c>
      <c r="AH24" s="98" t="s">
        <v>90</v>
      </c>
      <c r="AI24" s="103">
        <v>16167394</v>
      </c>
      <c r="AJ24" s="45">
        <f t="shared" si="7"/>
        <v>1206</v>
      </c>
      <c r="AK24" s="48">
        <f t="shared" si="8"/>
        <v>328.16326530612247</v>
      </c>
      <c r="AL24" s="155">
        <v>1</v>
      </c>
      <c r="AM24" s="155">
        <v>0</v>
      </c>
      <c r="AN24" s="155">
        <v>1</v>
      </c>
      <c r="AO24" s="155">
        <v>0</v>
      </c>
      <c r="AP24" s="155">
        <v>1</v>
      </c>
      <c r="AQ24" s="155">
        <v>1</v>
      </c>
      <c r="AR24" s="155">
        <v>0</v>
      </c>
      <c r="AS24" s="158"/>
      <c r="AT24" s="158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357">
        <v>43250</v>
      </c>
      <c r="B25" s="40">
        <v>2.5</v>
      </c>
      <c r="C25" s="40">
        <v>0.54166666666666696</v>
      </c>
      <c r="D25" s="156">
        <v>4</v>
      </c>
      <c r="E25" s="154">
        <f t="shared" si="2"/>
        <v>2.8169014084507045</v>
      </c>
      <c r="F25" s="154">
        <v>0</v>
      </c>
      <c r="G25" s="118">
        <v>75</v>
      </c>
      <c r="H25" s="154">
        <f t="shared" si="0"/>
        <v>52.816901408450704</v>
      </c>
      <c r="I25" s="154">
        <v>72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7">
        <v>128</v>
      </c>
      <c r="R25" s="157"/>
      <c r="S25" s="157">
        <v>96235549</v>
      </c>
      <c r="T25" s="45">
        <f t="shared" si="4"/>
        <v>3964</v>
      </c>
      <c r="U25" s="46">
        <f>T25*24/1000</f>
        <v>95.135999999999996</v>
      </c>
      <c r="V25" s="46">
        <f t="shared" si="6"/>
        <v>3.964</v>
      </c>
      <c r="W25" s="96">
        <v>5.5</v>
      </c>
      <c r="X25" s="96">
        <f t="shared" si="1"/>
        <v>5.5</v>
      </c>
      <c r="Y25" s="97" t="s">
        <v>169</v>
      </c>
      <c r="Z25" s="158">
        <v>1026</v>
      </c>
      <c r="AA25" s="158">
        <v>0</v>
      </c>
      <c r="AB25" s="158">
        <v>1187</v>
      </c>
      <c r="AC25" s="158">
        <v>0</v>
      </c>
      <c r="AD25" s="158">
        <v>1187</v>
      </c>
      <c r="AE25" s="158">
        <v>1185</v>
      </c>
      <c r="AF25" s="47" t="s">
        <v>90</v>
      </c>
      <c r="AG25" s="47" t="s">
        <v>90</v>
      </c>
      <c r="AH25" s="98" t="s">
        <v>90</v>
      </c>
      <c r="AI25" s="103">
        <v>16168533</v>
      </c>
      <c r="AJ25" s="45">
        <f t="shared" si="7"/>
        <v>1139</v>
      </c>
      <c r="AK25" s="48">
        <f t="shared" si="8"/>
        <v>287.33602421796166</v>
      </c>
      <c r="AL25" s="155">
        <v>1</v>
      </c>
      <c r="AM25" s="155">
        <v>0</v>
      </c>
      <c r="AN25" s="155">
        <v>1</v>
      </c>
      <c r="AO25" s="155">
        <v>0</v>
      </c>
      <c r="AP25" s="155">
        <v>1</v>
      </c>
      <c r="AQ25" s="155">
        <v>1</v>
      </c>
      <c r="AR25" s="155">
        <v>0</v>
      </c>
      <c r="AS25" s="158"/>
      <c r="AT25" s="158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57">
        <v>43250</v>
      </c>
      <c r="B26" s="40">
        <v>2.5416666666666701</v>
      </c>
      <c r="C26" s="40">
        <v>0.58333333333333404</v>
      </c>
      <c r="D26" s="156">
        <v>4</v>
      </c>
      <c r="E26" s="154">
        <f t="shared" si="2"/>
        <v>2.8169014084507045</v>
      </c>
      <c r="F26" s="154">
        <v>-1</v>
      </c>
      <c r="G26" s="118">
        <v>76</v>
      </c>
      <c r="H26" s="154">
        <f t="shared" si="0"/>
        <v>53.521126760563384</v>
      </c>
      <c r="I26" s="154">
        <v>74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7">
        <v>128</v>
      </c>
      <c r="R26" s="157"/>
      <c r="S26" s="157">
        <v>96240130</v>
      </c>
      <c r="T26" s="45">
        <f t="shared" si="4"/>
        <v>4581</v>
      </c>
      <c r="U26" s="46">
        <f t="shared" si="5"/>
        <v>109.944</v>
      </c>
      <c r="V26" s="46">
        <f t="shared" si="6"/>
        <v>4.5810000000000004</v>
      </c>
      <c r="W26" s="96">
        <v>4.9000000000000004</v>
      </c>
      <c r="X26" s="96">
        <f t="shared" si="1"/>
        <v>4.9000000000000004</v>
      </c>
      <c r="Y26" s="97" t="s">
        <v>169</v>
      </c>
      <c r="Z26" s="158">
        <v>1025</v>
      </c>
      <c r="AA26" s="158">
        <v>0</v>
      </c>
      <c r="AB26" s="158">
        <v>1187</v>
      </c>
      <c r="AC26" s="158">
        <v>0</v>
      </c>
      <c r="AD26" s="158">
        <v>1187</v>
      </c>
      <c r="AE26" s="158">
        <v>1185</v>
      </c>
      <c r="AF26" s="47" t="s">
        <v>90</v>
      </c>
      <c r="AG26" s="47" t="s">
        <v>90</v>
      </c>
      <c r="AH26" s="98" t="s">
        <v>90</v>
      </c>
      <c r="AI26" s="103">
        <v>16169912</v>
      </c>
      <c r="AJ26" s="45">
        <f t="shared" si="7"/>
        <v>1379</v>
      </c>
      <c r="AK26" s="48">
        <f t="shared" si="8"/>
        <v>301.02597686094737</v>
      </c>
      <c r="AL26" s="155">
        <v>1</v>
      </c>
      <c r="AM26" s="155">
        <v>0</v>
      </c>
      <c r="AN26" s="155">
        <v>1</v>
      </c>
      <c r="AO26" s="155">
        <v>0</v>
      </c>
      <c r="AP26" s="155">
        <v>1</v>
      </c>
      <c r="AQ26" s="155">
        <v>1</v>
      </c>
      <c r="AR26" s="155">
        <v>0</v>
      </c>
      <c r="AS26" s="158"/>
      <c r="AT26" s="158">
        <f t="shared" si="9"/>
        <v>0</v>
      </c>
      <c r="AU26" s="119">
        <v>1.05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57">
        <v>43250</v>
      </c>
      <c r="B27" s="40">
        <v>2.5833333333333299</v>
      </c>
      <c r="C27" s="40">
        <v>0.625</v>
      </c>
      <c r="D27" s="156">
        <v>4</v>
      </c>
      <c r="E27" s="154">
        <f t="shared" si="2"/>
        <v>2.8169014084507045</v>
      </c>
      <c r="F27" s="154">
        <v>-1</v>
      </c>
      <c r="G27" s="118">
        <v>76</v>
      </c>
      <c r="H27" s="154">
        <f t="shared" si="0"/>
        <v>53.521126760563384</v>
      </c>
      <c r="I27" s="154">
        <v>74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7">
        <v>132</v>
      </c>
      <c r="R27" s="157"/>
      <c r="S27" s="157">
        <v>96247043</v>
      </c>
      <c r="T27" s="45">
        <f t="shared" si="4"/>
        <v>6913</v>
      </c>
      <c r="U27" s="46">
        <f t="shared" si="5"/>
        <v>165.91200000000001</v>
      </c>
      <c r="V27" s="46">
        <f t="shared" si="6"/>
        <v>6.9130000000000003</v>
      </c>
      <c r="W27" s="96">
        <v>4.5999999999999996</v>
      </c>
      <c r="X27" s="96">
        <f t="shared" si="1"/>
        <v>4.5999999999999996</v>
      </c>
      <c r="Y27" s="97" t="s">
        <v>169</v>
      </c>
      <c r="Z27" s="158">
        <v>1006</v>
      </c>
      <c r="AA27" s="158">
        <v>0</v>
      </c>
      <c r="AB27" s="158">
        <v>1187</v>
      </c>
      <c r="AC27" s="158">
        <v>0</v>
      </c>
      <c r="AD27" s="158">
        <v>1187</v>
      </c>
      <c r="AE27" s="158">
        <v>1185</v>
      </c>
      <c r="AF27" s="47" t="s">
        <v>90</v>
      </c>
      <c r="AG27" s="47" t="s">
        <v>90</v>
      </c>
      <c r="AH27" s="98" t="s">
        <v>90</v>
      </c>
      <c r="AI27" s="103">
        <v>16170915</v>
      </c>
      <c r="AJ27" s="45">
        <f t="shared" si="7"/>
        <v>1003</v>
      </c>
      <c r="AK27" s="48">
        <f t="shared" si="8"/>
        <v>145.08896282366555</v>
      </c>
      <c r="AL27" s="155">
        <v>1</v>
      </c>
      <c r="AM27" s="155">
        <v>0</v>
      </c>
      <c r="AN27" s="155">
        <v>1</v>
      </c>
      <c r="AO27" s="155">
        <v>0</v>
      </c>
      <c r="AP27" s="155">
        <v>1</v>
      </c>
      <c r="AQ27" s="155">
        <v>1</v>
      </c>
      <c r="AR27" s="155">
        <v>0</v>
      </c>
      <c r="AS27" s="158"/>
      <c r="AT27" s="158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57">
        <v>43250</v>
      </c>
      <c r="B28" s="40">
        <v>2.625</v>
      </c>
      <c r="C28" s="40">
        <v>0.66666666666666696</v>
      </c>
      <c r="D28" s="156">
        <v>4</v>
      </c>
      <c r="E28" s="154">
        <f t="shared" si="2"/>
        <v>2.8169014084507045</v>
      </c>
      <c r="F28" s="154">
        <v>-1</v>
      </c>
      <c r="G28" s="118">
        <v>75</v>
      </c>
      <c r="H28" s="154">
        <f t="shared" si="0"/>
        <v>52.816901408450704</v>
      </c>
      <c r="I28" s="154">
        <v>72</v>
      </c>
      <c r="J28" s="41" t="s">
        <v>88</v>
      </c>
      <c r="K28" s="41">
        <f t="shared" si="3"/>
        <v>49.295774647887328</v>
      </c>
      <c r="L28" s="42">
        <f>(G28-3)/1.42</f>
        <v>50.70422535211268</v>
      </c>
      <c r="M28" s="41">
        <f t="shared" si="12"/>
        <v>54.929577464788736</v>
      </c>
      <c r="N28" s="43">
        <v>18</v>
      </c>
      <c r="O28" s="44" t="s">
        <v>100</v>
      </c>
      <c r="P28" s="44">
        <v>16.7</v>
      </c>
      <c r="Q28" s="157">
        <v>135</v>
      </c>
      <c r="R28" s="157"/>
      <c r="S28" s="157">
        <v>96252605</v>
      </c>
      <c r="T28" s="45">
        <f t="shared" si="4"/>
        <v>5562</v>
      </c>
      <c r="U28" s="46">
        <f t="shared" si="5"/>
        <v>133.488</v>
      </c>
      <c r="V28" s="46">
        <f t="shared" si="6"/>
        <v>5.5620000000000003</v>
      </c>
      <c r="W28" s="96">
        <v>4.2</v>
      </c>
      <c r="X28" s="96">
        <f t="shared" si="1"/>
        <v>4.2</v>
      </c>
      <c r="Y28" s="97" t="s">
        <v>169</v>
      </c>
      <c r="Z28" s="158">
        <v>1005</v>
      </c>
      <c r="AA28" s="158">
        <v>0</v>
      </c>
      <c r="AB28" s="158">
        <v>1187</v>
      </c>
      <c r="AC28" s="158">
        <v>0</v>
      </c>
      <c r="AD28" s="158">
        <v>1187</v>
      </c>
      <c r="AE28" s="158">
        <v>1185</v>
      </c>
      <c r="AF28" s="47" t="s">
        <v>90</v>
      </c>
      <c r="AG28" s="47" t="s">
        <v>90</v>
      </c>
      <c r="AH28" s="98" t="s">
        <v>90</v>
      </c>
      <c r="AI28" s="103">
        <v>16172094</v>
      </c>
      <c r="AJ28" s="45">
        <f>IF(ISBLANK(AI28),"-",AI28-AI27)</f>
        <v>1179</v>
      </c>
      <c r="AK28" s="48">
        <f t="shared" si="8"/>
        <v>211.97411003236246</v>
      </c>
      <c r="AL28" s="155">
        <v>1</v>
      </c>
      <c r="AM28" s="155">
        <v>0</v>
      </c>
      <c r="AN28" s="155">
        <v>1</v>
      </c>
      <c r="AO28" s="155">
        <v>0</v>
      </c>
      <c r="AP28" s="155">
        <v>1</v>
      </c>
      <c r="AQ28" s="155">
        <v>1</v>
      </c>
      <c r="AR28" s="155">
        <v>0</v>
      </c>
      <c r="AS28" s="158"/>
      <c r="AT28" s="158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357">
        <v>43250</v>
      </c>
      <c r="B29" s="40">
        <v>2.6666666666666701</v>
      </c>
      <c r="C29" s="40">
        <v>0.70833333333333404</v>
      </c>
      <c r="D29" s="156">
        <v>4</v>
      </c>
      <c r="E29" s="154">
        <f t="shared" si="2"/>
        <v>2.8169014084507045</v>
      </c>
      <c r="F29" s="154">
        <v>-3</v>
      </c>
      <c r="G29" s="118">
        <v>75</v>
      </c>
      <c r="H29" s="154">
        <f t="shared" si="0"/>
        <v>52.816901408450704</v>
      </c>
      <c r="I29" s="154">
        <v>72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7">
        <v>131</v>
      </c>
      <c r="R29" s="157"/>
      <c r="S29" s="157">
        <v>96258255</v>
      </c>
      <c r="T29" s="45">
        <f t="shared" si="4"/>
        <v>5650</v>
      </c>
      <c r="U29" s="46">
        <f t="shared" si="5"/>
        <v>135.6</v>
      </c>
      <c r="V29" s="46">
        <f t="shared" si="6"/>
        <v>5.65</v>
      </c>
      <c r="W29" s="96">
        <v>3.8</v>
      </c>
      <c r="X29" s="96">
        <f t="shared" si="1"/>
        <v>3.8</v>
      </c>
      <c r="Y29" s="97" t="s">
        <v>169</v>
      </c>
      <c r="Z29" s="158">
        <v>1007</v>
      </c>
      <c r="AA29" s="158">
        <v>0</v>
      </c>
      <c r="AB29" s="158">
        <v>1187</v>
      </c>
      <c r="AC29" s="158">
        <v>0</v>
      </c>
      <c r="AD29" s="158">
        <v>1187</v>
      </c>
      <c r="AE29" s="158">
        <v>1185</v>
      </c>
      <c r="AF29" s="47" t="s">
        <v>90</v>
      </c>
      <c r="AG29" s="47" t="s">
        <v>90</v>
      </c>
      <c r="AH29" s="98" t="s">
        <v>90</v>
      </c>
      <c r="AI29" s="103">
        <v>16173255</v>
      </c>
      <c r="AJ29" s="45">
        <f t="shared" si="7"/>
        <v>1161</v>
      </c>
      <c r="AK29" s="48">
        <f>AJ28/V29</f>
        <v>208.6725663716814</v>
      </c>
      <c r="AL29" s="155">
        <v>1</v>
      </c>
      <c r="AM29" s="155">
        <v>0</v>
      </c>
      <c r="AN29" s="155">
        <v>1</v>
      </c>
      <c r="AO29" s="155">
        <v>0</v>
      </c>
      <c r="AP29" s="155">
        <v>1</v>
      </c>
      <c r="AQ29" s="155">
        <v>1</v>
      </c>
      <c r="AR29" s="155">
        <v>0</v>
      </c>
      <c r="AS29" s="158"/>
      <c r="AT29" s="158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357">
        <v>43250</v>
      </c>
      <c r="B30" s="40">
        <v>2.7083333333333299</v>
      </c>
      <c r="C30" s="40">
        <v>0.750000000000002</v>
      </c>
      <c r="D30" s="156">
        <v>4</v>
      </c>
      <c r="E30" s="154">
        <f t="shared" si="2"/>
        <v>2.8169014084507045</v>
      </c>
      <c r="F30" s="154">
        <v>-5</v>
      </c>
      <c r="G30" s="118">
        <v>75</v>
      </c>
      <c r="H30" s="154">
        <f t="shared" si="0"/>
        <v>52.816901408450704</v>
      </c>
      <c r="I30" s="154">
        <v>72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7">
        <v>132</v>
      </c>
      <c r="R30" s="157"/>
      <c r="S30" s="157">
        <v>96264132</v>
      </c>
      <c r="T30" s="45">
        <f t="shared" si="4"/>
        <v>5877</v>
      </c>
      <c r="U30" s="46">
        <f t="shared" si="5"/>
        <v>141.048</v>
      </c>
      <c r="V30" s="46">
        <f t="shared" si="6"/>
        <v>5.8769999999999998</v>
      </c>
      <c r="W30" s="96">
        <v>3.4</v>
      </c>
      <c r="X30" s="96">
        <f t="shared" si="1"/>
        <v>3.4</v>
      </c>
      <c r="Y30" s="97" t="s">
        <v>169</v>
      </c>
      <c r="Z30" s="158">
        <v>1007</v>
      </c>
      <c r="AA30" s="158">
        <v>0</v>
      </c>
      <c r="AB30" s="158">
        <v>1187</v>
      </c>
      <c r="AC30" s="158">
        <v>0</v>
      </c>
      <c r="AD30" s="158">
        <v>1187</v>
      </c>
      <c r="AE30" s="158">
        <v>1185</v>
      </c>
      <c r="AF30" s="47" t="s">
        <v>90</v>
      </c>
      <c r="AG30" s="47" t="s">
        <v>90</v>
      </c>
      <c r="AH30" s="98" t="s">
        <v>90</v>
      </c>
      <c r="AI30" s="103">
        <v>16174432</v>
      </c>
      <c r="AJ30" s="45">
        <f t="shared" si="7"/>
        <v>1177</v>
      </c>
      <c r="AK30" s="48">
        <f>AJ29/V30</f>
        <v>197.54977029096477</v>
      </c>
      <c r="AL30" s="155">
        <v>1</v>
      </c>
      <c r="AM30" s="155">
        <v>0</v>
      </c>
      <c r="AN30" s="155">
        <v>1</v>
      </c>
      <c r="AO30" s="155">
        <v>0</v>
      </c>
      <c r="AP30" s="155">
        <v>1</v>
      </c>
      <c r="AQ30" s="155">
        <v>1</v>
      </c>
      <c r="AR30" s="155">
        <v>0</v>
      </c>
      <c r="AS30" s="158"/>
      <c r="AT30" s="158">
        <f t="shared" si="9"/>
        <v>0</v>
      </c>
      <c r="AU30" s="159">
        <v>0.88</v>
      </c>
      <c r="AV30" s="50" t="s">
        <v>124</v>
      </c>
      <c r="AY30" s="55" t="s">
        <v>114</v>
      </c>
      <c r="AZ30" s="55">
        <v>101.325</v>
      </c>
      <c r="BB30" s="74" t="s">
        <v>271</v>
      </c>
    </row>
    <row r="31" spans="1:54" x14ac:dyDescent="0.35">
      <c r="A31" s="357">
        <v>43250</v>
      </c>
      <c r="B31" s="40">
        <v>2.75</v>
      </c>
      <c r="C31" s="40">
        <v>0.79166666666666896</v>
      </c>
      <c r="D31" s="156">
        <v>4</v>
      </c>
      <c r="E31" s="154">
        <f t="shared" si="2"/>
        <v>2.8169014084507045</v>
      </c>
      <c r="F31" s="154">
        <v>-5</v>
      </c>
      <c r="G31" s="118">
        <v>74</v>
      </c>
      <c r="H31" s="154">
        <f t="shared" si="0"/>
        <v>52.112676056338032</v>
      </c>
      <c r="I31" s="154">
        <v>70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7">
        <v>131</v>
      </c>
      <c r="R31" s="157"/>
      <c r="S31" s="157">
        <v>96269853</v>
      </c>
      <c r="T31" s="45">
        <f t="shared" si="4"/>
        <v>5721</v>
      </c>
      <c r="U31" s="46">
        <f t="shared" si="5"/>
        <v>137.304</v>
      </c>
      <c r="V31" s="46">
        <f t="shared" si="6"/>
        <v>5.7210000000000001</v>
      </c>
      <c r="W31" s="96">
        <v>3.1</v>
      </c>
      <c r="X31" s="96">
        <f t="shared" si="1"/>
        <v>3.1</v>
      </c>
      <c r="Y31" s="97" t="s">
        <v>169</v>
      </c>
      <c r="Z31" s="158">
        <v>1005</v>
      </c>
      <c r="AA31" s="158">
        <v>0</v>
      </c>
      <c r="AB31" s="158">
        <v>1187</v>
      </c>
      <c r="AC31" s="158">
        <v>0</v>
      </c>
      <c r="AD31" s="158">
        <v>1187</v>
      </c>
      <c r="AE31" s="158">
        <v>1185</v>
      </c>
      <c r="AF31" s="47" t="s">
        <v>90</v>
      </c>
      <c r="AG31" s="47" t="s">
        <v>90</v>
      </c>
      <c r="AH31" s="98" t="s">
        <v>90</v>
      </c>
      <c r="AI31" s="103">
        <v>16175593</v>
      </c>
      <c r="AJ31" s="45">
        <f t="shared" si="7"/>
        <v>1161</v>
      </c>
      <c r="AK31" s="48">
        <f t="shared" si="8"/>
        <v>202.93654955427374</v>
      </c>
      <c r="AL31" s="155">
        <v>1</v>
      </c>
      <c r="AM31" s="155">
        <v>0</v>
      </c>
      <c r="AN31" s="155">
        <v>1</v>
      </c>
      <c r="AO31" s="155">
        <v>0</v>
      </c>
      <c r="AP31" s="155">
        <v>1</v>
      </c>
      <c r="AQ31" s="155">
        <v>1</v>
      </c>
      <c r="AR31" s="155">
        <v>0</v>
      </c>
      <c r="AS31" s="158"/>
      <c r="AT31" s="158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357">
        <v>43250</v>
      </c>
      <c r="B32" s="40">
        <v>2.7916666666666701</v>
      </c>
      <c r="C32" s="40">
        <v>0.83333333333333703</v>
      </c>
      <c r="D32" s="156">
        <v>4</v>
      </c>
      <c r="E32" s="154">
        <f t="shared" si="2"/>
        <v>2.8169014084507045</v>
      </c>
      <c r="F32" s="154">
        <v>-4</v>
      </c>
      <c r="G32" s="118">
        <v>74</v>
      </c>
      <c r="H32" s="154">
        <f t="shared" si="0"/>
        <v>52.112676056338032</v>
      </c>
      <c r="I32" s="154">
        <v>70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7">
        <v>129</v>
      </c>
      <c r="R32" s="157"/>
      <c r="S32" s="157">
        <v>96275630</v>
      </c>
      <c r="T32" s="45">
        <f t="shared" si="4"/>
        <v>5777</v>
      </c>
      <c r="U32" s="46">
        <f t="shared" si="5"/>
        <v>138.648</v>
      </c>
      <c r="V32" s="46">
        <f t="shared" si="6"/>
        <v>5.7770000000000001</v>
      </c>
      <c r="W32" s="96">
        <v>2.8</v>
      </c>
      <c r="X32" s="96">
        <f t="shared" si="1"/>
        <v>2.8</v>
      </c>
      <c r="Y32" s="97" t="s">
        <v>169</v>
      </c>
      <c r="Z32" s="158">
        <v>1005</v>
      </c>
      <c r="AA32" s="158">
        <v>0</v>
      </c>
      <c r="AB32" s="158">
        <v>1187</v>
      </c>
      <c r="AC32" s="158">
        <v>0</v>
      </c>
      <c r="AD32" s="158">
        <v>1187</v>
      </c>
      <c r="AE32" s="158">
        <v>1185</v>
      </c>
      <c r="AF32" s="47" t="s">
        <v>90</v>
      </c>
      <c r="AG32" s="47" t="s">
        <v>90</v>
      </c>
      <c r="AH32" s="98" t="s">
        <v>90</v>
      </c>
      <c r="AI32" s="103">
        <v>16176771</v>
      </c>
      <c r="AJ32" s="45">
        <f t="shared" si="7"/>
        <v>1178</v>
      </c>
      <c r="AK32" s="48">
        <f t="shared" si="8"/>
        <v>203.91206508568462</v>
      </c>
      <c r="AL32" s="155">
        <v>1</v>
      </c>
      <c r="AM32" s="155">
        <v>0</v>
      </c>
      <c r="AN32" s="155">
        <v>1</v>
      </c>
      <c r="AO32" s="155">
        <v>0</v>
      </c>
      <c r="AP32" s="155">
        <v>1</v>
      </c>
      <c r="AQ32" s="155">
        <v>1</v>
      </c>
      <c r="AR32" s="155">
        <v>0</v>
      </c>
      <c r="AS32" s="158"/>
      <c r="AT32" s="158">
        <v>0</v>
      </c>
      <c r="AU32" s="49"/>
      <c r="AV32" s="50" t="s">
        <v>124</v>
      </c>
      <c r="AY32" s="308" t="s">
        <v>115</v>
      </c>
      <c r="AZ32" s="308"/>
      <c r="BB32" s="74" t="s">
        <v>156</v>
      </c>
    </row>
    <row r="33" spans="1:54" x14ac:dyDescent="0.35">
      <c r="A33" s="357">
        <v>43250</v>
      </c>
      <c r="B33" s="40">
        <v>2.8333333333333299</v>
      </c>
      <c r="C33" s="40">
        <v>0.875</v>
      </c>
      <c r="D33" s="156">
        <v>4</v>
      </c>
      <c r="E33" s="154">
        <f t="shared" si="2"/>
        <v>2.8169014084507045</v>
      </c>
      <c r="F33" s="154">
        <v>-4</v>
      </c>
      <c r="G33" s="118">
        <v>74</v>
      </c>
      <c r="H33" s="154">
        <f t="shared" si="0"/>
        <v>52.112676056338032</v>
      </c>
      <c r="I33" s="154">
        <v>70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7">
        <v>129</v>
      </c>
      <c r="R33" s="157"/>
      <c r="S33" s="157">
        <v>96281230</v>
      </c>
      <c r="T33" s="45">
        <f t="shared" si="4"/>
        <v>5600</v>
      </c>
      <c r="U33" s="46">
        <f t="shared" si="5"/>
        <v>134.4</v>
      </c>
      <c r="V33" s="46">
        <f t="shared" si="6"/>
        <v>5.6</v>
      </c>
      <c r="W33" s="96">
        <v>2.6</v>
      </c>
      <c r="X33" s="96">
        <f t="shared" si="1"/>
        <v>2.6</v>
      </c>
      <c r="Y33" s="97" t="s">
        <v>169</v>
      </c>
      <c r="Z33" s="158">
        <v>1006</v>
      </c>
      <c r="AA33" s="158">
        <v>0</v>
      </c>
      <c r="AB33" s="158">
        <v>1187</v>
      </c>
      <c r="AC33" s="158">
        <v>0</v>
      </c>
      <c r="AD33" s="158">
        <v>1187</v>
      </c>
      <c r="AE33" s="158">
        <v>1185</v>
      </c>
      <c r="AF33" s="47" t="s">
        <v>90</v>
      </c>
      <c r="AG33" s="47" t="s">
        <v>90</v>
      </c>
      <c r="AH33" s="98" t="s">
        <v>90</v>
      </c>
      <c r="AI33" s="103">
        <v>16177889</v>
      </c>
      <c r="AJ33" s="45">
        <f t="shared" si="7"/>
        <v>1118</v>
      </c>
      <c r="AK33" s="48">
        <f t="shared" si="8"/>
        <v>199.64285714285717</v>
      </c>
      <c r="AL33" s="155">
        <v>1</v>
      </c>
      <c r="AM33" s="155">
        <v>0</v>
      </c>
      <c r="AN33" s="155">
        <v>1</v>
      </c>
      <c r="AO33" s="155">
        <v>0</v>
      </c>
      <c r="AP33" s="155">
        <v>1</v>
      </c>
      <c r="AQ33" s="155">
        <v>1</v>
      </c>
      <c r="AR33" s="155">
        <v>0</v>
      </c>
      <c r="AS33" s="158"/>
      <c r="AT33" s="158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57">
        <v>43250</v>
      </c>
      <c r="B34" s="40">
        <v>2.875</v>
      </c>
      <c r="C34" s="40">
        <v>0.91666666666667096</v>
      </c>
      <c r="D34" s="156">
        <v>4</v>
      </c>
      <c r="E34" s="154">
        <f t="shared" si="2"/>
        <v>2.8169014084507045</v>
      </c>
      <c r="F34" s="154">
        <v>-2</v>
      </c>
      <c r="G34" s="118">
        <v>75</v>
      </c>
      <c r="H34" s="154">
        <f t="shared" si="0"/>
        <v>52.816901408450704</v>
      </c>
      <c r="I34" s="154">
        <v>74</v>
      </c>
      <c r="J34" s="41" t="s">
        <v>88</v>
      </c>
      <c r="K34" s="41">
        <f t="shared" si="3"/>
        <v>49.295774647887328</v>
      </c>
      <c r="L34" s="42">
        <f t="shared" si="13"/>
        <v>50.70422535211268</v>
      </c>
      <c r="M34" s="41">
        <f t="shared" si="12"/>
        <v>54.929577464788736</v>
      </c>
      <c r="N34" s="43">
        <v>14</v>
      </c>
      <c r="O34" s="44" t="s">
        <v>116</v>
      </c>
      <c r="P34" s="44">
        <v>12.6</v>
      </c>
      <c r="Q34" s="157">
        <v>128</v>
      </c>
      <c r="R34" s="157"/>
      <c r="S34" s="157">
        <v>96287005</v>
      </c>
      <c r="T34" s="45">
        <f t="shared" si="4"/>
        <v>5775</v>
      </c>
      <c r="U34" s="46">
        <f t="shared" si="5"/>
        <v>138.6</v>
      </c>
      <c r="V34" s="46">
        <f t="shared" si="6"/>
        <v>5.7750000000000004</v>
      </c>
      <c r="W34" s="96">
        <v>2.2999999999999998</v>
      </c>
      <c r="X34" s="96">
        <f t="shared" si="1"/>
        <v>2.2999999999999998</v>
      </c>
      <c r="Y34" s="97" t="s">
        <v>169</v>
      </c>
      <c r="Z34" s="158">
        <v>1004</v>
      </c>
      <c r="AA34" s="158">
        <v>0</v>
      </c>
      <c r="AB34" s="158">
        <v>1187</v>
      </c>
      <c r="AC34" s="158">
        <v>0</v>
      </c>
      <c r="AD34" s="158">
        <v>1187</v>
      </c>
      <c r="AE34" s="158">
        <v>1185</v>
      </c>
      <c r="AF34" s="47" t="s">
        <v>90</v>
      </c>
      <c r="AG34" s="47" t="s">
        <v>90</v>
      </c>
      <c r="AH34" s="98" t="s">
        <v>90</v>
      </c>
      <c r="AI34" s="103">
        <v>16179060</v>
      </c>
      <c r="AJ34" s="45">
        <f t="shared" si="7"/>
        <v>1171</v>
      </c>
      <c r="AK34" s="48">
        <f t="shared" si="8"/>
        <v>202.77056277056275</v>
      </c>
      <c r="AL34" s="155">
        <v>1</v>
      </c>
      <c r="AM34" s="155">
        <v>0</v>
      </c>
      <c r="AN34" s="155">
        <v>1</v>
      </c>
      <c r="AO34" s="155">
        <v>0</v>
      </c>
      <c r="AP34" s="155">
        <v>1</v>
      </c>
      <c r="AQ34" s="155">
        <v>1</v>
      </c>
      <c r="AR34" s="155">
        <v>0</v>
      </c>
      <c r="AS34" s="158"/>
      <c r="AT34" s="158">
        <f>AS34-AS33</f>
        <v>0</v>
      </c>
      <c r="AU34" s="119">
        <v>1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357">
        <v>43250</v>
      </c>
      <c r="B35" s="40">
        <v>2.9166666666666701</v>
      </c>
      <c r="C35" s="40">
        <v>0.95833333333333803</v>
      </c>
      <c r="D35" s="156">
        <v>4</v>
      </c>
      <c r="E35" s="154">
        <f t="shared" si="2"/>
        <v>2.8169014084507045</v>
      </c>
      <c r="F35" s="154">
        <v>1</v>
      </c>
      <c r="G35" s="118">
        <v>72</v>
      </c>
      <c r="H35" s="154">
        <f t="shared" si="0"/>
        <v>50.70422535211268</v>
      </c>
      <c r="I35" s="154">
        <v>71</v>
      </c>
      <c r="J35" s="41" t="s">
        <v>88</v>
      </c>
      <c r="K35" s="41">
        <f>L35-(2/1.42)</f>
        <v>45.774647887323944</v>
      </c>
      <c r="L35" s="42">
        <f>(G35-5)/1.42</f>
        <v>47.183098591549296</v>
      </c>
      <c r="M35" s="41">
        <f t="shared" si="12"/>
        <v>51.408450704225352</v>
      </c>
      <c r="N35" s="43">
        <v>14</v>
      </c>
      <c r="O35" s="44" t="s">
        <v>116</v>
      </c>
      <c r="P35" s="44">
        <v>11.9</v>
      </c>
      <c r="Q35" s="157">
        <v>137</v>
      </c>
      <c r="R35" s="157"/>
      <c r="S35" s="157">
        <v>96292369</v>
      </c>
      <c r="T35" s="45">
        <f t="shared" si="4"/>
        <v>5364</v>
      </c>
      <c r="U35" s="46">
        <f t="shared" si="5"/>
        <v>128.73599999999999</v>
      </c>
      <c r="V35" s="46">
        <f t="shared" si="6"/>
        <v>5.3639999999999999</v>
      </c>
      <c r="W35" s="96">
        <v>2.5</v>
      </c>
      <c r="X35" s="96">
        <f t="shared" si="1"/>
        <v>2.5</v>
      </c>
      <c r="Y35" s="97" t="s">
        <v>138</v>
      </c>
      <c r="Z35" s="158">
        <v>0</v>
      </c>
      <c r="AA35" s="158">
        <v>0</v>
      </c>
      <c r="AB35" s="158">
        <v>1187</v>
      </c>
      <c r="AC35" s="158">
        <v>0</v>
      </c>
      <c r="AD35" s="158">
        <v>1187</v>
      </c>
      <c r="AE35" s="158">
        <v>1185</v>
      </c>
      <c r="AF35" s="47" t="s">
        <v>90</v>
      </c>
      <c r="AG35" s="47" t="s">
        <v>90</v>
      </c>
      <c r="AH35" s="98" t="s">
        <v>90</v>
      </c>
      <c r="AI35" s="103">
        <v>16180145</v>
      </c>
      <c r="AJ35" s="45">
        <f t="shared" si="7"/>
        <v>1085</v>
      </c>
      <c r="AK35" s="48">
        <f t="shared" si="8"/>
        <v>202.27442207307979</v>
      </c>
      <c r="AL35" s="155">
        <v>0</v>
      </c>
      <c r="AM35" s="155">
        <v>0</v>
      </c>
      <c r="AN35" s="155">
        <v>1</v>
      </c>
      <c r="AO35" s="155">
        <v>0</v>
      </c>
      <c r="AP35" s="155">
        <v>1</v>
      </c>
      <c r="AQ35" s="155">
        <v>1</v>
      </c>
      <c r="AR35" s="155">
        <v>0.3</v>
      </c>
      <c r="AS35" s="158"/>
      <c r="AT35" s="158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357">
        <v>43250</v>
      </c>
      <c r="B36" s="40">
        <v>2.9583333333333299</v>
      </c>
      <c r="C36" s="40">
        <v>1</v>
      </c>
      <c r="D36" s="156">
        <v>4</v>
      </c>
      <c r="E36" s="154">
        <f t="shared" si="2"/>
        <v>2.8169014084507045</v>
      </c>
      <c r="F36" s="154">
        <v>2</v>
      </c>
      <c r="G36" s="118">
        <v>75</v>
      </c>
      <c r="H36" s="154">
        <f t="shared" si="0"/>
        <v>52.816901408450704</v>
      </c>
      <c r="I36" s="154">
        <v>73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7">
        <v>138</v>
      </c>
      <c r="R36" s="157"/>
      <c r="S36" s="157">
        <v>96297616</v>
      </c>
      <c r="T36" s="45">
        <f t="shared" si="4"/>
        <v>5247</v>
      </c>
      <c r="U36" s="46">
        <f t="shared" si="5"/>
        <v>125.928</v>
      </c>
      <c r="V36" s="46">
        <f t="shared" si="6"/>
        <v>5.2469999999999999</v>
      </c>
      <c r="W36" s="96">
        <v>3.2</v>
      </c>
      <c r="X36" s="96">
        <f t="shared" si="1"/>
        <v>3.2</v>
      </c>
      <c r="Y36" s="97" t="s">
        <v>138</v>
      </c>
      <c r="Z36" s="158">
        <v>0</v>
      </c>
      <c r="AA36" s="158">
        <v>0</v>
      </c>
      <c r="AB36" s="158">
        <v>1187</v>
      </c>
      <c r="AC36" s="158">
        <v>0</v>
      </c>
      <c r="AD36" s="158">
        <v>1187</v>
      </c>
      <c r="AE36" s="158">
        <v>1185</v>
      </c>
      <c r="AF36" s="47" t="s">
        <v>90</v>
      </c>
      <c r="AG36" s="47" t="s">
        <v>90</v>
      </c>
      <c r="AH36" s="98" t="s">
        <v>90</v>
      </c>
      <c r="AI36" s="103">
        <v>16181245</v>
      </c>
      <c r="AJ36" s="45">
        <f t="shared" si="7"/>
        <v>1100</v>
      </c>
      <c r="AK36" s="48">
        <f t="shared" si="8"/>
        <v>209.64360587002096</v>
      </c>
      <c r="AL36" s="155">
        <v>0</v>
      </c>
      <c r="AM36" s="155">
        <v>0</v>
      </c>
      <c r="AN36" s="155">
        <v>1</v>
      </c>
      <c r="AO36" s="155">
        <v>0</v>
      </c>
      <c r="AP36" s="155">
        <v>1</v>
      </c>
      <c r="AQ36" s="155">
        <v>1</v>
      </c>
      <c r="AR36" s="155">
        <v>0.3</v>
      </c>
      <c r="AS36" s="158"/>
      <c r="AT36" s="158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73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09" t="s">
        <v>118</v>
      </c>
      <c r="O37" s="310"/>
      <c r="P37" s="311"/>
      <c r="Q37" s="101"/>
      <c r="R37" s="101"/>
      <c r="S37" s="101"/>
      <c r="T37" s="60">
        <f>SUM(T13:T36)</f>
        <v>124634</v>
      </c>
      <c r="U37" s="46">
        <f t="shared" si="5"/>
        <v>2991.2159999999999</v>
      </c>
      <c r="V37" s="46">
        <f t="shared" si="6"/>
        <v>124.634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27778</v>
      </c>
      <c r="AK37" s="61">
        <f>$AJ$37/$V37</f>
        <v>222.87658263395221</v>
      </c>
      <c r="AL37" s="155"/>
      <c r="AM37" s="155"/>
      <c r="AN37" s="155"/>
      <c r="AO37" s="155"/>
      <c r="AP37" s="155"/>
      <c r="AQ37" s="155"/>
      <c r="AR37" s="62"/>
      <c r="AS37" s="63">
        <f>AS36-AS11</f>
        <v>0</v>
      </c>
      <c r="AT37" s="64">
        <f>SUM(AT13:AT36)</f>
        <v>0</v>
      </c>
      <c r="AU37" s="65">
        <f>AVERAGE(AU13:AU36)</f>
        <v>1.01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7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8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8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4"/>
      <c r="D47" s="164"/>
      <c r="E47" s="164"/>
      <c r="F47" s="164"/>
      <c r="G47" s="164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71" t="s">
        <v>279</v>
      </c>
      <c r="C48" s="172"/>
      <c r="D48" s="172"/>
      <c r="E48" s="172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70"/>
      <c r="D49" s="170"/>
      <c r="E49" s="170"/>
      <c r="F49" s="161"/>
      <c r="G49" s="161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163</v>
      </c>
      <c r="C50" s="143"/>
      <c r="D50" s="143"/>
      <c r="E50" s="143"/>
      <c r="F50" s="130"/>
      <c r="G50" s="130"/>
      <c r="H50" s="160"/>
      <c r="I50" s="160"/>
      <c r="J50" s="160"/>
      <c r="K50" s="160"/>
      <c r="L50" s="160"/>
      <c r="M50" s="160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210</v>
      </c>
      <c r="B51" s="115" t="s">
        <v>182</v>
      </c>
      <c r="C51" s="143"/>
      <c r="D51" s="143"/>
      <c r="E51" s="143"/>
      <c r="F51" s="130"/>
      <c r="G51" s="130"/>
      <c r="H51" s="160"/>
      <c r="I51" s="160"/>
      <c r="J51" s="160"/>
      <c r="K51" s="160"/>
      <c r="L51" s="160"/>
      <c r="M51" s="160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280</v>
      </c>
      <c r="C52" s="120"/>
      <c r="D52" s="115"/>
      <c r="E52" s="115"/>
      <c r="F52" s="115"/>
      <c r="G52" s="115"/>
      <c r="H52" s="160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70"/>
      <c r="D53" s="170"/>
      <c r="E53" s="170"/>
      <c r="F53" s="170"/>
      <c r="G53" s="115"/>
      <c r="H53" s="115"/>
      <c r="I53" s="115"/>
      <c r="J53" s="115"/>
      <c r="K53" s="115"/>
      <c r="L53" s="115"/>
      <c r="M53" s="115"/>
      <c r="N53" s="163"/>
      <c r="O53" s="163"/>
      <c r="P53" s="163"/>
      <c r="Q53" s="163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32" t="s">
        <v>170</v>
      </c>
      <c r="C54" s="153"/>
      <c r="D54" s="170"/>
      <c r="E54" s="170"/>
      <c r="F54" s="170"/>
      <c r="G54" s="170"/>
      <c r="H54" s="170"/>
      <c r="I54" s="170"/>
      <c r="J54" s="169"/>
      <c r="K54" s="166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70"/>
      <c r="E55" s="153"/>
      <c r="F55" s="153"/>
      <c r="G55" s="153"/>
      <c r="H55" s="153"/>
      <c r="I55" s="153"/>
      <c r="J55" s="169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172</v>
      </c>
      <c r="C56" s="115"/>
      <c r="D56" s="170"/>
      <c r="E56" s="153"/>
      <c r="F56" s="153"/>
      <c r="G56" s="153"/>
      <c r="H56" s="153"/>
      <c r="I56" s="153"/>
      <c r="J56" s="153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53" t="s">
        <v>269</v>
      </c>
      <c r="C57" s="170"/>
      <c r="D57" s="170"/>
      <c r="E57" s="153"/>
      <c r="F57" s="153"/>
      <c r="G57" s="153"/>
      <c r="H57" s="153"/>
      <c r="I57" s="153"/>
      <c r="J57" s="153"/>
      <c r="K57" s="166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174</v>
      </c>
      <c r="C58" s="170"/>
      <c r="D58" s="170"/>
      <c r="E58" s="115"/>
      <c r="F58" s="115"/>
      <c r="G58" s="115"/>
      <c r="H58" s="115"/>
      <c r="I58" s="153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62" t="s">
        <v>195</v>
      </c>
      <c r="C59" s="170"/>
      <c r="D59" s="170"/>
      <c r="E59" s="153"/>
      <c r="F59" s="153"/>
      <c r="G59" s="153"/>
      <c r="H59" s="153"/>
      <c r="I59" s="153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32"/>
      <c r="C60" s="170"/>
      <c r="D60" s="223"/>
      <c r="E60" s="223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62"/>
      <c r="C61" s="153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32"/>
      <c r="C62" s="115"/>
      <c r="D62" s="100"/>
      <c r="E62" s="100"/>
      <c r="F62" s="115"/>
      <c r="G62" s="115"/>
      <c r="H62" s="92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6"/>
      <c r="E63" s="166"/>
      <c r="F63" s="166"/>
      <c r="G63" s="166"/>
      <c r="H63" s="166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53"/>
      <c r="C64" s="115"/>
      <c r="D64" s="100"/>
      <c r="E64" s="100"/>
      <c r="F64" s="115"/>
      <c r="G64" s="115"/>
      <c r="H64" s="92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6"/>
      <c r="E65" s="166"/>
      <c r="F65" s="166"/>
      <c r="G65" s="166"/>
      <c r="H65" s="166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AV65" s="86"/>
      <c r="AW65" s="86"/>
      <c r="AX65" s="86"/>
      <c r="AY65" s="86"/>
      <c r="AZ65" s="86"/>
      <c r="BA65" s="86"/>
      <c r="BB65" s="86"/>
    </row>
    <row r="66" spans="2:54" x14ac:dyDescent="0.35">
      <c r="B66" s="162"/>
      <c r="C66" s="115"/>
      <c r="D66" s="166"/>
      <c r="E66" s="166"/>
      <c r="F66" s="166"/>
      <c r="G66" s="166"/>
      <c r="H66" s="166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6"/>
      <c r="E67" s="166"/>
      <c r="F67" s="166"/>
      <c r="G67" s="166"/>
      <c r="H67" s="166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Q13:Q36 S13:S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3" name="Range1_16_1_1_1_1_1_1_2_2_2_2_2_2_2_2_2_2_2_2_2_2_2_2_2_2_2_2_2_2_2_1_2_2_2_2_2_2_2_2_2_2_3_2_2_2_2_2_2_2_2_2_2_1_1_1_1_2_2_1_1_1_1_1_1_1_1_1_1_1_1_1_1_3_1"/>
    <protectedRange sqref="R4:W4" name="Range1_16_1_1_1_1_1_1_2_2_2_2_2_2_2_2_2_2_2_2_2_2_2_2_2_2_2_2_2_2_2_1_2_2_2_2_2_2_2_2_2_2_3_2_2_2_2_2_2_2_2_2_2_1_1_1_1_2_2_1_1_1_1_1_1_1_1_1_1_1_1_1_1_2_1_2_1_1_1_1_1_2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R5:W5" name="Range1_16_1_1_1_1_1_1_2_2_2_2_2_2_2_2_2_2_2_2_2_2_2_2_2_2_2_2_2_2_2_1_2_2_2_2_2_2_2_2_2_2_3_2_2_2_2_2_2_2_2_2_2_1_1_1_1_2_2_1_1_1_1_1_1_1_1_1_1_3_1_3_2_1_1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33" priority="5" operator="containsText" text="N/A">
      <formula>NOT(ISERROR(SEARCH("N/A",Z13)))</formula>
    </cfRule>
    <cfRule type="cellIs" dxfId="32" priority="17" operator="equal">
      <formula>0</formula>
    </cfRule>
  </conditionalFormatting>
  <conditionalFormatting sqref="Z13:AG36">
    <cfRule type="cellIs" dxfId="31" priority="16" operator="greaterThanOrEqual">
      <formula>1185</formula>
    </cfRule>
  </conditionalFormatting>
  <conditionalFormatting sqref="Z13:AG36">
    <cfRule type="cellIs" dxfId="30" priority="15" operator="between">
      <formula>0.1</formula>
      <formula>1184</formula>
    </cfRule>
  </conditionalFormatting>
  <conditionalFormatting sqref="Z8:Z9 AT13:AT36 AL37:AQ37 AL13:AR36">
    <cfRule type="cellIs" dxfId="29" priority="14" operator="equal">
      <formula>0</formula>
    </cfRule>
  </conditionalFormatting>
  <conditionalFormatting sqref="Z8:Z9 AT13:AT36 AL37:AQ37 AL13:AR36">
    <cfRule type="cellIs" dxfId="28" priority="13" operator="greaterThan">
      <formula>1179</formula>
    </cfRule>
  </conditionalFormatting>
  <conditionalFormatting sqref="Z8:Z9 AT13:AT36 AL37:AQ37 AL13:AR36">
    <cfRule type="cellIs" dxfId="27" priority="12" operator="greaterThan">
      <formula>99</formula>
    </cfRule>
  </conditionalFormatting>
  <conditionalFormatting sqref="Z8:Z9 AT13:AT36 AL37:AQ37 AL13:AR36">
    <cfRule type="cellIs" dxfId="26" priority="11" operator="greaterThan">
      <formula>0.99</formula>
    </cfRule>
  </conditionalFormatting>
  <conditionalFormatting sqref="AD8:AD9">
    <cfRule type="cellIs" dxfId="25" priority="10" operator="equal">
      <formula>0</formula>
    </cfRule>
  </conditionalFormatting>
  <conditionalFormatting sqref="AD8:AD9">
    <cfRule type="cellIs" dxfId="24" priority="9" operator="greaterThan">
      <formula>1179</formula>
    </cfRule>
  </conditionalFormatting>
  <conditionalFormatting sqref="AD8:AD9">
    <cfRule type="cellIs" dxfId="23" priority="8" operator="greaterThan">
      <formula>99</formula>
    </cfRule>
  </conditionalFormatting>
  <conditionalFormatting sqref="AD8:AD9">
    <cfRule type="cellIs" dxfId="22" priority="7" operator="greaterThan">
      <formula>0.99</formula>
    </cfRule>
  </conditionalFormatting>
  <conditionalFormatting sqref="AK13:AK36">
    <cfRule type="cellIs" dxfId="21" priority="6" operator="greaterThan">
      <formula>$AK$8</formula>
    </cfRule>
  </conditionalFormatting>
  <conditionalFormatting sqref="AS13:AS36">
    <cfRule type="containsText" dxfId="20" priority="1" operator="containsText" text="N/A">
      <formula>NOT(ISERROR(SEARCH("N/A",AS13)))</formula>
    </cfRule>
    <cfRule type="cellIs" dxfId="19" priority="4" operator="equal">
      <formula>0</formula>
    </cfRule>
  </conditionalFormatting>
  <conditionalFormatting sqref="AS13:AS36">
    <cfRule type="cellIs" dxfId="18" priority="3" operator="greaterThanOrEqual">
      <formula>1185</formula>
    </cfRule>
  </conditionalFormatting>
  <conditionalFormatting sqref="AS13:AS36">
    <cfRule type="cellIs" dxfId="17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1D00-000000000000}">
      <formula1>$AY$11:$AY$21</formula1>
    </dataValidation>
    <dataValidation type="list" allowBlank="1" showInputMessage="1" showErrorMessage="1" sqref="AS8:AT9 P11:P12 N11:N12 D8:E9 Q8:V9" xr:uid="{00000000-0002-0000-1D00-000001000000}">
      <formula1>#REF!</formula1>
    </dataValidation>
    <dataValidation type="list" allowBlank="1" showInputMessage="1" showErrorMessage="1" sqref="AY33:AZ33" xr:uid="{00000000-0002-0000-1D00-000002000000}">
      <formula1>$AY$26:$AY$30</formula1>
    </dataValidation>
    <dataValidation type="list" allowBlank="1" showInputMessage="1" showErrorMessage="1" sqref="R3:R5" xr:uid="{00000000-0002-0000-1D00-000003000000}">
      <formula1>$BB$11:$BB$42</formula1>
    </dataValidation>
  </dataValidations>
  <hyperlinks>
    <hyperlink ref="J10:J11" location="'1'!AH8" display="Plant Status" xr:uid="{00000000-0004-0000-1D00-000000000000}"/>
  </hyperlinks>
  <pageMargins left="0.7" right="0.7" top="0.75" bottom="0.75" header="0.3" footer="0.3"/>
  <pageSetup paperSize="9" orientation="portrait" horizontalDpi="4294967293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>
    <tabColor rgb="FF7030A0"/>
  </sheetPr>
  <dimension ref="A2:BB88"/>
  <sheetViews>
    <sheetView tabSelected="1" zoomScaleNormal="100" workbookViewId="0">
      <selection activeCell="B13" sqref="B13"/>
    </sheetView>
  </sheetViews>
  <sheetFormatPr defaultColWidth="9.1796875" defaultRowHeight="14.5" x14ac:dyDescent="0.35"/>
  <cols>
    <col min="1" max="1" width="9.7265625" style="86" bestFit="1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47" t="s">
        <v>157</v>
      </c>
      <c r="S3" s="348"/>
      <c r="T3" s="348"/>
      <c r="U3" s="348"/>
      <c r="V3" s="348"/>
      <c r="W3" s="34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47" t="s">
        <v>141</v>
      </c>
      <c r="S4" s="348"/>
      <c r="T4" s="348"/>
      <c r="U4" s="348"/>
      <c r="V4" s="348"/>
      <c r="W4" s="34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47" t="s">
        <v>151</v>
      </c>
      <c r="S5" s="348"/>
      <c r="T5" s="348"/>
      <c r="U5" s="348"/>
      <c r="V5" s="348"/>
      <c r="W5" s="34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50" t="s">
        <v>6</v>
      </c>
      <c r="C6" s="351"/>
      <c r="D6" s="352" t="s">
        <v>7</v>
      </c>
      <c r="E6" s="353"/>
      <c r="F6" s="353"/>
      <c r="G6" s="353"/>
      <c r="H6" s="353"/>
      <c r="I6" s="353"/>
      <c r="J6" s="354"/>
      <c r="K6" s="87"/>
      <c r="L6" s="87"/>
      <c r="M6" s="286"/>
      <c r="N6" s="355">
        <v>41686</v>
      </c>
      <c r="O6" s="356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37" t="s">
        <v>8</v>
      </c>
      <c r="C7" s="338"/>
      <c r="D7" s="337" t="s">
        <v>9</v>
      </c>
      <c r="E7" s="339"/>
      <c r="F7" s="339"/>
      <c r="G7" s="339"/>
      <c r="H7" s="339"/>
      <c r="I7" s="338"/>
      <c r="J7" s="291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91" t="s">
        <v>14</v>
      </c>
      <c r="R7" s="337" t="s">
        <v>15</v>
      </c>
      <c r="S7" s="339"/>
      <c r="T7" s="339"/>
      <c r="U7" s="339"/>
      <c r="V7" s="338"/>
      <c r="W7" s="337" t="s">
        <v>16</v>
      </c>
      <c r="X7" s="338"/>
      <c r="Y7" s="99" t="s">
        <v>17</v>
      </c>
      <c r="Z7" s="337" t="s">
        <v>18</v>
      </c>
      <c r="AA7" s="338"/>
      <c r="AB7" s="337" t="s">
        <v>19</v>
      </c>
      <c r="AC7" s="338"/>
      <c r="AD7" s="337" t="s">
        <v>20</v>
      </c>
      <c r="AE7" s="338"/>
      <c r="AF7" s="337" t="s">
        <v>21</v>
      </c>
      <c r="AG7" s="338"/>
      <c r="AH7" s="99" t="s">
        <v>22</v>
      </c>
      <c r="AI7" s="99" t="s">
        <v>23</v>
      </c>
      <c r="AJ7" s="99" t="s">
        <v>24</v>
      </c>
      <c r="AK7" s="99" t="s">
        <v>25</v>
      </c>
      <c r="AL7" s="337" t="s">
        <v>26</v>
      </c>
      <c r="AM7" s="339"/>
      <c r="AN7" s="339"/>
      <c r="AO7" s="339"/>
      <c r="AP7" s="339"/>
      <c r="AQ7" s="338"/>
      <c r="AR7" s="337" t="s">
        <v>27</v>
      </c>
      <c r="AS7" s="339"/>
      <c r="AT7" s="33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40">
        <v>43251</v>
      </c>
      <c r="C8" s="341"/>
      <c r="D8" s="342" t="s">
        <v>29</v>
      </c>
      <c r="E8" s="343"/>
      <c r="F8" s="343"/>
      <c r="G8" s="343"/>
      <c r="H8" s="343"/>
      <c r="I8" s="344"/>
      <c r="J8" s="28"/>
      <c r="K8" s="342" t="s">
        <v>29</v>
      </c>
      <c r="L8" s="343"/>
      <c r="M8" s="34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42" t="s">
        <v>33</v>
      </c>
      <c r="X8" s="344"/>
      <c r="Y8" s="30" t="s">
        <v>34</v>
      </c>
      <c r="Z8" s="326">
        <v>0</v>
      </c>
      <c r="AA8" s="327"/>
      <c r="AB8" s="345" t="s">
        <v>35</v>
      </c>
      <c r="AC8" s="346"/>
      <c r="AD8" s="326">
        <v>1185</v>
      </c>
      <c r="AE8" s="327"/>
      <c r="AF8" s="328">
        <v>800</v>
      </c>
      <c r="AG8" s="329"/>
      <c r="AH8" s="28"/>
      <c r="AI8" s="30">
        <f>AI36-AI11</f>
        <v>27624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92"/>
      <c r="C9" s="293"/>
      <c r="D9" s="294"/>
      <c r="E9" s="295"/>
      <c r="F9" s="295"/>
      <c r="G9" s="295"/>
      <c r="H9" s="295"/>
      <c r="I9" s="296"/>
      <c r="J9" s="121"/>
      <c r="K9" s="294"/>
      <c r="L9" s="295"/>
      <c r="M9" s="296"/>
      <c r="N9" s="29"/>
      <c r="O9" s="29"/>
      <c r="P9" s="29"/>
      <c r="Q9" s="121"/>
      <c r="R9" s="121"/>
      <c r="S9" s="121"/>
      <c r="T9" s="122"/>
      <c r="U9" s="123"/>
      <c r="V9" s="124"/>
      <c r="W9" s="294"/>
      <c r="X9" s="296"/>
      <c r="Y9" s="30"/>
      <c r="Z9" s="289"/>
      <c r="AA9" s="125"/>
      <c r="AB9" s="126"/>
      <c r="AC9" s="126"/>
      <c r="AD9" s="125"/>
      <c r="AE9" s="125"/>
      <c r="AF9" s="127"/>
      <c r="AG9" s="290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30" t="s">
        <v>39</v>
      </c>
      <c r="C10" s="331"/>
      <c r="D10" s="330" t="s">
        <v>40</v>
      </c>
      <c r="E10" s="332"/>
      <c r="F10" s="331"/>
      <c r="G10" s="330" t="s">
        <v>41</v>
      </c>
      <c r="H10" s="332"/>
      <c r="I10" s="331"/>
      <c r="J10" s="333" t="s">
        <v>42</v>
      </c>
      <c r="K10" s="330" t="s">
        <v>43</v>
      </c>
      <c r="L10" s="332"/>
      <c r="M10" s="331"/>
      <c r="N10" s="99" t="s">
        <v>44</v>
      </c>
      <c r="O10" s="335" t="s">
        <v>45</v>
      </c>
      <c r="P10" s="33" t="s">
        <v>46</v>
      </c>
      <c r="Q10" s="324" t="s">
        <v>47</v>
      </c>
      <c r="R10" s="324" t="s">
        <v>48</v>
      </c>
      <c r="S10" s="34" t="s">
        <v>49</v>
      </c>
      <c r="T10" s="312" t="s">
        <v>50</v>
      </c>
      <c r="U10" s="313"/>
      <c r="V10" s="314"/>
      <c r="W10" s="287" t="s">
        <v>51</v>
      </c>
      <c r="X10" s="287" t="s">
        <v>52</v>
      </c>
      <c r="Y10" s="318" t="s">
        <v>53</v>
      </c>
      <c r="Z10" s="319" t="s">
        <v>54</v>
      </c>
      <c r="AA10" s="320"/>
      <c r="AB10" s="320"/>
      <c r="AC10" s="320"/>
      <c r="AD10" s="320"/>
      <c r="AE10" s="320"/>
      <c r="AF10" s="320"/>
      <c r="AG10" s="321"/>
      <c r="AH10" s="285" t="s">
        <v>55</v>
      </c>
      <c r="AI10" s="285" t="s">
        <v>56</v>
      </c>
      <c r="AJ10" s="307" t="s">
        <v>57</v>
      </c>
      <c r="AK10" s="322" t="s">
        <v>58</v>
      </c>
      <c r="AL10" s="287" t="s">
        <v>59</v>
      </c>
      <c r="AM10" s="287" t="s">
        <v>60</v>
      </c>
      <c r="AN10" s="287" t="s">
        <v>61</v>
      </c>
      <c r="AO10" s="287" t="s">
        <v>62</v>
      </c>
      <c r="AP10" s="287" t="s">
        <v>63</v>
      </c>
      <c r="AQ10" s="287" t="s">
        <v>123</v>
      </c>
      <c r="AR10" s="287" t="s">
        <v>64</v>
      </c>
      <c r="AS10" s="287" t="s">
        <v>65</v>
      </c>
      <c r="AT10" s="324" t="s">
        <v>66</v>
      </c>
      <c r="AU10" s="287" t="s">
        <v>67</v>
      </c>
      <c r="AV10" s="30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87" t="s">
        <v>72</v>
      </c>
      <c r="C11" s="287" t="s">
        <v>73</v>
      </c>
      <c r="D11" s="287" t="s">
        <v>74</v>
      </c>
      <c r="E11" s="287" t="s">
        <v>75</v>
      </c>
      <c r="F11" s="287" t="s">
        <v>126</v>
      </c>
      <c r="G11" s="287" t="s">
        <v>74</v>
      </c>
      <c r="H11" s="287" t="s">
        <v>75</v>
      </c>
      <c r="I11" s="287" t="s">
        <v>126</v>
      </c>
      <c r="J11" s="334"/>
      <c r="K11" s="287" t="s">
        <v>75</v>
      </c>
      <c r="L11" s="287" t="s">
        <v>75</v>
      </c>
      <c r="M11" s="287" t="s">
        <v>75</v>
      </c>
      <c r="N11" s="28" t="s">
        <v>29</v>
      </c>
      <c r="O11" s="336"/>
      <c r="P11" s="28" t="s">
        <v>29</v>
      </c>
      <c r="Q11" s="325"/>
      <c r="R11" s="325"/>
      <c r="S11" s="1">
        <f>'MAY 30'!S36</f>
        <v>96297616</v>
      </c>
      <c r="T11" s="315"/>
      <c r="U11" s="316"/>
      <c r="V11" s="317"/>
      <c r="W11" s="287" t="s">
        <v>75</v>
      </c>
      <c r="X11" s="287" t="s">
        <v>75</v>
      </c>
      <c r="Y11" s="31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'MAY 30'!AI36</f>
        <v>16181245</v>
      </c>
      <c r="AJ11" s="307"/>
      <c r="AK11" s="323"/>
      <c r="AL11" s="287" t="s">
        <v>84</v>
      </c>
      <c r="AM11" s="287" t="s">
        <v>84</v>
      </c>
      <c r="AN11" s="287" t="s">
        <v>84</v>
      </c>
      <c r="AO11" s="287" t="s">
        <v>84</v>
      </c>
      <c r="AP11" s="287" t="s">
        <v>84</v>
      </c>
      <c r="AQ11" s="287" t="s">
        <v>84</v>
      </c>
      <c r="AR11" s="287" t="s">
        <v>84</v>
      </c>
      <c r="AS11" s="1"/>
      <c r="AT11" s="325"/>
      <c r="AU11" s="288" t="s">
        <v>85</v>
      </c>
      <c r="AV11" s="307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283</v>
      </c>
      <c r="B12" s="305" t="s">
        <v>284</v>
      </c>
      <c r="C12" s="305" t="s">
        <v>285</v>
      </c>
      <c r="D12" s="305" t="s">
        <v>286</v>
      </c>
      <c r="E12" s="305" t="s">
        <v>287</v>
      </c>
      <c r="F12" s="305" t="s">
        <v>288</v>
      </c>
      <c r="G12" s="305" t="s">
        <v>289</v>
      </c>
      <c r="H12" s="305" t="s">
        <v>290</v>
      </c>
      <c r="I12" s="305" t="s">
        <v>291</v>
      </c>
      <c r="J12" s="297" t="s">
        <v>292</v>
      </c>
      <c r="K12" s="305" t="s">
        <v>293</v>
      </c>
      <c r="L12" s="305" t="s">
        <v>294</v>
      </c>
      <c r="M12" s="305" t="s">
        <v>295</v>
      </c>
      <c r="N12" s="28" t="s">
        <v>296</v>
      </c>
      <c r="O12" s="298" t="s">
        <v>297</v>
      </c>
      <c r="P12" s="28" t="s">
        <v>298</v>
      </c>
      <c r="Q12" s="300" t="s">
        <v>299</v>
      </c>
      <c r="R12" s="300" t="s">
        <v>300</v>
      </c>
      <c r="S12" s="1" t="s">
        <v>301</v>
      </c>
      <c r="T12" s="302" t="s">
        <v>302</v>
      </c>
      <c r="U12" s="303" t="s">
        <v>303</v>
      </c>
      <c r="V12" s="304" t="s">
        <v>304</v>
      </c>
      <c r="W12" s="305" t="s">
        <v>305</v>
      </c>
      <c r="X12" s="305" t="s">
        <v>306</v>
      </c>
      <c r="Y12" s="305" t="s">
        <v>307</v>
      </c>
      <c r="Z12" s="37" t="s">
        <v>308</v>
      </c>
      <c r="AA12" s="37" t="s">
        <v>309</v>
      </c>
      <c r="AB12" s="37" t="s">
        <v>310</v>
      </c>
      <c r="AC12" s="37" t="s">
        <v>311</v>
      </c>
      <c r="AD12" s="37" t="s">
        <v>312</v>
      </c>
      <c r="AE12" s="37" t="s">
        <v>313</v>
      </c>
      <c r="AF12" s="37" t="s">
        <v>314</v>
      </c>
      <c r="AG12" s="37" t="s">
        <v>315</v>
      </c>
      <c r="AH12" s="38" t="s">
        <v>316</v>
      </c>
      <c r="AI12" s="1" t="s">
        <v>317</v>
      </c>
      <c r="AJ12" s="301" t="s">
        <v>318</v>
      </c>
      <c r="AK12" s="306" t="s">
        <v>319</v>
      </c>
      <c r="AL12" s="305" t="s">
        <v>320</v>
      </c>
      <c r="AM12" s="305" t="s">
        <v>321</v>
      </c>
      <c r="AN12" s="305" t="s">
        <v>322</v>
      </c>
      <c r="AO12" s="305" t="s">
        <v>323</v>
      </c>
      <c r="AP12" s="305" t="s">
        <v>324</v>
      </c>
      <c r="AQ12" s="305" t="s">
        <v>325</v>
      </c>
      <c r="AR12" s="305" t="s">
        <v>326</v>
      </c>
      <c r="AS12" s="1" t="s">
        <v>327</v>
      </c>
      <c r="AT12" s="300" t="s">
        <v>328</v>
      </c>
      <c r="AU12" s="299" t="s">
        <v>329</v>
      </c>
      <c r="AV12" s="301"/>
      <c r="AY12" s="39"/>
      <c r="AZ12" s="39"/>
      <c r="BB12" s="136"/>
    </row>
    <row r="13" spans="1:54" x14ac:dyDescent="0.35">
      <c r="A13" s="357">
        <v>43251</v>
      </c>
      <c r="B13" s="40">
        <v>2</v>
      </c>
      <c r="C13" s="40">
        <v>4.1666666666666664E-2</v>
      </c>
      <c r="D13" s="156">
        <v>4</v>
      </c>
      <c r="E13" s="154">
        <f>D13/1.42</f>
        <v>2.8169014084507045</v>
      </c>
      <c r="F13" s="154">
        <v>3</v>
      </c>
      <c r="G13" s="118">
        <v>69</v>
      </c>
      <c r="H13" s="154">
        <f t="shared" ref="H13:H36" si="0">G13/1.42</f>
        <v>48.591549295774648</v>
      </c>
      <c r="I13" s="154">
        <v>71</v>
      </c>
      <c r="J13" s="41" t="s">
        <v>88</v>
      </c>
      <c r="K13" s="41">
        <f>L13-(2/1.42)</f>
        <v>43.661971830985919</v>
      </c>
      <c r="L13" s="42">
        <f>(G13-5)/1.42</f>
        <v>45.070422535211272</v>
      </c>
      <c r="M13" s="41">
        <f>L13+(6/1.42)</f>
        <v>49.295774647887328</v>
      </c>
      <c r="N13" s="43">
        <v>14</v>
      </c>
      <c r="O13" s="44" t="s">
        <v>89</v>
      </c>
      <c r="P13" s="44">
        <v>11.4</v>
      </c>
      <c r="Q13" s="157">
        <v>144</v>
      </c>
      <c r="R13" s="157"/>
      <c r="S13" s="157">
        <v>96302613</v>
      </c>
      <c r="T13" s="45">
        <f>IF(ISBLANK(S13),"-",S13-S11)</f>
        <v>4997</v>
      </c>
      <c r="U13" s="46">
        <f>T13*24/1000</f>
        <v>119.928</v>
      </c>
      <c r="V13" s="46">
        <f>T13/1000</f>
        <v>4.9969999999999999</v>
      </c>
      <c r="W13" s="96">
        <v>4.4000000000000004</v>
      </c>
      <c r="X13" s="96">
        <f t="shared" ref="X13:X36" si="1">W13</f>
        <v>4.4000000000000004</v>
      </c>
      <c r="Y13" s="97" t="s">
        <v>138</v>
      </c>
      <c r="Z13" s="158">
        <v>0</v>
      </c>
      <c r="AA13" s="158">
        <v>0</v>
      </c>
      <c r="AB13" s="158">
        <v>1187</v>
      </c>
      <c r="AC13" s="158">
        <v>0</v>
      </c>
      <c r="AD13" s="158">
        <v>1187</v>
      </c>
      <c r="AE13" s="158">
        <v>1185</v>
      </c>
      <c r="AF13" s="47" t="s">
        <v>90</v>
      </c>
      <c r="AG13" s="47" t="s">
        <v>90</v>
      </c>
      <c r="AH13" s="98" t="s">
        <v>90</v>
      </c>
      <c r="AI13" s="103">
        <v>16182349</v>
      </c>
      <c r="AJ13" s="45">
        <f>IF(ISBLANK(AI13),"-",AI13-AI11)</f>
        <v>1104</v>
      </c>
      <c r="AK13" s="48">
        <f>AJ13/V13</f>
        <v>220.93255953572142</v>
      </c>
      <c r="AL13" s="155">
        <v>0</v>
      </c>
      <c r="AM13" s="155">
        <v>0</v>
      </c>
      <c r="AN13" s="155">
        <v>1</v>
      </c>
      <c r="AO13" s="155">
        <v>0</v>
      </c>
      <c r="AP13" s="155">
        <v>1</v>
      </c>
      <c r="AQ13" s="155">
        <v>1</v>
      </c>
      <c r="AR13" s="155">
        <v>0.8</v>
      </c>
      <c r="AS13" s="158"/>
      <c r="AT13" s="158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357">
        <v>43251</v>
      </c>
      <c r="B14" s="40">
        <v>2.0416666666666701</v>
      </c>
      <c r="C14" s="40">
        <v>8.3333333333333329E-2</v>
      </c>
      <c r="D14" s="156">
        <v>4</v>
      </c>
      <c r="E14" s="154">
        <f t="shared" ref="E14:E36" si="2">D14/1.42</f>
        <v>2.8169014084507045</v>
      </c>
      <c r="F14" s="154">
        <v>4</v>
      </c>
      <c r="G14" s="118">
        <v>70</v>
      </c>
      <c r="H14" s="154">
        <f t="shared" si="0"/>
        <v>49.295774647887328</v>
      </c>
      <c r="I14" s="154">
        <v>71</v>
      </c>
      <c r="J14" s="41" t="s">
        <v>88</v>
      </c>
      <c r="K14" s="41">
        <f t="shared" ref="K14:K36" si="3">L14-(2/1.42)</f>
        <v>44.366197183098592</v>
      </c>
      <c r="L14" s="42">
        <f>(G14-5)/1.42</f>
        <v>45.774647887323944</v>
      </c>
      <c r="M14" s="41">
        <f>L14+(6/1.42)</f>
        <v>50</v>
      </c>
      <c r="N14" s="43">
        <v>14</v>
      </c>
      <c r="O14" s="44" t="s">
        <v>89</v>
      </c>
      <c r="P14" s="44">
        <v>11.2</v>
      </c>
      <c r="Q14" s="157">
        <v>143</v>
      </c>
      <c r="R14" s="157"/>
      <c r="S14" s="157">
        <v>96307964</v>
      </c>
      <c r="T14" s="45">
        <f t="shared" ref="T14:T36" si="4">IF(ISBLANK(S14),"-",S14-S13)</f>
        <v>5351</v>
      </c>
      <c r="U14" s="46">
        <f t="shared" ref="U14:U37" si="5">T14*24/1000</f>
        <v>128.42400000000001</v>
      </c>
      <c r="V14" s="46">
        <f t="shared" ref="V14:V37" si="6">T14/1000</f>
        <v>5.351</v>
      </c>
      <c r="W14" s="96">
        <v>5.9</v>
      </c>
      <c r="X14" s="96">
        <f t="shared" si="1"/>
        <v>5.9</v>
      </c>
      <c r="Y14" s="97" t="s">
        <v>138</v>
      </c>
      <c r="Z14" s="158">
        <v>0</v>
      </c>
      <c r="AA14" s="158">
        <v>0</v>
      </c>
      <c r="AB14" s="158">
        <v>1187</v>
      </c>
      <c r="AC14" s="158">
        <v>0</v>
      </c>
      <c r="AD14" s="158">
        <v>1187</v>
      </c>
      <c r="AE14" s="158">
        <v>1185</v>
      </c>
      <c r="AF14" s="47" t="s">
        <v>90</v>
      </c>
      <c r="AG14" s="47" t="s">
        <v>90</v>
      </c>
      <c r="AH14" s="98" t="s">
        <v>90</v>
      </c>
      <c r="AI14" s="103">
        <v>16183466</v>
      </c>
      <c r="AJ14" s="45">
        <f t="shared" ref="AJ14:AJ36" si="7">IF(ISBLANK(AI14),"-",AI14-AI13)</f>
        <v>1117</v>
      </c>
      <c r="AK14" s="48">
        <f t="shared" ref="AK14:AK36" si="8">AJ14/V14</f>
        <v>208.74602877966734</v>
      </c>
      <c r="AL14" s="155">
        <v>0</v>
      </c>
      <c r="AM14" s="155">
        <v>0</v>
      </c>
      <c r="AN14" s="155">
        <v>1</v>
      </c>
      <c r="AO14" s="155">
        <v>0</v>
      </c>
      <c r="AP14" s="155">
        <v>1</v>
      </c>
      <c r="AQ14" s="155">
        <v>1</v>
      </c>
      <c r="AR14" s="155">
        <v>0.8</v>
      </c>
      <c r="AS14" s="158"/>
      <c r="AT14" s="158">
        <f t="shared" ref="AT14:AT35" si="9">AS14-AS13</f>
        <v>0</v>
      </c>
      <c r="AU14" s="119">
        <v>0.89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57">
        <v>43251</v>
      </c>
      <c r="B15" s="40">
        <v>2.0833333333333299</v>
      </c>
      <c r="C15" s="40">
        <v>0.125</v>
      </c>
      <c r="D15" s="156">
        <v>4</v>
      </c>
      <c r="E15" s="154">
        <f t="shared" si="2"/>
        <v>2.8169014084507045</v>
      </c>
      <c r="F15" s="154">
        <v>5</v>
      </c>
      <c r="G15" s="118">
        <v>71</v>
      </c>
      <c r="H15" s="154">
        <f t="shared" si="0"/>
        <v>50</v>
      </c>
      <c r="I15" s="154">
        <v>73</v>
      </c>
      <c r="J15" s="41" t="s">
        <v>88</v>
      </c>
      <c r="K15" s="41">
        <f t="shared" si="3"/>
        <v>45.070422535211272</v>
      </c>
      <c r="L15" s="42">
        <f>(G15-5)/1.42</f>
        <v>46.478873239436624</v>
      </c>
      <c r="M15" s="41">
        <f>L15+(6/1.42)</f>
        <v>50.70422535211268</v>
      </c>
      <c r="N15" s="43">
        <v>14</v>
      </c>
      <c r="O15" s="44" t="s">
        <v>89</v>
      </c>
      <c r="P15" s="44">
        <v>11.2</v>
      </c>
      <c r="Q15" s="157">
        <v>142</v>
      </c>
      <c r="R15" s="157"/>
      <c r="S15" s="157">
        <v>96312948</v>
      </c>
      <c r="T15" s="45">
        <f>IF(ISBLANK(S15),"-",S15-S14)</f>
        <v>4984</v>
      </c>
      <c r="U15" s="46">
        <f t="shared" si="5"/>
        <v>119.616</v>
      </c>
      <c r="V15" s="46">
        <f t="shared" si="6"/>
        <v>4.984</v>
      </c>
      <c r="W15" s="96">
        <v>7.2</v>
      </c>
      <c r="X15" s="96">
        <f t="shared" si="1"/>
        <v>7.2</v>
      </c>
      <c r="Y15" s="97" t="s">
        <v>138</v>
      </c>
      <c r="Z15" s="158">
        <v>0</v>
      </c>
      <c r="AA15" s="158">
        <v>0</v>
      </c>
      <c r="AB15" s="158">
        <v>1187</v>
      </c>
      <c r="AC15" s="158">
        <v>0</v>
      </c>
      <c r="AD15" s="158">
        <v>1187</v>
      </c>
      <c r="AE15" s="158">
        <v>1185</v>
      </c>
      <c r="AF15" s="47" t="s">
        <v>90</v>
      </c>
      <c r="AG15" s="47" t="s">
        <v>90</v>
      </c>
      <c r="AH15" s="98" t="s">
        <v>90</v>
      </c>
      <c r="AI15" s="103">
        <v>16184592</v>
      </c>
      <c r="AJ15" s="45">
        <f t="shared" si="7"/>
        <v>1126</v>
      </c>
      <c r="AK15" s="48">
        <f t="shared" si="8"/>
        <v>225.92295345104333</v>
      </c>
      <c r="AL15" s="155">
        <v>0</v>
      </c>
      <c r="AM15" s="155">
        <v>0</v>
      </c>
      <c r="AN15" s="155">
        <v>1</v>
      </c>
      <c r="AO15" s="155">
        <v>0</v>
      </c>
      <c r="AP15" s="155">
        <v>1</v>
      </c>
      <c r="AQ15" s="155">
        <v>1</v>
      </c>
      <c r="AR15" s="155">
        <v>0.8</v>
      </c>
      <c r="AS15" s="158"/>
      <c r="AT15" s="158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357">
        <v>43251</v>
      </c>
      <c r="B16" s="40">
        <v>2.125</v>
      </c>
      <c r="C16" s="40">
        <v>0.16666666666666699</v>
      </c>
      <c r="D16" s="156" t="s">
        <v>179</v>
      </c>
      <c r="E16" s="154" t="e">
        <f t="shared" si="2"/>
        <v>#VALUE!</v>
      </c>
      <c r="F16" s="154">
        <v>6</v>
      </c>
      <c r="G16" s="118">
        <v>71</v>
      </c>
      <c r="H16" s="154">
        <f t="shared" si="0"/>
        <v>50</v>
      </c>
      <c r="I16" s="154">
        <v>73</v>
      </c>
      <c r="J16" s="41" t="s">
        <v>88</v>
      </c>
      <c r="K16" s="41">
        <f t="shared" si="3"/>
        <v>45.070422535211272</v>
      </c>
      <c r="L16" s="42">
        <f>(G16-5)/1.42</f>
        <v>46.478873239436624</v>
      </c>
      <c r="M16" s="41">
        <f>L16+(6/1.42)</f>
        <v>50.70422535211268</v>
      </c>
      <c r="N16" s="43">
        <v>14</v>
      </c>
      <c r="O16" s="44" t="s">
        <v>89</v>
      </c>
      <c r="P16" s="44">
        <v>12.8</v>
      </c>
      <c r="Q16" s="157" t="s">
        <v>179</v>
      </c>
      <c r="R16" s="157"/>
      <c r="S16" s="157">
        <v>96317778</v>
      </c>
      <c r="T16" s="45">
        <f t="shared" si="4"/>
        <v>4830</v>
      </c>
      <c r="U16" s="46">
        <f t="shared" si="5"/>
        <v>115.92</v>
      </c>
      <c r="V16" s="46">
        <f t="shared" si="6"/>
        <v>4.83</v>
      </c>
      <c r="W16" s="96">
        <v>8.8000000000000007</v>
      </c>
      <c r="X16" s="96">
        <f t="shared" si="1"/>
        <v>8.8000000000000007</v>
      </c>
      <c r="Y16" s="97" t="s">
        <v>138</v>
      </c>
      <c r="Z16" s="158">
        <v>0</v>
      </c>
      <c r="AA16" s="158">
        <v>0</v>
      </c>
      <c r="AB16" s="158">
        <v>1187</v>
      </c>
      <c r="AC16" s="158">
        <v>0</v>
      </c>
      <c r="AD16" s="158">
        <v>1187</v>
      </c>
      <c r="AE16" s="158">
        <v>1185</v>
      </c>
      <c r="AF16" s="47" t="s">
        <v>90</v>
      </c>
      <c r="AG16" s="47" t="s">
        <v>90</v>
      </c>
      <c r="AH16" s="98" t="s">
        <v>90</v>
      </c>
      <c r="AI16" s="103">
        <v>16185702</v>
      </c>
      <c r="AJ16" s="45">
        <f t="shared" si="7"/>
        <v>1110</v>
      </c>
      <c r="AK16" s="48">
        <f t="shared" si="8"/>
        <v>229.8136645962733</v>
      </c>
      <c r="AL16" s="155">
        <v>0</v>
      </c>
      <c r="AM16" s="155">
        <v>0</v>
      </c>
      <c r="AN16" s="155">
        <v>1</v>
      </c>
      <c r="AO16" s="155">
        <v>0</v>
      </c>
      <c r="AP16" s="155">
        <v>1</v>
      </c>
      <c r="AQ16" s="155">
        <v>1</v>
      </c>
      <c r="AR16" s="155">
        <v>0.8</v>
      </c>
      <c r="AS16" s="158"/>
      <c r="AT16" s="158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357">
        <v>43251</v>
      </c>
      <c r="B17" s="40">
        <v>2.1666666666666701</v>
      </c>
      <c r="C17" s="40">
        <v>0.20833333333333301</v>
      </c>
      <c r="D17" s="156" t="s">
        <v>179</v>
      </c>
      <c r="E17" s="154" t="e">
        <f t="shared" si="2"/>
        <v>#VALUE!</v>
      </c>
      <c r="F17" s="154">
        <v>7</v>
      </c>
      <c r="G17" s="118">
        <v>81</v>
      </c>
      <c r="H17" s="154">
        <f t="shared" si="0"/>
        <v>57.04225352112676</v>
      </c>
      <c r="I17" s="154">
        <v>80</v>
      </c>
      <c r="J17" s="41" t="s">
        <v>88</v>
      </c>
      <c r="K17" s="41">
        <f t="shared" si="3"/>
        <v>52.112676056338032</v>
      </c>
      <c r="L17" s="42">
        <f>(G17-5)/1.42</f>
        <v>53.521126760563384</v>
      </c>
      <c r="M17" s="41">
        <f>L17+(6/1.42)</f>
        <v>57.74647887323944</v>
      </c>
      <c r="N17" s="43">
        <v>18</v>
      </c>
      <c r="O17" s="44" t="s">
        <v>89</v>
      </c>
      <c r="P17" s="44">
        <v>13.1</v>
      </c>
      <c r="Q17" s="157" t="s">
        <v>179</v>
      </c>
      <c r="R17" s="157"/>
      <c r="S17" s="157">
        <v>96322556</v>
      </c>
      <c r="T17" s="45">
        <f t="shared" si="4"/>
        <v>4778</v>
      </c>
      <c r="U17" s="46">
        <f t="shared" si="5"/>
        <v>114.672</v>
      </c>
      <c r="V17" s="46">
        <f t="shared" si="6"/>
        <v>4.7779999999999996</v>
      </c>
      <c r="W17" s="96">
        <v>9.5</v>
      </c>
      <c r="X17" s="96">
        <f t="shared" si="1"/>
        <v>9.5</v>
      </c>
      <c r="Y17" s="97" t="s">
        <v>138</v>
      </c>
      <c r="Z17" s="158">
        <v>0</v>
      </c>
      <c r="AA17" s="158">
        <v>0</v>
      </c>
      <c r="AB17" s="158">
        <v>1187</v>
      </c>
      <c r="AC17" s="158">
        <v>0</v>
      </c>
      <c r="AD17" s="158">
        <v>1187</v>
      </c>
      <c r="AE17" s="158">
        <v>1185</v>
      </c>
      <c r="AF17" s="47" t="s">
        <v>90</v>
      </c>
      <c r="AG17" s="47" t="s">
        <v>90</v>
      </c>
      <c r="AH17" s="98" t="s">
        <v>90</v>
      </c>
      <c r="AI17" s="103">
        <v>16186811</v>
      </c>
      <c r="AJ17" s="45">
        <f t="shared" si="7"/>
        <v>1109</v>
      </c>
      <c r="AK17" s="48">
        <f t="shared" si="8"/>
        <v>232.10548346588533</v>
      </c>
      <c r="AL17" s="155">
        <v>0</v>
      </c>
      <c r="AM17" s="155">
        <v>0</v>
      </c>
      <c r="AN17" s="155">
        <v>1</v>
      </c>
      <c r="AO17" s="155">
        <v>0</v>
      </c>
      <c r="AP17" s="155">
        <v>1</v>
      </c>
      <c r="AQ17" s="155">
        <v>1</v>
      </c>
      <c r="AR17" s="155">
        <v>0</v>
      </c>
      <c r="AS17" s="158"/>
      <c r="AT17" s="158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57">
        <v>43251</v>
      </c>
      <c r="B18" s="40">
        <v>2.2083333333333299</v>
      </c>
      <c r="C18" s="40">
        <v>0.25</v>
      </c>
      <c r="D18" s="156">
        <v>4</v>
      </c>
      <c r="E18" s="154">
        <f t="shared" si="2"/>
        <v>2.8169014084507045</v>
      </c>
      <c r="F18" s="154">
        <v>7</v>
      </c>
      <c r="G18" s="118">
        <v>79</v>
      </c>
      <c r="H18" s="154">
        <f t="shared" si="0"/>
        <v>55.633802816901408</v>
      </c>
      <c r="I18" s="154">
        <v>76</v>
      </c>
      <c r="J18" s="41" t="s">
        <v>88</v>
      </c>
      <c r="K18" s="41">
        <f t="shared" si="3"/>
        <v>54.225352112676056</v>
      </c>
      <c r="L18" s="42">
        <f t="shared" ref="L18:L27" si="10">G18/1.42</f>
        <v>55.633802816901408</v>
      </c>
      <c r="M18" s="41">
        <f>L18+1.42</f>
        <v>57.05380281690141</v>
      </c>
      <c r="N18" s="43">
        <v>19</v>
      </c>
      <c r="O18" s="44" t="s">
        <v>100</v>
      </c>
      <c r="P18" s="44">
        <v>13.1</v>
      </c>
      <c r="Q18" s="157">
        <v>138</v>
      </c>
      <c r="R18" s="157"/>
      <c r="S18" s="157">
        <v>96327402</v>
      </c>
      <c r="T18" s="45">
        <f t="shared" si="4"/>
        <v>4846</v>
      </c>
      <c r="U18" s="46">
        <f t="shared" si="5"/>
        <v>116.304</v>
      </c>
      <c r="V18" s="46">
        <f t="shared" si="6"/>
        <v>4.8460000000000001</v>
      </c>
      <c r="W18" s="96">
        <v>9.5</v>
      </c>
      <c r="X18" s="96">
        <f t="shared" si="1"/>
        <v>9.5</v>
      </c>
      <c r="Y18" s="97" t="s">
        <v>138</v>
      </c>
      <c r="Z18" s="158">
        <v>0</v>
      </c>
      <c r="AA18" s="158">
        <v>0</v>
      </c>
      <c r="AB18" s="158">
        <v>1187</v>
      </c>
      <c r="AC18" s="158">
        <v>0</v>
      </c>
      <c r="AD18" s="158">
        <v>1187</v>
      </c>
      <c r="AE18" s="158">
        <v>1185</v>
      </c>
      <c r="AF18" s="47" t="s">
        <v>90</v>
      </c>
      <c r="AG18" s="47" t="s">
        <v>90</v>
      </c>
      <c r="AH18" s="98" t="s">
        <v>90</v>
      </c>
      <c r="AI18" s="103">
        <v>16187913</v>
      </c>
      <c r="AJ18" s="45">
        <f t="shared" si="7"/>
        <v>1102</v>
      </c>
      <c r="AK18" s="48">
        <f t="shared" si="8"/>
        <v>227.40404457284359</v>
      </c>
      <c r="AL18" s="155">
        <v>0</v>
      </c>
      <c r="AM18" s="155">
        <v>0</v>
      </c>
      <c r="AN18" s="155">
        <v>1</v>
      </c>
      <c r="AO18" s="155">
        <v>0</v>
      </c>
      <c r="AP18" s="155">
        <v>1</v>
      </c>
      <c r="AQ18" s="155">
        <v>1</v>
      </c>
      <c r="AR18" s="155">
        <v>0</v>
      </c>
      <c r="AS18" s="158"/>
      <c r="AT18" s="158">
        <f t="shared" si="9"/>
        <v>0</v>
      </c>
      <c r="AU18" s="119">
        <v>1.05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57">
        <v>43251</v>
      </c>
      <c r="B19" s="40">
        <v>2.25</v>
      </c>
      <c r="C19" s="40">
        <v>0.29166666666666669</v>
      </c>
      <c r="D19" s="156">
        <v>4</v>
      </c>
      <c r="E19" s="154">
        <f t="shared" si="2"/>
        <v>2.8169014084507045</v>
      </c>
      <c r="F19" s="154">
        <v>7</v>
      </c>
      <c r="G19" s="118">
        <v>80</v>
      </c>
      <c r="H19" s="154">
        <f t="shared" si="0"/>
        <v>56.338028169014088</v>
      </c>
      <c r="I19" s="154">
        <v>77</v>
      </c>
      <c r="J19" s="41" t="s">
        <v>88</v>
      </c>
      <c r="K19" s="41">
        <f t="shared" si="3"/>
        <v>54.929577464788736</v>
      </c>
      <c r="L19" s="42">
        <f t="shared" si="10"/>
        <v>56.338028169014088</v>
      </c>
      <c r="M19" s="41">
        <f>L19+1.42</f>
        <v>57.758028169014089</v>
      </c>
      <c r="N19" s="43">
        <v>19</v>
      </c>
      <c r="O19" s="44" t="s">
        <v>100</v>
      </c>
      <c r="P19" s="44">
        <v>16.7</v>
      </c>
      <c r="Q19" s="157">
        <v>132</v>
      </c>
      <c r="R19" s="157"/>
      <c r="S19" s="157">
        <v>96332970</v>
      </c>
      <c r="T19" s="45">
        <f t="shared" si="4"/>
        <v>5568</v>
      </c>
      <c r="U19" s="46">
        <f t="shared" si="5"/>
        <v>133.63200000000001</v>
      </c>
      <c r="V19" s="46">
        <f t="shared" si="6"/>
        <v>5.5679999999999996</v>
      </c>
      <c r="W19" s="96">
        <v>9.5</v>
      </c>
      <c r="X19" s="96">
        <f t="shared" si="1"/>
        <v>9.5</v>
      </c>
      <c r="Y19" s="97" t="s">
        <v>169</v>
      </c>
      <c r="Z19" s="158">
        <v>0</v>
      </c>
      <c r="AA19" s="158">
        <v>1016</v>
      </c>
      <c r="AB19" s="158">
        <v>1187</v>
      </c>
      <c r="AC19" s="158">
        <v>0</v>
      </c>
      <c r="AD19" s="158">
        <v>1187</v>
      </c>
      <c r="AE19" s="158">
        <v>1185</v>
      </c>
      <c r="AF19" s="47" t="s">
        <v>90</v>
      </c>
      <c r="AG19" s="47" t="s">
        <v>90</v>
      </c>
      <c r="AH19" s="98" t="s">
        <v>90</v>
      </c>
      <c r="AI19" s="103">
        <v>16189050</v>
      </c>
      <c r="AJ19" s="45">
        <f t="shared" si="7"/>
        <v>1137</v>
      </c>
      <c r="AK19" s="48">
        <f t="shared" si="8"/>
        <v>204.20258620689657</v>
      </c>
      <c r="AL19" s="155">
        <v>0</v>
      </c>
      <c r="AM19" s="155">
        <v>1</v>
      </c>
      <c r="AN19" s="155">
        <v>1</v>
      </c>
      <c r="AO19" s="155">
        <v>0</v>
      </c>
      <c r="AP19" s="155">
        <v>1</v>
      </c>
      <c r="AQ19" s="155">
        <v>1</v>
      </c>
      <c r="AR19" s="155">
        <v>0</v>
      </c>
      <c r="AS19" s="158"/>
      <c r="AT19" s="158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57">
        <v>43251</v>
      </c>
      <c r="B20" s="40">
        <v>2.2916666666666701</v>
      </c>
      <c r="C20" s="40">
        <v>0.33333333333333298</v>
      </c>
      <c r="D20" s="156">
        <v>4</v>
      </c>
      <c r="E20" s="154">
        <f t="shared" si="2"/>
        <v>2.8169014084507045</v>
      </c>
      <c r="F20" s="154">
        <v>6</v>
      </c>
      <c r="G20" s="118">
        <v>78</v>
      </c>
      <c r="H20" s="154">
        <f t="shared" si="0"/>
        <v>54.929577464788736</v>
      </c>
      <c r="I20" s="154">
        <v>76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7">
        <v>129</v>
      </c>
      <c r="R20" s="157"/>
      <c r="S20" s="157">
        <v>96338941</v>
      </c>
      <c r="T20" s="45">
        <f t="shared" si="4"/>
        <v>5971</v>
      </c>
      <c r="U20" s="46">
        <f>T20*24/1000</f>
        <v>143.304</v>
      </c>
      <c r="V20" s="46">
        <f t="shared" si="6"/>
        <v>5.9710000000000001</v>
      </c>
      <c r="W20" s="96">
        <v>8.9</v>
      </c>
      <c r="X20" s="96">
        <f t="shared" si="1"/>
        <v>8.9</v>
      </c>
      <c r="Y20" s="97" t="s">
        <v>169</v>
      </c>
      <c r="Z20" s="158">
        <v>0</v>
      </c>
      <c r="AA20" s="158">
        <v>1016</v>
      </c>
      <c r="AB20" s="158">
        <v>1187</v>
      </c>
      <c r="AC20" s="158">
        <v>0</v>
      </c>
      <c r="AD20" s="158">
        <v>1187</v>
      </c>
      <c r="AE20" s="158">
        <v>1185</v>
      </c>
      <c r="AF20" s="47" t="s">
        <v>90</v>
      </c>
      <c r="AG20" s="47" t="s">
        <v>90</v>
      </c>
      <c r="AH20" s="98" t="s">
        <v>90</v>
      </c>
      <c r="AI20" s="103">
        <v>16190232</v>
      </c>
      <c r="AJ20" s="45">
        <f t="shared" si="7"/>
        <v>1182</v>
      </c>
      <c r="AK20" s="48">
        <f t="shared" si="8"/>
        <v>197.95679115726008</v>
      </c>
      <c r="AL20" s="155">
        <v>0</v>
      </c>
      <c r="AM20" s="155">
        <v>1</v>
      </c>
      <c r="AN20" s="155">
        <v>1</v>
      </c>
      <c r="AO20" s="155">
        <v>0</v>
      </c>
      <c r="AP20" s="155">
        <v>1</v>
      </c>
      <c r="AQ20" s="155">
        <v>1</v>
      </c>
      <c r="AR20" s="155">
        <v>0</v>
      </c>
      <c r="AS20" s="158"/>
      <c r="AT20" s="158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357">
        <v>43251</v>
      </c>
      <c r="B21" s="40">
        <v>2.3333333333333299</v>
      </c>
      <c r="C21" s="40">
        <v>0.375</v>
      </c>
      <c r="D21" s="156">
        <v>4</v>
      </c>
      <c r="E21" s="154">
        <f t="shared" si="2"/>
        <v>2.8169014084507045</v>
      </c>
      <c r="F21" s="154">
        <v>6</v>
      </c>
      <c r="G21" s="118">
        <v>77</v>
      </c>
      <c r="H21" s="154">
        <f t="shared" si="0"/>
        <v>54.225352112676056</v>
      </c>
      <c r="I21" s="154">
        <v>75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7">
        <v>129</v>
      </c>
      <c r="R21" s="157"/>
      <c r="S21" s="157">
        <v>96344030</v>
      </c>
      <c r="T21" s="45">
        <f t="shared" si="4"/>
        <v>5089</v>
      </c>
      <c r="U21" s="46">
        <f t="shared" si="5"/>
        <v>122.136</v>
      </c>
      <c r="V21" s="46">
        <f t="shared" si="6"/>
        <v>5.0890000000000004</v>
      </c>
      <c r="W21" s="96">
        <v>8.3000000000000007</v>
      </c>
      <c r="X21" s="96">
        <f t="shared" si="1"/>
        <v>8.3000000000000007</v>
      </c>
      <c r="Y21" s="97" t="s">
        <v>169</v>
      </c>
      <c r="Z21" s="158">
        <v>0</v>
      </c>
      <c r="AA21" s="158">
        <v>1015</v>
      </c>
      <c r="AB21" s="158">
        <v>1187</v>
      </c>
      <c r="AC21" s="158">
        <v>0</v>
      </c>
      <c r="AD21" s="158">
        <v>1187</v>
      </c>
      <c r="AE21" s="158">
        <v>1185</v>
      </c>
      <c r="AF21" s="47" t="s">
        <v>90</v>
      </c>
      <c r="AG21" s="47" t="s">
        <v>90</v>
      </c>
      <c r="AH21" s="98" t="s">
        <v>90</v>
      </c>
      <c r="AI21" s="103">
        <v>16191391</v>
      </c>
      <c r="AJ21" s="45">
        <f t="shared" si="7"/>
        <v>1159</v>
      </c>
      <c r="AK21" s="48">
        <f t="shared" si="8"/>
        <v>227.7461190803694</v>
      </c>
      <c r="AL21" s="155">
        <v>0</v>
      </c>
      <c r="AM21" s="155">
        <v>1</v>
      </c>
      <c r="AN21" s="155">
        <v>1</v>
      </c>
      <c r="AO21" s="155">
        <v>0</v>
      </c>
      <c r="AP21" s="155">
        <v>1</v>
      </c>
      <c r="AQ21" s="155">
        <v>1</v>
      </c>
      <c r="AR21" s="155">
        <v>0</v>
      </c>
      <c r="AS21" s="158"/>
      <c r="AT21" s="158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205</v>
      </c>
    </row>
    <row r="22" spans="1:54" x14ac:dyDescent="0.35">
      <c r="A22" s="357">
        <v>43251</v>
      </c>
      <c r="B22" s="40">
        <v>2.375</v>
      </c>
      <c r="C22" s="40">
        <v>0.41666666666666669</v>
      </c>
      <c r="D22" s="156" t="s">
        <v>179</v>
      </c>
      <c r="E22" s="154" t="e">
        <f t="shared" si="2"/>
        <v>#VALUE!</v>
      </c>
      <c r="F22" s="154">
        <v>5</v>
      </c>
      <c r="G22" s="118">
        <v>76</v>
      </c>
      <c r="H22" s="154">
        <f t="shared" si="0"/>
        <v>53.521126760563384</v>
      </c>
      <c r="I22" s="154">
        <v>74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7" t="s">
        <v>179</v>
      </c>
      <c r="R22" s="157"/>
      <c r="S22" s="157">
        <v>96347757</v>
      </c>
      <c r="T22" s="45">
        <f t="shared" si="4"/>
        <v>3727</v>
      </c>
      <c r="U22" s="46">
        <f t="shared" si="5"/>
        <v>89.447999999999993</v>
      </c>
      <c r="V22" s="46">
        <f t="shared" si="6"/>
        <v>3.7269999999999999</v>
      </c>
      <c r="W22" s="96">
        <v>7.7</v>
      </c>
      <c r="X22" s="96">
        <f t="shared" si="1"/>
        <v>7.7</v>
      </c>
      <c r="Y22" s="97" t="s">
        <v>169</v>
      </c>
      <c r="Z22" s="158">
        <v>0</v>
      </c>
      <c r="AA22" s="158">
        <v>1016</v>
      </c>
      <c r="AB22" s="158">
        <v>1187</v>
      </c>
      <c r="AC22" s="158">
        <v>0</v>
      </c>
      <c r="AD22" s="158">
        <v>1187</v>
      </c>
      <c r="AE22" s="158">
        <v>1185</v>
      </c>
      <c r="AF22" s="47" t="s">
        <v>90</v>
      </c>
      <c r="AG22" s="47" t="s">
        <v>90</v>
      </c>
      <c r="AH22" s="98" t="s">
        <v>90</v>
      </c>
      <c r="AI22" s="103">
        <v>16192595</v>
      </c>
      <c r="AJ22" s="45">
        <f t="shared" si="7"/>
        <v>1204</v>
      </c>
      <c r="AK22" s="48">
        <f t="shared" si="8"/>
        <v>323.04802790448082</v>
      </c>
      <c r="AL22" s="155">
        <v>0</v>
      </c>
      <c r="AM22" s="155">
        <v>1</v>
      </c>
      <c r="AN22" s="155">
        <v>1</v>
      </c>
      <c r="AO22" s="155">
        <v>0</v>
      </c>
      <c r="AP22" s="155">
        <v>1</v>
      </c>
      <c r="AQ22" s="155">
        <v>1</v>
      </c>
      <c r="AR22" s="155">
        <v>0</v>
      </c>
      <c r="AS22" s="158"/>
      <c r="AT22" s="158">
        <f t="shared" si="9"/>
        <v>0</v>
      </c>
      <c r="AU22" s="119">
        <v>0.78</v>
      </c>
      <c r="AV22" s="50" t="s">
        <v>125</v>
      </c>
      <c r="BB22" s="136" t="s">
        <v>157</v>
      </c>
    </row>
    <row r="23" spans="1:54" x14ac:dyDescent="0.35">
      <c r="A23" s="357">
        <v>43251</v>
      </c>
      <c r="B23" s="40">
        <v>2.4166666666666701</v>
      </c>
      <c r="C23" s="40">
        <v>0.45833333333333298</v>
      </c>
      <c r="D23" s="156" t="s">
        <v>179</v>
      </c>
      <c r="E23" s="154" t="e">
        <f t="shared" si="2"/>
        <v>#VALUE!</v>
      </c>
      <c r="F23" s="154">
        <v>3</v>
      </c>
      <c r="G23" s="118">
        <v>75</v>
      </c>
      <c r="H23" s="154">
        <f t="shared" si="0"/>
        <v>52.816901408450704</v>
      </c>
      <c r="I23" s="154">
        <v>72</v>
      </c>
      <c r="J23" s="41" t="s">
        <v>88</v>
      </c>
      <c r="K23" s="41">
        <f t="shared" si="3"/>
        <v>51.408450704225352</v>
      </c>
      <c r="L23" s="42">
        <f t="shared" si="10"/>
        <v>52.816901408450704</v>
      </c>
      <c r="M23" s="41">
        <f t="shared" si="11"/>
        <v>54.236901408450706</v>
      </c>
      <c r="N23" s="43">
        <v>19</v>
      </c>
      <c r="O23" s="44" t="s">
        <v>100</v>
      </c>
      <c r="P23" s="44">
        <v>17.7</v>
      </c>
      <c r="Q23" s="157" t="s">
        <v>179</v>
      </c>
      <c r="R23" s="157"/>
      <c r="S23" s="157">
        <v>96351460</v>
      </c>
      <c r="T23" s="45">
        <f t="shared" si="4"/>
        <v>3703</v>
      </c>
      <c r="U23" s="46">
        <f t="shared" si="5"/>
        <v>88.872</v>
      </c>
      <c r="V23" s="46">
        <f t="shared" si="6"/>
        <v>3.7029999999999998</v>
      </c>
      <c r="W23" s="96">
        <v>7.1</v>
      </c>
      <c r="X23" s="96">
        <f>W23</f>
        <v>7.1</v>
      </c>
      <c r="Y23" s="97" t="s">
        <v>169</v>
      </c>
      <c r="Z23" s="158">
        <v>0</v>
      </c>
      <c r="AA23" s="158">
        <v>1027</v>
      </c>
      <c r="AB23" s="158">
        <v>1187</v>
      </c>
      <c r="AC23" s="158">
        <v>0</v>
      </c>
      <c r="AD23" s="158">
        <v>1187</v>
      </c>
      <c r="AE23" s="158">
        <v>1185</v>
      </c>
      <c r="AF23" s="47" t="s">
        <v>90</v>
      </c>
      <c r="AG23" s="47" t="s">
        <v>90</v>
      </c>
      <c r="AH23" s="98" t="s">
        <v>90</v>
      </c>
      <c r="AI23" s="103">
        <v>16193794</v>
      </c>
      <c r="AJ23" s="45">
        <f t="shared" si="7"/>
        <v>1199</v>
      </c>
      <c r="AK23" s="48">
        <f t="shared" si="8"/>
        <v>323.79152038887389</v>
      </c>
      <c r="AL23" s="155">
        <v>0</v>
      </c>
      <c r="AM23" s="155">
        <v>1</v>
      </c>
      <c r="AN23" s="155">
        <v>1</v>
      </c>
      <c r="AO23" s="155">
        <v>0</v>
      </c>
      <c r="AP23" s="155">
        <v>1</v>
      </c>
      <c r="AQ23" s="155">
        <v>1</v>
      </c>
      <c r="AR23" s="155">
        <v>0</v>
      </c>
      <c r="AS23" s="158"/>
      <c r="AT23" s="158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357">
        <v>43251</v>
      </c>
      <c r="B24" s="40">
        <v>2.4583333333333299</v>
      </c>
      <c r="C24" s="40">
        <v>0.5</v>
      </c>
      <c r="D24" s="156" t="s">
        <v>179</v>
      </c>
      <c r="E24" s="154" t="e">
        <f t="shared" si="2"/>
        <v>#VALUE!</v>
      </c>
      <c r="F24" s="154">
        <v>3</v>
      </c>
      <c r="G24" s="118">
        <v>75</v>
      </c>
      <c r="H24" s="154">
        <f t="shared" si="0"/>
        <v>52.816901408450704</v>
      </c>
      <c r="I24" s="154">
        <v>72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7" t="s">
        <v>179</v>
      </c>
      <c r="R24" s="157"/>
      <c r="S24" s="157">
        <v>96355225</v>
      </c>
      <c r="T24" s="45">
        <f t="shared" si="4"/>
        <v>3765</v>
      </c>
      <c r="U24" s="46">
        <f>T24*24/1000</f>
        <v>90.36</v>
      </c>
      <c r="V24" s="46">
        <f t="shared" si="6"/>
        <v>3.7650000000000001</v>
      </c>
      <c r="W24" s="96">
        <v>6.5</v>
      </c>
      <c r="X24" s="96">
        <f t="shared" si="1"/>
        <v>6.5</v>
      </c>
      <c r="Y24" s="97" t="s">
        <v>169</v>
      </c>
      <c r="Z24" s="158">
        <v>0</v>
      </c>
      <c r="AA24" s="158">
        <v>1027</v>
      </c>
      <c r="AB24" s="158">
        <v>1187</v>
      </c>
      <c r="AC24" s="158">
        <v>0</v>
      </c>
      <c r="AD24" s="158">
        <v>1187</v>
      </c>
      <c r="AE24" s="158">
        <v>1185</v>
      </c>
      <c r="AF24" s="47" t="s">
        <v>90</v>
      </c>
      <c r="AG24" s="47" t="s">
        <v>90</v>
      </c>
      <c r="AH24" s="98" t="s">
        <v>90</v>
      </c>
      <c r="AI24" s="103">
        <v>16194987</v>
      </c>
      <c r="AJ24" s="45">
        <f t="shared" si="7"/>
        <v>1193</v>
      </c>
      <c r="AK24" s="48">
        <f t="shared" si="8"/>
        <v>316.86586985391767</v>
      </c>
      <c r="AL24" s="155">
        <v>0</v>
      </c>
      <c r="AM24" s="155">
        <v>1</v>
      </c>
      <c r="AN24" s="155">
        <v>1</v>
      </c>
      <c r="AO24" s="155">
        <v>0</v>
      </c>
      <c r="AP24" s="155">
        <v>1</v>
      </c>
      <c r="AQ24" s="155">
        <v>1</v>
      </c>
      <c r="AR24" s="155">
        <v>0</v>
      </c>
      <c r="AS24" s="158"/>
      <c r="AT24" s="158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357">
        <v>43251</v>
      </c>
      <c r="B25" s="40">
        <v>2.5</v>
      </c>
      <c r="C25" s="40">
        <v>0.54166666666666696</v>
      </c>
      <c r="D25" s="156" t="s">
        <v>179</v>
      </c>
      <c r="E25" s="154" t="e">
        <f t="shared" si="2"/>
        <v>#VALUE!</v>
      </c>
      <c r="F25" s="154">
        <v>1</v>
      </c>
      <c r="G25" s="118">
        <v>75</v>
      </c>
      <c r="H25" s="154">
        <f t="shared" si="0"/>
        <v>52.816901408450704</v>
      </c>
      <c r="I25" s="154">
        <v>72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7" t="s">
        <v>179</v>
      </c>
      <c r="R25" s="157"/>
      <c r="S25" s="157">
        <v>96359576</v>
      </c>
      <c r="T25" s="45">
        <f t="shared" si="4"/>
        <v>4351</v>
      </c>
      <c r="U25" s="46">
        <f>T25*24/1000</f>
        <v>104.42400000000001</v>
      </c>
      <c r="V25" s="46">
        <f t="shared" si="6"/>
        <v>4.351</v>
      </c>
      <c r="W25" s="96">
        <v>5.9</v>
      </c>
      <c r="X25" s="96">
        <f t="shared" si="1"/>
        <v>5.9</v>
      </c>
      <c r="Y25" s="97" t="s">
        <v>169</v>
      </c>
      <c r="Z25" s="158">
        <v>0</v>
      </c>
      <c r="AA25" s="158">
        <v>1026</v>
      </c>
      <c r="AB25" s="158">
        <v>1187</v>
      </c>
      <c r="AC25" s="158">
        <v>0</v>
      </c>
      <c r="AD25" s="158">
        <v>1187</v>
      </c>
      <c r="AE25" s="158">
        <v>1185</v>
      </c>
      <c r="AF25" s="47" t="s">
        <v>90</v>
      </c>
      <c r="AG25" s="47" t="s">
        <v>90</v>
      </c>
      <c r="AH25" s="98" t="s">
        <v>90</v>
      </c>
      <c r="AI25" s="103">
        <v>16196173</v>
      </c>
      <c r="AJ25" s="45">
        <f t="shared" si="7"/>
        <v>1186</v>
      </c>
      <c r="AK25" s="48">
        <f t="shared" si="8"/>
        <v>272.58101585842337</v>
      </c>
      <c r="AL25" s="155">
        <v>0</v>
      </c>
      <c r="AM25" s="155">
        <v>1</v>
      </c>
      <c r="AN25" s="155">
        <v>1</v>
      </c>
      <c r="AO25" s="155">
        <v>0</v>
      </c>
      <c r="AP25" s="155">
        <v>1</v>
      </c>
      <c r="AQ25" s="155">
        <v>1</v>
      </c>
      <c r="AR25" s="155">
        <v>0</v>
      </c>
      <c r="AS25" s="158"/>
      <c r="AT25" s="158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57">
        <v>43251</v>
      </c>
      <c r="B26" s="40">
        <v>2.5416666666666701</v>
      </c>
      <c r="C26" s="40">
        <v>0.58333333333333404</v>
      </c>
      <c r="D26" s="156" t="s">
        <v>179</v>
      </c>
      <c r="E26" s="154" t="e">
        <f t="shared" si="2"/>
        <v>#VALUE!</v>
      </c>
      <c r="F26" s="154">
        <v>1</v>
      </c>
      <c r="G26" s="118">
        <v>75</v>
      </c>
      <c r="H26" s="154">
        <f t="shared" si="0"/>
        <v>52.816901408450704</v>
      </c>
      <c r="I26" s="154">
        <v>71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7" t="s">
        <v>179</v>
      </c>
      <c r="R26" s="157"/>
      <c r="S26" s="157">
        <v>96364570</v>
      </c>
      <c r="T26" s="45">
        <f t="shared" si="4"/>
        <v>4994</v>
      </c>
      <c r="U26" s="46">
        <f t="shared" si="5"/>
        <v>119.85599999999999</v>
      </c>
      <c r="V26" s="46">
        <f t="shared" si="6"/>
        <v>4.9939999999999998</v>
      </c>
      <c r="W26" s="96">
        <v>5.4</v>
      </c>
      <c r="X26" s="96">
        <f t="shared" si="1"/>
        <v>5.4</v>
      </c>
      <c r="Y26" s="97" t="s">
        <v>169</v>
      </c>
      <c r="Z26" s="158">
        <v>0</v>
      </c>
      <c r="AA26" s="158">
        <v>1026</v>
      </c>
      <c r="AB26" s="158">
        <v>1187</v>
      </c>
      <c r="AC26" s="158">
        <v>0</v>
      </c>
      <c r="AD26" s="158">
        <v>1187</v>
      </c>
      <c r="AE26" s="158">
        <v>1185</v>
      </c>
      <c r="AF26" s="47" t="s">
        <v>90</v>
      </c>
      <c r="AG26" s="47" t="s">
        <v>90</v>
      </c>
      <c r="AH26" s="98" t="s">
        <v>90</v>
      </c>
      <c r="AI26" s="103">
        <v>16197277</v>
      </c>
      <c r="AJ26" s="45">
        <f t="shared" si="7"/>
        <v>1104</v>
      </c>
      <c r="AK26" s="48">
        <f t="shared" si="8"/>
        <v>221.06527833400082</v>
      </c>
      <c r="AL26" s="155">
        <v>0</v>
      </c>
      <c r="AM26" s="155">
        <v>1</v>
      </c>
      <c r="AN26" s="155">
        <v>1</v>
      </c>
      <c r="AO26" s="155">
        <v>0</v>
      </c>
      <c r="AP26" s="155">
        <v>1</v>
      </c>
      <c r="AQ26" s="155">
        <v>1</v>
      </c>
      <c r="AR26" s="155">
        <v>0</v>
      </c>
      <c r="AS26" s="158"/>
      <c r="AT26" s="158">
        <f t="shared" si="9"/>
        <v>0</v>
      </c>
      <c r="AU26" s="119">
        <v>1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57">
        <v>43251</v>
      </c>
      <c r="B27" s="40">
        <v>2.5833333333333299</v>
      </c>
      <c r="C27" s="40">
        <v>0.625</v>
      </c>
      <c r="D27" s="156" t="s">
        <v>179</v>
      </c>
      <c r="E27" s="154" t="e">
        <f t="shared" si="2"/>
        <v>#VALUE!</v>
      </c>
      <c r="F27" s="154">
        <v>0</v>
      </c>
      <c r="G27" s="118">
        <v>77</v>
      </c>
      <c r="H27" s="154">
        <f t="shared" si="0"/>
        <v>54.225352112676056</v>
      </c>
      <c r="I27" s="154">
        <v>71</v>
      </c>
      <c r="J27" s="41" t="s">
        <v>88</v>
      </c>
      <c r="K27" s="41">
        <f t="shared" si="3"/>
        <v>52.816901408450704</v>
      </c>
      <c r="L27" s="42">
        <f t="shared" si="10"/>
        <v>54.225352112676056</v>
      </c>
      <c r="M27" s="41">
        <f t="shared" si="12"/>
        <v>58.450704225352112</v>
      </c>
      <c r="N27" s="43">
        <v>18</v>
      </c>
      <c r="O27" s="44" t="s">
        <v>100</v>
      </c>
      <c r="P27" s="44">
        <v>16.899999999999999</v>
      </c>
      <c r="Q27" s="157" t="s">
        <v>179</v>
      </c>
      <c r="R27" s="157"/>
      <c r="S27" s="157">
        <v>96370366</v>
      </c>
      <c r="T27" s="45">
        <f t="shared" si="4"/>
        <v>5796</v>
      </c>
      <c r="U27" s="46">
        <f t="shared" si="5"/>
        <v>139.10400000000001</v>
      </c>
      <c r="V27" s="46">
        <f t="shared" si="6"/>
        <v>5.7960000000000003</v>
      </c>
      <c r="W27" s="96">
        <v>5</v>
      </c>
      <c r="X27" s="96">
        <f t="shared" si="1"/>
        <v>5</v>
      </c>
      <c r="Y27" s="97" t="s">
        <v>169</v>
      </c>
      <c r="Z27" s="158">
        <v>0</v>
      </c>
      <c r="AA27" s="158">
        <v>1026</v>
      </c>
      <c r="AB27" s="158">
        <v>1187</v>
      </c>
      <c r="AC27" s="158">
        <v>0</v>
      </c>
      <c r="AD27" s="158">
        <v>1187</v>
      </c>
      <c r="AE27" s="158">
        <v>1185</v>
      </c>
      <c r="AF27" s="47" t="s">
        <v>90</v>
      </c>
      <c r="AG27" s="47" t="s">
        <v>90</v>
      </c>
      <c r="AH27" s="98" t="s">
        <v>90</v>
      </c>
      <c r="AI27" s="103">
        <v>16198512</v>
      </c>
      <c r="AJ27" s="45">
        <f t="shared" si="7"/>
        <v>1235</v>
      </c>
      <c r="AK27" s="48">
        <f t="shared" si="8"/>
        <v>213.07798481711524</v>
      </c>
      <c r="AL27" s="155">
        <v>0</v>
      </c>
      <c r="AM27" s="155">
        <v>1</v>
      </c>
      <c r="AN27" s="155">
        <v>1</v>
      </c>
      <c r="AO27" s="155">
        <v>0</v>
      </c>
      <c r="AP27" s="155">
        <v>1</v>
      </c>
      <c r="AQ27" s="155">
        <v>1</v>
      </c>
      <c r="AR27" s="155">
        <v>0</v>
      </c>
      <c r="AS27" s="158"/>
      <c r="AT27" s="158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57">
        <v>43251</v>
      </c>
      <c r="B28" s="40">
        <v>2.625</v>
      </c>
      <c r="C28" s="40">
        <v>0.66666666666666696</v>
      </c>
      <c r="D28" s="156" t="s">
        <v>179</v>
      </c>
      <c r="E28" s="154" t="e">
        <f t="shared" si="2"/>
        <v>#VALUE!</v>
      </c>
      <c r="F28" s="154">
        <v>0</v>
      </c>
      <c r="G28" s="118">
        <v>76</v>
      </c>
      <c r="H28" s="154">
        <f t="shared" si="0"/>
        <v>53.521126760563384</v>
      </c>
      <c r="I28" s="154">
        <v>70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7" t="s">
        <v>179</v>
      </c>
      <c r="R28" s="157"/>
      <c r="S28" s="157">
        <v>96375930</v>
      </c>
      <c r="T28" s="45">
        <f t="shared" si="4"/>
        <v>5564</v>
      </c>
      <c r="U28" s="46">
        <f t="shared" si="5"/>
        <v>133.536</v>
      </c>
      <c r="V28" s="46">
        <f t="shared" si="6"/>
        <v>5.5640000000000001</v>
      </c>
      <c r="W28" s="96">
        <v>4.5999999999999996</v>
      </c>
      <c r="X28" s="96">
        <f t="shared" si="1"/>
        <v>4.5999999999999996</v>
      </c>
      <c r="Y28" s="97" t="s">
        <v>169</v>
      </c>
      <c r="Z28" s="158">
        <v>0</v>
      </c>
      <c r="AA28" s="158">
        <v>1026</v>
      </c>
      <c r="AB28" s="158">
        <v>1187</v>
      </c>
      <c r="AC28" s="158">
        <v>0</v>
      </c>
      <c r="AD28" s="158">
        <v>1187</v>
      </c>
      <c r="AE28" s="158">
        <v>1185</v>
      </c>
      <c r="AF28" s="47" t="s">
        <v>90</v>
      </c>
      <c r="AG28" s="47" t="s">
        <v>90</v>
      </c>
      <c r="AH28" s="98" t="s">
        <v>90</v>
      </c>
      <c r="AI28" s="103">
        <v>16199704</v>
      </c>
      <c r="AJ28" s="45">
        <f>IF(ISBLANK(AI28),"-",AI28-AI27)</f>
        <v>1192</v>
      </c>
      <c r="AK28" s="48">
        <f t="shared" si="8"/>
        <v>214.23436376707406</v>
      </c>
      <c r="AL28" s="155">
        <v>0</v>
      </c>
      <c r="AM28" s="155">
        <v>1</v>
      </c>
      <c r="AN28" s="155">
        <v>1</v>
      </c>
      <c r="AO28" s="155">
        <v>0</v>
      </c>
      <c r="AP28" s="155">
        <v>1</v>
      </c>
      <c r="AQ28" s="155">
        <v>1</v>
      </c>
      <c r="AR28" s="155">
        <v>0</v>
      </c>
      <c r="AS28" s="158"/>
      <c r="AT28" s="158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357">
        <v>43251</v>
      </c>
      <c r="B29" s="40">
        <v>2.6666666666666701</v>
      </c>
      <c r="C29" s="40">
        <v>0.70833333333333404</v>
      </c>
      <c r="D29" s="156" t="s">
        <v>179</v>
      </c>
      <c r="E29" s="154" t="e">
        <f t="shared" si="2"/>
        <v>#VALUE!</v>
      </c>
      <c r="F29" s="154">
        <v>-1</v>
      </c>
      <c r="G29" s="118">
        <v>76</v>
      </c>
      <c r="H29" s="154">
        <f t="shared" si="0"/>
        <v>53.521126760563384</v>
      </c>
      <c r="I29" s="154">
        <v>70</v>
      </c>
      <c r="J29" s="41" t="s">
        <v>88</v>
      </c>
      <c r="K29" s="41">
        <f t="shared" si="3"/>
        <v>50</v>
      </c>
      <c r="L29" s="42">
        <f t="shared" ref="L29:L34" si="13">(G29-3)/1.42</f>
        <v>51.408450704225352</v>
      </c>
      <c r="M29" s="41">
        <f t="shared" si="12"/>
        <v>55.633802816901408</v>
      </c>
      <c r="N29" s="43">
        <v>18</v>
      </c>
      <c r="O29" s="44" t="s">
        <v>100</v>
      </c>
      <c r="P29" s="44">
        <v>16.7</v>
      </c>
      <c r="Q29" s="157" t="s">
        <v>179</v>
      </c>
      <c r="R29" s="157"/>
      <c r="S29" s="157">
        <v>96381806</v>
      </c>
      <c r="T29" s="45">
        <f t="shared" si="4"/>
        <v>5876</v>
      </c>
      <c r="U29" s="46">
        <f t="shared" si="5"/>
        <v>141.024</v>
      </c>
      <c r="V29" s="46">
        <f t="shared" si="6"/>
        <v>5.8760000000000003</v>
      </c>
      <c r="W29" s="96">
        <v>4</v>
      </c>
      <c r="X29" s="96">
        <f t="shared" si="1"/>
        <v>4</v>
      </c>
      <c r="Y29" s="97" t="s">
        <v>169</v>
      </c>
      <c r="Z29" s="158">
        <v>0</v>
      </c>
      <c r="AA29" s="158">
        <v>1026</v>
      </c>
      <c r="AB29" s="158">
        <v>1187</v>
      </c>
      <c r="AC29" s="158">
        <v>0</v>
      </c>
      <c r="AD29" s="158">
        <v>1187</v>
      </c>
      <c r="AE29" s="158">
        <v>1185</v>
      </c>
      <c r="AF29" s="47" t="s">
        <v>90</v>
      </c>
      <c r="AG29" s="47" t="s">
        <v>90</v>
      </c>
      <c r="AH29" s="98" t="s">
        <v>90</v>
      </c>
      <c r="AI29" s="103">
        <v>16200884</v>
      </c>
      <c r="AJ29" s="45">
        <f t="shared" si="7"/>
        <v>1180</v>
      </c>
      <c r="AK29" s="48">
        <f>AJ28/V29</f>
        <v>202.85908781484002</v>
      </c>
      <c r="AL29" s="155">
        <v>0</v>
      </c>
      <c r="AM29" s="155">
        <v>1</v>
      </c>
      <c r="AN29" s="155">
        <v>1</v>
      </c>
      <c r="AO29" s="155">
        <v>0</v>
      </c>
      <c r="AP29" s="155">
        <v>1</v>
      </c>
      <c r="AQ29" s="155">
        <v>1</v>
      </c>
      <c r="AR29" s="155">
        <v>0</v>
      </c>
      <c r="AS29" s="158"/>
      <c r="AT29" s="158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357">
        <v>43251</v>
      </c>
      <c r="B30" s="40">
        <v>2.7083333333333299</v>
      </c>
      <c r="C30" s="40">
        <v>0.750000000000002</v>
      </c>
      <c r="D30" s="156" t="s">
        <v>179</v>
      </c>
      <c r="E30" s="154" t="e">
        <f t="shared" si="2"/>
        <v>#VALUE!</v>
      </c>
      <c r="F30" s="154">
        <v>-1</v>
      </c>
      <c r="G30" s="118">
        <v>75</v>
      </c>
      <c r="H30" s="154">
        <f t="shared" si="0"/>
        <v>52.816901408450704</v>
      </c>
      <c r="I30" s="154">
        <v>69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7" t="s">
        <v>179</v>
      </c>
      <c r="R30" s="157"/>
      <c r="S30" s="157">
        <v>96387512</v>
      </c>
      <c r="T30" s="45">
        <f t="shared" si="4"/>
        <v>5706</v>
      </c>
      <c r="U30" s="46">
        <f t="shared" si="5"/>
        <v>136.94399999999999</v>
      </c>
      <c r="V30" s="46">
        <f t="shared" si="6"/>
        <v>5.7060000000000004</v>
      </c>
      <c r="W30" s="96">
        <v>3.6</v>
      </c>
      <c r="X30" s="96">
        <f t="shared" si="1"/>
        <v>3.6</v>
      </c>
      <c r="Y30" s="97" t="s">
        <v>169</v>
      </c>
      <c r="Z30" s="158">
        <v>0</v>
      </c>
      <c r="AA30" s="158">
        <v>1015</v>
      </c>
      <c r="AB30" s="158">
        <v>1187</v>
      </c>
      <c r="AC30" s="158">
        <v>0</v>
      </c>
      <c r="AD30" s="158">
        <v>1187</v>
      </c>
      <c r="AE30" s="158">
        <v>1185</v>
      </c>
      <c r="AF30" s="47" t="s">
        <v>90</v>
      </c>
      <c r="AG30" s="47" t="s">
        <v>90</v>
      </c>
      <c r="AH30" s="98" t="s">
        <v>90</v>
      </c>
      <c r="AI30" s="103">
        <v>16202047</v>
      </c>
      <c r="AJ30" s="45">
        <f t="shared" si="7"/>
        <v>1163</v>
      </c>
      <c r="AK30" s="48">
        <f>AJ29/V30</f>
        <v>206.79985979670522</v>
      </c>
      <c r="AL30" s="155">
        <v>0</v>
      </c>
      <c r="AM30" s="155">
        <v>1</v>
      </c>
      <c r="AN30" s="155">
        <v>1</v>
      </c>
      <c r="AO30" s="155">
        <v>0</v>
      </c>
      <c r="AP30" s="155">
        <v>1</v>
      </c>
      <c r="AQ30" s="155">
        <v>1</v>
      </c>
      <c r="AR30" s="155">
        <v>0</v>
      </c>
      <c r="AS30" s="158"/>
      <c r="AT30" s="158">
        <f t="shared" si="9"/>
        <v>0</v>
      </c>
      <c r="AU30" s="159">
        <v>1.01</v>
      </c>
      <c r="AV30" s="50" t="s">
        <v>124</v>
      </c>
      <c r="AY30" s="55" t="s">
        <v>114</v>
      </c>
      <c r="AZ30" s="55">
        <v>101.325</v>
      </c>
      <c r="BB30" s="74" t="s">
        <v>271</v>
      </c>
    </row>
    <row r="31" spans="1:54" x14ac:dyDescent="0.35">
      <c r="A31" s="357">
        <v>43251</v>
      </c>
      <c r="B31" s="40">
        <v>2.75</v>
      </c>
      <c r="C31" s="40">
        <v>0.79166666666666896</v>
      </c>
      <c r="D31" s="156" t="s">
        <v>179</v>
      </c>
      <c r="E31" s="154" t="e">
        <f t="shared" si="2"/>
        <v>#VALUE!</v>
      </c>
      <c r="F31" s="154">
        <v>-2</v>
      </c>
      <c r="G31" s="118">
        <v>75</v>
      </c>
      <c r="H31" s="154">
        <f t="shared" si="0"/>
        <v>52.816901408450704</v>
      </c>
      <c r="I31" s="154">
        <v>69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7" t="s">
        <v>179</v>
      </c>
      <c r="R31" s="157"/>
      <c r="S31" s="157">
        <v>96393218</v>
      </c>
      <c r="T31" s="45">
        <f t="shared" si="4"/>
        <v>5706</v>
      </c>
      <c r="U31" s="46">
        <f t="shared" si="5"/>
        <v>136.94399999999999</v>
      </c>
      <c r="V31" s="46">
        <f t="shared" si="6"/>
        <v>5.7060000000000004</v>
      </c>
      <c r="W31" s="96">
        <v>3.2</v>
      </c>
      <c r="X31" s="96">
        <f t="shared" si="1"/>
        <v>3.2</v>
      </c>
      <c r="Y31" s="97" t="s">
        <v>169</v>
      </c>
      <c r="Z31" s="158">
        <v>0</v>
      </c>
      <c r="AA31" s="158">
        <v>1015</v>
      </c>
      <c r="AB31" s="158">
        <v>1187</v>
      </c>
      <c r="AC31" s="158">
        <v>0</v>
      </c>
      <c r="AD31" s="158">
        <v>1187</v>
      </c>
      <c r="AE31" s="158">
        <v>1185</v>
      </c>
      <c r="AF31" s="47" t="s">
        <v>90</v>
      </c>
      <c r="AG31" s="47" t="s">
        <v>90</v>
      </c>
      <c r="AH31" s="98" t="s">
        <v>90</v>
      </c>
      <c r="AI31" s="103">
        <v>16203198</v>
      </c>
      <c r="AJ31" s="45">
        <f t="shared" si="7"/>
        <v>1151</v>
      </c>
      <c r="AK31" s="48">
        <f t="shared" si="8"/>
        <v>201.71749036102347</v>
      </c>
      <c r="AL31" s="155">
        <v>0</v>
      </c>
      <c r="AM31" s="155">
        <v>1</v>
      </c>
      <c r="AN31" s="155">
        <v>1</v>
      </c>
      <c r="AO31" s="155">
        <v>0</v>
      </c>
      <c r="AP31" s="155">
        <v>1</v>
      </c>
      <c r="AQ31" s="155">
        <v>1</v>
      </c>
      <c r="AR31" s="155">
        <v>0</v>
      </c>
      <c r="AS31" s="158"/>
      <c r="AT31" s="158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357">
        <v>43251</v>
      </c>
      <c r="B32" s="40">
        <v>2.7916666666666701</v>
      </c>
      <c r="C32" s="40">
        <v>0.83333333333333703</v>
      </c>
      <c r="D32" s="156" t="s">
        <v>179</v>
      </c>
      <c r="E32" s="154" t="e">
        <f t="shared" si="2"/>
        <v>#VALUE!</v>
      </c>
      <c r="F32" s="154">
        <v>-2</v>
      </c>
      <c r="G32" s="118">
        <v>75</v>
      </c>
      <c r="H32" s="154">
        <f t="shared" si="0"/>
        <v>52.816901408450704</v>
      </c>
      <c r="I32" s="154">
        <v>68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7" t="s">
        <v>179</v>
      </c>
      <c r="R32" s="157"/>
      <c r="S32" s="157">
        <v>96398919</v>
      </c>
      <c r="T32" s="45">
        <f t="shared" si="4"/>
        <v>5701</v>
      </c>
      <c r="U32" s="46">
        <f t="shared" si="5"/>
        <v>136.82400000000001</v>
      </c>
      <c r="V32" s="46">
        <f t="shared" si="6"/>
        <v>5.7009999999999996</v>
      </c>
      <c r="W32" s="96">
        <v>2.8</v>
      </c>
      <c r="X32" s="96">
        <f t="shared" si="1"/>
        <v>2.8</v>
      </c>
      <c r="Y32" s="97" t="s">
        <v>169</v>
      </c>
      <c r="Z32" s="158">
        <v>0</v>
      </c>
      <c r="AA32" s="158">
        <v>1015</v>
      </c>
      <c r="AB32" s="158">
        <v>1187</v>
      </c>
      <c r="AC32" s="158">
        <v>0</v>
      </c>
      <c r="AD32" s="158">
        <v>1187</v>
      </c>
      <c r="AE32" s="158">
        <v>1185</v>
      </c>
      <c r="AF32" s="47" t="s">
        <v>90</v>
      </c>
      <c r="AG32" s="47" t="s">
        <v>90</v>
      </c>
      <c r="AH32" s="98" t="s">
        <v>90</v>
      </c>
      <c r="AI32" s="103">
        <v>16204362</v>
      </c>
      <c r="AJ32" s="45">
        <f t="shared" si="7"/>
        <v>1164</v>
      </c>
      <c r="AK32" s="48">
        <f t="shared" si="8"/>
        <v>204.17470619189618</v>
      </c>
      <c r="AL32" s="155">
        <v>0</v>
      </c>
      <c r="AM32" s="155">
        <v>1</v>
      </c>
      <c r="AN32" s="155">
        <v>1</v>
      </c>
      <c r="AO32" s="155">
        <v>0</v>
      </c>
      <c r="AP32" s="155">
        <v>1</v>
      </c>
      <c r="AQ32" s="155">
        <v>1</v>
      </c>
      <c r="AR32" s="155">
        <v>0</v>
      </c>
      <c r="AS32" s="158"/>
      <c r="AT32" s="158">
        <v>0</v>
      </c>
      <c r="AU32" s="49"/>
      <c r="AV32" s="50" t="s">
        <v>124</v>
      </c>
      <c r="AY32" s="308" t="s">
        <v>115</v>
      </c>
      <c r="AZ32" s="308"/>
      <c r="BB32" s="74" t="s">
        <v>156</v>
      </c>
    </row>
    <row r="33" spans="1:54" x14ac:dyDescent="0.35">
      <c r="A33" s="357">
        <v>43251</v>
      </c>
      <c r="B33" s="40">
        <v>2.8333333333333299</v>
      </c>
      <c r="C33" s="40">
        <v>0.875</v>
      </c>
      <c r="D33" s="156" t="s">
        <v>179</v>
      </c>
      <c r="E33" s="154" t="e">
        <f t="shared" si="2"/>
        <v>#VALUE!</v>
      </c>
      <c r="F33" s="154">
        <v>-3</v>
      </c>
      <c r="G33" s="118">
        <v>75</v>
      </c>
      <c r="H33" s="154">
        <f t="shared" si="0"/>
        <v>52.816901408450704</v>
      </c>
      <c r="I33" s="154">
        <v>68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7" t="s">
        <v>179</v>
      </c>
      <c r="R33" s="157"/>
      <c r="S33" s="157">
        <v>96404713</v>
      </c>
      <c r="T33" s="45">
        <f t="shared" si="4"/>
        <v>5794</v>
      </c>
      <c r="U33" s="46">
        <f t="shared" si="5"/>
        <v>139.05600000000001</v>
      </c>
      <c r="V33" s="46">
        <f t="shared" si="6"/>
        <v>5.7939999999999996</v>
      </c>
      <c r="W33" s="96">
        <v>2.4</v>
      </c>
      <c r="X33" s="96">
        <f t="shared" si="1"/>
        <v>2.4</v>
      </c>
      <c r="Y33" s="97" t="s">
        <v>169</v>
      </c>
      <c r="Z33" s="158">
        <v>0</v>
      </c>
      <c r="AA33" s="158">
        <v>1015</v>
      </c>
      <c r="AB33" s="158">
        <v>1187</v>
      </c>
      <c r="AC33" s="158">
        <v>0</v>
      </c>
      <c r="AD33" s="158">
        <v>1187</v>
      </c>
      <c r="AE33" s="158">
        <v>1185</v>
      </c>
      <c r="AF33" s="47" t="s">
        <v>90</v>
      </c>
      <c r="AG33" s="47" t="s">
        <v>90</v>
      </c>
      <c r="AH33" s="98" t="s">
        <v>90</v>
      </c>
      <c r="AI33" s="103">
        <v>16205528</v>
      </c>
      <c r="AJ33" s="45">
        <f t="shared" si="7"/>
        <v>1166</v>
      </c>
      <c r="AK33" s="48">
        <f t="shared" si="8"/>
        <v>201.24266482568174</v>
      </c>
      <c r="AL33" s="155">
        <v>0</v>
      </c>
      <c r="AM33" s="155">
        <v>1</v>
      </c>
      <c r="AN33" s="155">
        <v>1</v>
      </c>
      <c r="AO33" s="155">
        <v>0</v>
      </c>
      <c r="AP33" s="155">
        <v>1</v>
      </c>
      <c r="AQ33" s="155">
        <v>1</v>
      </c>
      <c r="AR33" s="155">
        <v>0</v>
      </c>
      <c r="AS33" s="158"/>
      <c r="AT33" s="158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57">
        <v>43251</v>
      </c>
      <c r="B34" s="40">
        <v>2.875</v>
      </c>
      <c r="C34" s="40">
        <v>0.91666666666667096</v>
      </c>
      <c r="D34" s="156" t="s">
        <v>179</v>
      </c>
      <c r="E34" s="154" t="e">
        <f t="shared" si="2"/>
        <v>#VALUE!</v>
      </c>
      <c r="F34" s="154">
        <v>-2</v>
      </c>
      <c r="G34" s="118">
        <v>75</v>
      </c>
      <c r="H34" s="154">
        <f t="shared" si="0"/>
        <v>52.816901408450704</v>
      </c>
      <c r="I34" s="154">
        <v>71</v>
      </c>
      <c r="J34" s="41" t="s">
        <v>88</v>
      </c>
      <c r="K34" s="41">
        <f t="shared" si="3"/>
        <v>49.295774647887328</v>
      </c>
      <c r="L34" s="42">
        <f t="shared" si="13"/>
        <v>50.70422535211268</v>
      </c>
      <c r="M34" s="41">
        <f t="shared" si="12"/>
        <v>54.929577464788736</v>
      </c>
      <c r="N34" s="43">
        <v>14</v>
      </c>
      <c r="O34" s="44" t="s">
        <v>116</v>
      </c>
      <c r="P34" s="44">
        <v>12.6</v>
      </c>
      <c r="Q34" s="157" t="s">
        <v>179</v>
      </c>
      <c r="R34" s="157"/>
      <c r="S34" s="157">
        <v>96410214</v>
      </c>
      <c r="T34" s="45">
        <f t="shared" si="4"/>
        <v>5501</v>
      </c>
      <c r="U34" s="46">
        <f t="shared" si="5"/>
        <v>132.024</v>
      </c>
      <c r="V34" s="46">
        <f t="shared" si="6"/>
        <v>5.5010000000000003</v>
      </c>
      <c r="W34" s="96">
        <v>2.1</v>
      </c>
      <c r="X34" s="96">
        <f t="shared" si="1"/>
        <v>2.1</v>
      </c>
      <c r="Y34" s="97" t="s">
        <v>169</v>
      </c>
      <c r="Z34" s="158">
        <v>0</v>
      </c>
      <c r="AA34" s="158">
        <v>1015</v>
      </c>
      <c r="AB34" s="158">
        <v>1187</v>
      </c>
      <c r="AC34" s="158">
        <v>0</v>
      </c>
      <c r="AD34" s="158">
        <v>1187</v>
      </c>
      <c r="AE34" s="158">
        <v>1185</v>
      </c>
      <c r="AF34" s="47" t="s">
        <v>90</v>
      </c>
      <c r="AG34" s="47" t="s">
        <v>90</v>
      </c>
      <c r="AH34" s="98" t="s">
        <v>90</v>
      </c>
      <c r="AI34" s="103">
        <v>16206679</v>
      </c>
      <c r="AJ34" s="45">
        <f t="shared" si="7"/>
        <v>1151</v>
      </c>
      <c r="AK34" s="48">
        <f t="shared" si="8"/>
        <v>209.23468460279949</v>
      </c>
      <c r="AL34" s="155">
        <v>0</v>
      </c>
      <c r="AM34" s="155">
        <v>1</v>
      </c>
      <c r="AN34" s="155">
        <v>1</v>
      </c>
      <c r="AO34" s="155">
        <v>0</v>
      </c>
      <c r="AP34" s="155">
        <v>1</v>
      </c>
      <c r="AQ34" s="155">
        <v>1</v>
      </c>
      <c r="AR34" s="155">
        <v>0</v>
      </c>
      <c r="AS34" s="158"/>
      <c r="AT34" s="158">
        <f>AS34-AS33</f>
        <v>0</v>
      </c>
      <c r="AU34" s="119">
        <v>0.94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357">
        <v>43251</v>
      </c>
      <c r="B35" s="40">
        <v>2.9166666666666701</v>
      </c>
      <c r="C35" s="40">
        <v>0.95833333333333803</v>
      </c>
      <c r="D35" s="156">
        <v>4</v>
      </c>
      <c r="E35" s="154">
        <f t="shared" si="2"/>
        <v>2.8169014084507045</v>
      </c>
      <c r="F35" s="154">
        <v>-1</v>
      </c>
      <c r="G35" s="118">
        <v>71</v>
      </c>
      <c r="H35" s="154">
        <f t="shared" si="0"/>
        <v>50</v>
      </c>
      <c r="I35" s="154">
        <v>69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7">
        <v>140</v>
      </c>
      <c r="R35" s="157"/>
      <c r="S35" s="157">
        <v>96415505</v>
      </c>
      <c r="T35" s="45">
        <f t="shared" si="4"/>
        <v>5291</v>
      </c>
      <c r="U35" s="46">
        <f t="shared" si="5"/>
        <v>126.98399999999999</v>
      </c>
      <c r="V35" s="46">
        <f t="shared" si="6"/>
        <v>5.2910000000000004</v>
      </c>
      <c r="W35" s="96">
        <v>2.2000000000000002</v>
      </c>
      <c r="X35" s="96">
        <f t="shared" si="1"/>
        <v>2.2000000000000002</v>
      </c>
      <c r="Y35" s="97" t="s">
        <v>138</v>
      </c>
      <c r="Z35" s="158">
        <v>0</v>
      </c>
      <c r="AA35" s="158">
        <v>0</v>
      </c>
      <c r="AB35" s="158">
        <v>1187</v>
      </c>
      <c r="AC35" s="158">
        <v>0</v>
      </c>
      <c r="AD35" s="158">
        <v>1187</v>
      </c>
      <c r="AE35" s="158">
        <v>1185</v>
      </c>
      <c r="AF35" s="47" t="s">
        <v>90</v>
      </c>
      <c r="AG35" s="47" t="s">
        <v>90</v>
      </c>
      <c r="AH35" s="98" t="s">
        <v>90</v>
      </c>
      <c r="AI35" s="103">
        <v>16207758</v>
      </c>
      <c r="AJ35" s="45">
        <f t="shared" si="7"/>
        <v>1079</v>
      </c>
      <c r="AK35" s="48">
        <f t="shared" si="8"/>
        <v>203.93120393120392</v>
      </c>
      <c r="AL35" s="155">
        <v>0</v>
      </c>
      <c r="AM35" s="155">
        <v>0</v>
      </c>
      <c r="AN35" s="155">
        <v>1</v>
      </c>
      <c r="AO35" s="155">
        <v>0</v>
      </c>
      <c r="AP35" s="155">
        <v>1</v>
      </c>
      <c r="AQ35" s="155">
        <v>1</v>
      </c>
      <c r="AR35" s="155">
        <v>0.3</v>
      </c>
      <c r="AS35" s="158"/>
      <c r="AT35" s="158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357">
        <v>43251</v>
      </c>
      <c r="B36" s="40">
        <v>2.9583333333333299</v>
      </c>
      <c r="C36" s="40">
        <v>1</v>
      </c>
      <c r="D36" s="156" t="s">
        <v>179</v>
      </c>
      <c r="E36" s="154" t="e">
        <f t="shared" si="2"/>
        <v>#VALUE!</v>
      </c>
      <c r="F36" s="154">
        <v>1</v>
      </c>
      <c r="G36" s="118">
        <v>74</v>
      </c>
      <c r="H36" s="154">
        <f t="shared" si="0"/>
        <v>52.112676056338032</v>
      </c>
      <c r="I36" s="154">
        <v>71</v>
      </c>
      <c r="J36" s="41" t="s">
        <v>88</v>
      </c>
      <c r="K36" s="41">
        <f t="shared" si="3"/>
        <v>47.183098591549296</v>
      </c>
      <c r="L36" s="42">
        <f>(G36-5)/1.42</f>
        <v>48.591549295774648</v>
      </c>
      <c r="M36" s="41">
        <f t="shared" si="12"/>
        <v>52.816901408450704</v>
      </c>
      <c r="N36" s="43">
        <v>14</v>
      </c>
      <c r="O36" s="44" t="s">
        <v>116</v>
      </c>
      <c r="P36" s="58">
        <v>11.5</v>
      </c>
      <c r="Q36" s="157" t="s">
        <v>179</v>
      </c>
      <c r="R36" s="157"/>
      <c r="S36" s="157">
        <v>96420935</v>
      </c>
      <c r="T36" s="45">
        <f t="shared" si="4"/>
        <v>5430</v>
      </c>
      <c r="U36" s="46">
        <f t="shared" si="5"/>
        <v>130.32</v>
      </c>
      <c r="V36" s="46">
        <f t="shared" si="6"/>
        <v>5.43</v>
      </c>
      <c r="W36" s="96">
        <v>3</v>
      </c>
      <c r="X36" s="96">
        <f t="shared" si="1"/>
        <v>3</v>
      </c>
      <c r="Y36" s="97" t="s">
        <v>138</v>
      </c>
      <c r="Z36" s="158">
        <v>0</v>
      </c>
      <c r="AA36" s="158">
        <v>0</v>
      </c>
      <c r="AB36" s="158">
        <v>1187</v>
      </c>
      <c r="AC36" s="158">
        <v>0</v>
      </c>
      <c r="AD36" s="158">
        <v>1187</v>
      </c>
      <c r="AE36" s="158">
        <v>1185</v>
      </c>
      <c r="AF36" s="47" t="s">
        <v>90</v>
      </c>
      <c r="AG36" s="47" t="s">
        <v>90</v>
      </c>
      <c r="AH36" s="98" t="s">
        <v>90</v>
      </c>
      <c r="AI36" s="103">
        <v>16208869</v>
      </c>
      <c r="AJ36" s="45">
        <f t="shared" si="7"/>
        <v>1111</v>
      </c>
      <c r="AK36" s="48">
        <f t="shared" si="8"/>
        <v>204.60405156537755</v>
      </c>
      <c r="AL36" s="155">
        <v>0</v>
      </c>
      <c r="AM36" s="155">
        <v>0</v>
      </c>
      <c r="AN36" s="155">
        <v>1</v>
      </c>
      <c r="AO36" s="155">
        <v>0</v>
      </c>
      <c r="AP36" s="155">
        <v>1</v>
      </c>
      <c r="AQ36" s="155">
        <v>1</v>
      </c>
      <c r="AR36" s="155">
        <v>0.3</v>
      </c>
      <c r="AS36" s="158"/>
      <c r="AT36" s="158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73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09" t="s">
        <v>118</v>
      </c>
      <c r="O37" s="310"/>
      <c r="P37" s="311"/>
      <c r="Q37" s="101"/>
      <c r="R37" s="101"/>
      <c r="S37" s="101"/>
      <c r="T37" s="60">
        <f>SUM(T13:T36)</f>
        <v>123319</v>
      </c>
      <c r="U37" s="46">
        <f t="shared" si="5"/>
        <v>2959.6559999999999</v>
      </c>
      <c r="V37" s="46">
        <f t="shared" si="6"/>
        <v>123.319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27624</v>
      </c>
      <c r="AK37" s="61">
        <f>$AJ$37/$V37</f>
        <v>224.00441132347814</v>
      </c>
      <c r="AL37" s="155"/>
      <c r="AM37" s="155"/>
      <c r="AN37" s="155"/>
      <c r="AO37" s="155"/>
      <c r="AP37" s="155"/>
      <c r="AQ37" s="155"/>
      <c r="AR37" s="62"/>
      <c r="AS37" s="63">
        <f>AS36-AS11</f>
        <v>0</v>
      </c>
      <c r="AT37" s="64">
        <f>SUM(AT13:AT36)</f>
        <v>0</v>
      </c>
      <c r="AU37" s="65">
        <f>AVERAGE(AU13:AU36)</f>
        <v>0.94499999999999995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7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8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8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4"/>
      <c r="D47" s="164"/>
      <c r="E47" s="164"/>
      <c r="F47" s="164"/>
      <c r="G47" s="164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71" t="s">
        <v>237</v>
      </c>
      <c r="C48" s="172"/>
      <c r="D48" s="172"/>
      <c r="E48" s="172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70"/>
      <c r="D49" s="170"/>
      <c r="E49" s="170"/>
      <c r="F49" s="161"/>
      <c r="G49" s="161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163</v>
      </c>
      <c r="C50" s="143"/>
      <c r="D50" s="143"/>
      <c r="E50" s="143"/>
      <c r="F50" s="130"/>
      <c r="G50" s="130"/>
      <c r="H50" s="160"/>
      <c r="I50" s="160"/>
      <c r="J50" s="160"/>
      <c r="K50" s="160"/>
      <c r="L50" s="160"/>
      <c r="M50" s="160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210</v>
      </c>
      <c r="B51" s="115" t="s">
        <v>218</v>
      </c>
      <c r="C51" s="143"/>
      <c r="D51" s="143"/>
      <c r="E51" s="143"/>
      <c r="F51" s="130"/>
      <c r="G51" s="130"/>
      <c r="H51" s="160"/>
      <c r="I51" s="160"/>
      <c r="J51" s="160"/>
      <c r="K51" s="160"/>
      <c r="L51" s="160"/>
      <c r="M51" s="160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281</v>
      </c>
      <c r="C52" s="120"/>
      <c r="D52" s="115"/>
      <c r="E52" s="115"/>
      <c r="F52" s="115"/>
      <c r="G52" s="115"/>
      <c r="H52" s="160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70"/>
      <c r="D53" s="170"/>
      <c r="E53" s="170"/>
      <c r="F53" s="170"/>
      <c r="G53" s="115"/>
      <c r="H53" s="115"/>
      <c r="I53" s="115"/>
      <c r="J53" s="115"/>
      <c r="K53" s="115"/>
      <c r="L53" s="115"/>
      <c r="M53" s="115"/>
      <c r="N53" s="163"/>
      <c r="O53" s="163"/>
      <c r="P53" s="163"/>
      <c r="Q53" s="163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32" t="s">
        <v>170</v>
      </c>
      <c r="C54" s="153"/>
      <c r="D54" s="170"/>
      <c r="E54" s="170"/>
      <c r="F54" s="170"/>
      <c r="G54" s="170"/>
      <c r="H54" s="170"/>
      <c r="I54" s="170"/>
      <c r="J54" s="169"/>
      <c r="K54" s="166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70"/>
      <c r="E55" s="153"/>
      <c r="F55" s="153"/>
      <c r="G55" s="153"/>
      <c r="H55" s="153"/>
      <c r="I55" s="153"/>
      <c r="J55" s="169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172</v>
      </c>
      <c r="C56" s="115"/>
      <c r="D56" s="170"/>
      <c r="E56" s="153"/>
      <c r="F56" s="153"/>
      <c r="G56" s="153"/>
      <c r="H56" s="153"/>
      <c r="I56" s="153"/>
      <c r="J56" s="153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53" t="s">
        <v>282</v>
      </c>
      <c r="C57" s="170"/>
      <c r="D57" s="170"/>
      <c r="E57" s="153"/>
      <c r="F57" s="153"/>
      <c r="G57" s="153"/>
      <c r="H57" s="153"/>
      <c r="I57" s="153"/>
      <c r="J57" s="153"/>
      <c r="K57" s="166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174</v>
      </c>
      <c r="C58" s="170"/>
      <c r="D58" s="170"/>
      <c r="E58" s="115"/>
      <c r="F58" s="115"/>
      <c r="G58" s="115"/>
      <c r="H58" s="115"/>
      <c r="I58" s="153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62" t="s">
        <v>195</v>
      </c>
      <c r="C59" s="170"/>
      <c r="D59" s="170"/>
      <c r="E59" s="153"/>
      <c r="F59" s="153"/>
      <c r="G59" s="153"/>
      <c r="H59" s="153"/>
      <c r="I59" s="153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32"/>
      <c r="C60" s="170"/>
      <c r="D60" s="223"/>
      <c r="E60" s="223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62"/>
      <c r="C61" s="153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32"/>
      <c r="C62" s="115"/>
      <c r="D62" s="100"/>
      <c r="E62" s="100"/>
      <c r="F62" s="115"/>
      <c r="G62" s="115"/>
      <c r="H62" s="92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6"/>
      <c r="E63" s="166"/>
      <c r="F63" s="166"/>
      <c r="G63" s="166"/>
      <c r="H63" s="166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53"/>
      <c r="C64" s="115"/>
      <c r="D64" s="100"/>
      <c r="E64" s="100"/>
      <c r="F64" s="115"/>
      <c r="G64" s="115"/>
      <c r="H64" s="92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6"/>
      <c r="E65" s="166"/>
      <c r="F65" s="166"/>
      <c r="G65" s="166"/>
      <c r="H65" s="166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AV65" s="86"/>
      <c r="AW65" s="86"/>
      <c r="AX65" s="86"/>
      <c r="AY65" s="86"/>
      <c r="AZ65" s="86"/>
      <c r="BA65" s="86"/>
      <c r="BB65" s="86"/>
    </row>
    <row r="66" spans="2:54" x14ac:dyDescent="0.35">
      <c r="B66" s="162"/>
      <c r="C66" s="115"/>
      <c r="D66" s="166"/>
      <c r="E66" s="166"/>
      <c r="F66" s="166"/>
      <c r="G66" s="166"/>
      <c r="H66" s="166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6"/>
      <c r="E67" s="166"/>
      <c r="F67" s="166"/>
      <c r="G67" s="166"/>
      <c r="H67" s="166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Q13:Q36 S13:S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3" name="Range1_16_1_1_1_1_1_1_2_2_2_2_2_2_2_2_2_2_2_2_2_2_2_2_2_2_2_2_2_2_2_1_2_2_2_2_2_2_2_2_2_2_3_2_2_2_2_2_2_2_2_2_2_1_1_1_1_2_2_1_1_1_1_1_1_1_1_1_1_1_1_1_1_3_1"/>
    <protectedRange sqref="R4:W4" name="Range1_16_1_1_1_1_1_1_2_2_2_2_2_2_2_2_2_2_2_2_2_2_2_2_2_2_2_2_2_2_2_1_2_2_2_2_2_2_2_2_2_2_3_2_2_2_2_2_2_2_2_2_2_1_1_1_1_2_2_1_1_1_1_1_1_1_1_1_1_1_1_1_1_2_1_2_1_1_1_1_1_2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4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9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5"/>
    <protectedRange sqref="R5:W5" name="Range1_16_1_1_1_1_1_1_2_2_2_2_2_2_2_2_2_2_2_2_2_2_2_2_2_2_2_2_2_2_2_1_2_2_2_2_2_2_2_2_2_2_3_2_2_2_2_2_2_2_2_2_2_1_1_1_1_2_2_1_1_1_1_1_1_1_1_1_1_3_1_3_2_1_1_1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16" priority="5" operator="containsText" text="N/A">
      <formula>NOT(ISERROR(SEARCH("N/A",Z13)))</formula>
    </cfRule>
    <cfRule type="cellIs" dxfId="15" priority="17" operator="equal">
      <formula>0</formula>
    </cfRule>
  </conditionalFormatting>
  <conditionalFormatting sqref="Z13:AG36">
    <cfRule type="cellIs" dxfId="14" priority="16" operator="greaterThanOrEqual">
      <formula>1185</formula>
    </cfRule>
  </conditionalFormatting>
  <conditionalFormatting sqref="Z13:AG36">
    <cfRule type="cellIs" dxfId="13" priority="15" operator="between">
      <formula>0.1</formula>
      <formula>1184</formula>
    </cfRule>
  </conditionalFormatting>
  <conditionalFormatting sqref="Z8:Z9 AT13:AT36 AL37:AQ37 AL13:AR36">
    <cfRule type="cellIs" dxfId="12" priority="14" operator="equal">
      <formula>0</formula>
    </cfRule>
  </conditionalFormatting>
  <conditionalFormatting sqref="Z8:Z9 AT13:AT36 AL37:AQ37 AL13:AR36">
    <cfRule type="cellIs" dxfId="11" priority="13" operator="greaterThan">
      <formula>1179</formula>
    </cfRule>
  </conditionalFormatting>
  <conditionalFormatting sqref="Z8:Z9 AT13:AT36 AL37:AQ37 AL13:AR36">
    <cfRule type="cellIs" dxfId="10" priority="12" operator="greaterThan">
      <formula>99</formula>
    </cfRule>
  </conditionalFormatting>
  <conditionalFormatting sqref="Z8:Z9 AT13:AT36 AL37:AQ37 AL13:AR36">
    <cfRule type="cellIs" dxfId="9" priority="11" operator="greaterThan">
      <formula>0.99</formula>
    </cfRule>
  </conditionalFormatting>
  <conditionalFormatting sqref="AD8:AD9">
    <cfRule type="cellIs" dxfId="8" priority="10" operator="equal">
      <formula>0</formula>
    </cfRule>
  </conditionalFormatting>
  <conditionalFormatting sqref="AD8:AD9">
    <cfRule type="cellIs" dxfId="7" priority="9" operator="greaterThan">
      <formula>1179</formula>
    </cfRule>
  </conditionalFormatting>
  <conditionalFormatting sqref="AD8:AD9">
    <cfRule type="cellIs" dxfId="6" priority="8" operator="greaterThan">
      <formula>99</formula>
    </cfRule>
  </conditionalFormatting>
  <conditionalFormatting sqref="AD8:AD9">
    <cfRule type="cellIs" dxfId="5" priority="7" operator="greaterThan">
      <formula>0.99</formula>
    </cfRule>
  </conditionalFormatting>
  <conditionalFormatting sqref="AK13:AK36">
    <cfRule type="cellIs" dxfId="4" priority="6" operator="greaterThan">
      <formula>$AK$8</formula>
    </cfRule>
  </conditionalFormatting>
  <conditionalFormatting sqref="AS13:AS36">
    <cfRule type="containsText" dxfId="3" priority="1" operator="containsText" text="N/A">
      <formula>NOT(ISERROR(SEARCH("N/A",AS13)))</formula>
    </cfRule>
    <cfRule type="cellIs" dxfId="2" priority="4" operator="equal">
      <formula>0</formula>
    </cfRule>
  </conditionalFormatting>
  <conditionalFormatting sqref="AS13:AS36">
    <cfRule type="cellIs" dxfId="1" priority="3" operator="greaterThanOrEqual">
      <formula>1185</formula>
    </cfRule>
  </conditionalFormatting>
  <conditionalFormatting sqref="AS13:AS36">
    <cfRule type="cellIs" dxfId="0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E00-000000000000}">
      <formula1>$BB$11:$BB$42</formula1>
    </dataValidation>
    <dataValidation type="list" allowBlank="1" showInputMessage="1" showErrorMessage="1" sqref="AY33:AZ33" xr:uid="{00000000-0002-0000-1E00-000001000000}">
      <formula1>$AY$26:$AY$30</formula1>
    </dataValidation>
    <dataValidation type="list" allowBlank="1" showInputMessage="1" showErrorMessage="1" sqref="AS8:AT9 P11:P12 N11:N12 D8:E9 Q8:V9" xr:uid="{00000000-0002-0000-1E00-000002000000}">
      <formula1>#REF!</formula1>
    </dataValidation>
    <dataValidation type="list" allowBlank="1" showInputMessage="1" showErrorMessage="1" sqref="J13:J36" xr:uid="{00000000-0002-0000-1E00-000003000000}">
      <formula1>$AY$11:$AY$21</formula1>
    </dataValidation>
  </dataValidations>
  <hyperlinks>
    <hyperlink ref="J10:J11" location="'1'!AH8" display="Plant Status" xr:uid="{00000000-0004-0000-1E00-000000000000}"/>
  </hyperlinks>
  <pageMargins left="0.7" right="0.7" top="0.75" bottom="0.75" header="0.3" footer="0.3"/>
  <pageSetup paperSize="9" orientation="portrait" horizont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A0E62562-135F-42AD-B637-F7FC0D3A9D0C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D579A174-4F4B-4FFA-931C-39E0910497B9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MAY 1</vt:lpstr>
      <vt:lpstr>MAY 2</vt:lpstr>
      <vt:lpstr>MAY 3</vt:lpstr>
      <vt:lpstr>MAY 4</vt:lpstr>
      <vt:lpstr>MAY 5</vt:lpstr>
      <vt:lpstr>MAY 6</vt:lpstr>
      <vt:lpstr>MAY 7</vt:lpstr>
      <vt:lpstr>MAY 8</vt:lpstr>
      <vt:lpstr>MAY 9</vt:lpstr>
      <vt:lpstr>MAY 10</vt:lpstr>
      <vt:lpstr>MAY 11</vt:lpstr>
      <vt:lpstr>MAY 12</vt:lpstr>
      <vt:lpstr>MAY 13</vt:lpstr>
      <vt:lpstr>MAY 14</vt:lpstr>
      <vt:lpstr>MAY 15</vt:lpstr>
      <vt:lpstr>MAY 16</vt:lpstr>
      <vt:lpstr>MAY 17</vt:lpstr>
      <vt:lpstr>MAY 18</vt:lpstr>
      <vt:lpstr>MAY 19</vt:lpstr>
      <vt:lpstr>MAY 20</vt:lpstr>
      <vt:lpstr>MAY 21</vt:lpstr>
      <vt:lpstr>MAY 22</vt:lpstr>
      <vt:lpstr>MAY 23</vt:lpstr>
      <vt:lpstr>MAY 24</vt:lpstr>
      <vt:lpstr>MAY 25</vt:lpstr>
      <vt:lpstr>MAY 26</vt:lpstr>
      <vt:lpstr>MAY 27</vt:lpstr>
      <vt:lpstr>MAY 28</vt:lpstr>
      <vt:lpstr>MAY 29</vt:lpstr>
      <vt:lpstr>MAY 30</vt:lpstr>
      <vt:lpstr>MAY 31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villamorbooster</dc:creator>
  <cp:lastModifiedBy>Nam Le</cp:lastModifiedBy>
  <dcterms:created xsi:type="dcterms:W3CDTF">2014-06-30T06:13:27Z</dcterms:created>
  <dcterms:modified xsi:type="dcterms:W3CDTF">2019-02-21T04:16:32Z</dcterms:modified>
</cp:coreProperties>
</file>