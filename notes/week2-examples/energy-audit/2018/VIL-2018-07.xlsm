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8\"/>
    </mc:Choice>
  </mc:AlternateContent>
  <xr:revisionPtr revIDLastSave="0" documentId="13_ncr:1_{B74FB8DE-ED30-4BC0-9C09-9770440C987B}" xr6:coauthVersionLast="40" xr6:coauthVersionMax="40" xr10:uidLastSave="{00000000-0000-0000-0000-000000000000}"/>
  <bookViews>
    <workbookView xWindow="-110" yWindow="-110" windowWidth="19420" windowHeight="10420" firstSheet="22" activeTab="25" xr2:uid="{00000000-000D-0000-FFFF-FFFF00000000}"/>
  </bookViews>
  <sheets>
    <sheet name="JULY 1" sheetId="666" r:id="rId1"/>
    <sheet name="JULY 2" sheetId="667" r:id="rId2"/>
    <sheet name="JULY 3" sheetId="668" r:id="rId3"/>
    <sheet name="JULY 4" sheetId="669" r:id="rId4"/>
    <sheet name="JULY 5" sheetId="670" r:id="rId5"/>
    <sheet name="JULY 6" sheetId="671" r:id="rId6"/>
    <sheet name="JULY 7" sheetId="672" r:id="rId7"/>
    <sheet name="JULY 8" sheetId="673" r:id="rId8"/>
    <sheet name="JULY 9" sheetId="674" r:id="rId9"/>
    <sheet name="JULY 10" sheetId="675" r:id="rId10"/>
    <sheet name="JULY 11" sheetId="676" r:id="rId11"/>
    <sheet name="JULY 12" sheetId="677" r:id="rId12"/>
    <sheet name="JULY 13" sheetId="678" r:id="rId13"/>
    <sheet name="JULY 14" sheetId="679" r:id="rId14"/>
    <sheet name="JULY 15" sheetId="680" r:id="rId15"/>
    <sheet name="JULY 16" sheetId="681" r:id="rId16"/>
    <sheet name="JULY 17" sheetId="682" r:id="rId17"/>
    <sheet name="JULY 18" sheetId="683" r:id="rId18"/>
    <sheet name="JULY 19" sheetId="684" r:id="rId19"/>
    <sheet name="JULY 20" sheetId="685" r:id="rId20"/>
    <sheet name="JULY 21" sheetId="686" r:id="rId21"/>
    <sheet name="JULY 22" sheetId="687" r:id="rId22"/>
    <sheet name="JULY 23" sheetId="688" r:id="rId23"/>
    <sheet name="JULY 24" sheetId="689" r:id="rId24"/>
    <sheet name="JULY 25" sheetId="690" r:id="rId25"/>
    <sheet name="JULY 26" sheetId="691" r:id="rId26"/>
    <sheet name="JULY 27" sheetId="692" r:id="rId27"/>
    <sheet name="JULY 28" sheetId="693" r:id="rId28"/>
    <sheet name="JULY 29" sheetId="694" r:id="rId29"/>
    <sheet name="JULY 30" sheetId="695" r:id="rId30"/>
    <sheet name="JULY 31" sheetId="696" r:id="rId31"/>
  </sheets>
  <externalReferences>
    <externalReference r:id="rId32"/>
  </externalReferences>
  <definedNames>
    <definedName name="_2pm___10pm" localSheetId="0">#REF!</definedName>
    <definedName name="_2pm___10pm" localSheetId="9">#REF!</definedName>
    <definedName name="_2pm___10pm" localSheetId="10">#REF!</definedName>
    <definedName name="_2pm___10pm" localSheetId="11">#REF!</definedName>
    <definedName name="_2pm___10pm" localSheetId="12">#REF!</definedName>
    <definedName name="_2pm___10pm" localSheetId="13">#REF!</definedName>
    <definedName name="_2pm___10pm" localSheetId="14">#REF!</definedName>
    <definedName name="_2pm___10pm" localSheetId="15">#REF!</definedName>
    <definedName name="_2pm___10pm" localSheetId="16">#REF!</definedName>
    <definedName name="_2pm___10pm" localSheetId="17">#REF!</definedName>
    <definedName name="_2pm___10pm" localSheetId="18">#REF!</definedName>
    <definedName name="_2pm___10pm" localSheetId="1">#REF!</definedName>
    <definedName name="_2pm___10pm" localSheetId="19">#REF!</definedName>
    <definedName name="_2pm___10pm" localSheetId="20">#REF!</definedName>
    <definedName name="_2pm___10pm" localSheetId="21">#REF!</definedName>
    <definedName name="_2pm___10pm" localSheetId="22">#REF!</definedName>
    <definedName name="_2pm___10pm" localSheetId="23">#REF!</definedName>
    <definedName name="_2pm___10pm" localSheetId="24">#REF!</definedName>
    <definedName name="_2pm___10pm" localSheetId="25">#REF!</definedName>
    <definedName name="_2pm___10pm" localSheetId="26">#REF!</definedName>
    <definedName name="_2pm___10pm" localSheetId="27">#REF!</definedName>
    <definedName name="_2pm___10pm" localSheetId="28">#REF!</definedName>
    <definedName name="_2pm___10pm" localSheetId="2">#REF!</definedName>
    <definedName name="_2pm___10pm" localSheetId="29">#REF!</definedName>
    <definedName name="_2pm___10pm" localSheetId="30">#REF!</definedName>
    <definedName name="_2pm___10pm" localSheetId="3">#REF!</definedName>
    <definedName name="_2pm___10pm" localSheetId="4">#REF!</definedName>
    <definedName name="_2pm___10pm" localSheetId="5">#REF!</definedName>
    <definedName name="_2pm___10pm" localSheetId="6">#REF!</definedName>
    <definedName name="_2pm___10pm" localSheetId="7">#REF!</definedName>
    <definedName name="_2pm___10pm" localSheetId="8">#REF!</definedName>
    <definedName name="R._MALLARI___R._REGENCIA" localSheetId="0">#REF!</definedName>
    <definedName name="R._MALLARI___R._REGENCIA" localSheetId="9">#REF!</definedName>
    <definedName name="R._MALLARI___R._REGENCIA" localSheetId="10">#REF!</definedName>
    <definedName name="R._MALLARI___R._REGENCIA" localSheetId="11">#REF!</definedName>
    <definedName name="R._MALLARI___R._REGENCIA" localSheetId="12">#REF!</definedName>
    <definedName name="R._MALLARI___R._REGENCIA" localSheetId="13">#REF!</definedName>
    <definedName name="R._MALLARI___R._REGENCIA" localSheetId="14">#REF!</definedName>
    <definedName name="R._MALLARI___R._REGENCIA" localSheetId="15">#REF!</definedName>
    <definedName name="R._MALLARI___R._REGENCIA" localSheetId="16">#REF!</definedName>
    <definedName name="R._MALLARI___R._REGENCIA" localSheetId="17">#REF!</definedName>
    <definedName name="R._MALLARI___R._REGENCIA" localSheetId="18">#REF!</definedName>
    <definedName name="R._MALLARI___R._REGENCIA" localSheetId="1">#REF!</definedName>
    <definedName name="R._MALLARI___R._REGENCIA" localSheetId="19">#REF!</definedName>
    <definedName name="R._MALLARI___R._REGENCIA" localSheetId="20">#REF!</definedName>
    <definedName name="R._MALLARI___R._REGENCIA" localSheetId="21">#REF!</definedName>
    <definedName name="R._MALLARI___R._REGENCIA" localSheetId="22">#REF!</definedName>
    <definedName name="R._MALLARI___R._REGENCIA" localSheetId="23">#REF!</definedName>
    <definedName name="R._MALLARI___R._REGENCIA" localSheetId="24">#REF!</definedName>
    <definedName name="R._MALLARI___R._REGENCIA" localSheetId="25">#REF!</definedName>
    <definedName name="R._MALLARI___R._REGENCIA" localSheetId="26">#REF!</definedName>
    <definedName name="R._MALLARI___R._REGENCIA" localSheetId="27">#REF!</definedName>
    <definedName name="R._MALLARI___R._REGENCIA" localSheetId="28">#REF!</definedName>
    <definedName name="R._MALLARI___R._REGENCIA" localSheetId="2">#REF!</definedName>
    <definedName name="R._MALLARI___R._REGENCIA" localSheetId="29">#REF!</definedName>
    <definedName name="R._MALLARI___R._REGENCIA" localSheetId="30">#REF!</definedName>
    <definedName name="R._MALLARI___R._REGENCIA" localSheetId="3">#REF!</definedName>
    <definedName name="R._MALLARI___R._REGENCIA" localSheetId="4">#REF!</definedName>
    <definedName name="R._MALLARI___R._REGENCIA" localSheetId="5">#REF!</definedName>
    <definedName name="R._MALLARI___R._REGENCIA" localSheetId="6">#REF!</definedName>
    <definedName name="R._MALLARI___R._REGENCIA" localSheetId="7">#REF!</definedName>
    <definedName name="R._MALLARI___R._REGENCIA" localSheetId="8">#REF!</definedName>
  </definedNames>
  <calcPr calcId="181029"/>
</workbook>
</file>

<file path=xl/calcChain.xml><?xml version="1.0" encoding="utf-8"?>
<calcChain xmlns="http://schemas.openxmlformats.org/spreadsheetml/2006/main">
  <c r="S11" i="696" l="1"/>
  <c r="AI11" i="696" l="1"/>
  <c r="AJ13" i="696" s="1"/>
  <c r="AU37" i="696"/>
  <c r="AS37" i="696"/>
  <c r="AT36" i="696"/>
  <c r="AJ36" i="696"/>
  <c r="X36" i="696"/>
  <c r="T36" i="696"/>
  <c r="V36" i="696" s="1"/>
  <c r="L36" i="696"/>
  <c r="K36" i="696" s="1"/>
  <c r="H36" i="696"/>
  <c r="E36" i="696"/>
  <c r="AT35" i="696"/>
  <c r="AJ35" i="696"/>
  <c r="X35" i="696"/>
  <c r="T35" i="696"/>
  <c r="V35" i="696" s="1"/>
  <c r="L35" i="696"/>
  <c r="K35" i="696" s="1"/>
  <c r="H35" i="696"/>
  <c r="E35" i="696"/>
  <c r="AZ34" i="696"/>
  <c r="AJ34" i="696"/>
  <c r="X34" i="696"/>
  <c r="T34" i="696"/>
  <c r="U34" i="696" s="1"/>
  <c r="L34" i="696"/>
  <c r="K34" i="696" s="1"/>
  <c r="H34" i="696"/>
  <c r="E34" i="696"/>
  <c r="AJ33" i="696"/>
  <c r="X33" i="696"/>
  <c r="T33" i="696"/>
  <c r="V33" i="696" s="1"/>
  <c r="L33" i="696"/>
  <c r="K33" i="696" s="1"/>
  <c r="H33" i="696"/>
  <c r="E33" i="696"/>
  <c r="AJ32" i="696"/>
  <c r="X32" i="696"/>
  <c r="T32" i="696"/>
  <c r="U32" i="696" s="1"/>
  <c r="L32" i="696"/>
  <c r="M32" i="696" s="1"/>
  <c r="H32" i="696"/>
  <c r="E32" i="696"/>
  <c r="AT31" i="696"/>
  <c r="AJ31" i="696"/>
  <c r="X31" i="696"/>
  <c r="T31" i="696"/>
  <c r="U31" i="696" s="1"/>
  <c r="L31" i="696"/>
  <c r="M31" i="696" s="1"/>
  <c r="H31" i="696"/>
  <c r="E31" i="696"/>
  <c r="AT30" i="696"/>
  <c r="AJ30" i="696"/>
  <c r="X30" i="696"/>
  <c r="T30" i="696"/>
  <c r="U30" i="696" s="1"/>
  <c r="L30" i="696"/>
  <c r="M30" i="696" s="1"/>
  <c r="H30" i="696"/>
  <c r="E30" i="696"/>
  <c r="AT29" i="696"/>
  <c r="AJ29" i="696"/>
  <c r="X29" i="696"/>
  <c r="T29" i="696"/>
  <c r="U29" i="696" s="1"/>
  <c r="L29" i="696"/>
  <c r="M29" i="696" s="1"/>
  <c r="H29" i="696"/>
  <c r="E29" i="696"/>
  <c r="AT28" i="696"/>
  <c r="AJ28" i="696"/>
  <c r="X28" i="696"/>
  <c r="T28" i="696"/>
  <c r="U28" i="696" s="1"/>
  <c r="L28" i="696"/>
  <c r="M28" i="696" s="1"/>
  <c r="H28" i="696"/>
  <c r="E28" i="696"/>
  <c r="AT27" i="696"/>
  <c r="AJ27" i="696"/>
  <c r="X27" i="696"/>
  <c r="T27" i="696"/>
  <c r="U27" i="696" s="1"/>
  <c r="L27" i="696"/>
  <c r="M27" i="696" s="1"/>
  <c r="H27" i="696"/>
  <c r="E27" i="696"/>
  <c r="AJ26" i="696"/>
  <c r="X26" i="696"/>
  <c r="T26" i="696"/>
  <c r="L26" i="696"/>
  <c r="M26" i="696" s="1"/>
  <c r="H26" i="696"/>
  <c r="E26" i="696"/>
  <c r="AT25" i="696"/>
  <c r="AJ25" i="696"/>
  <c r="X25" i="696"/>
  <c r="T25" i="696"/>
  <c r="U25" i="696" s="1"/>
  <c r="L25" i="696"/>
  <c r="M25" i="696" s="1"/>
  <c r="H25" i="696"/>
  <c r="E25" i="696"/>
  <c r="AT24" i="696"/>
  <c r="AJ24" i="696"/>
  <c r="X24" i="696"/>
  <c r="T24" i="696"/>
  <c r="V24" i="696" s="1"/>
  <c r="L24" i="696"/>
  <c r="M24" i="696" s="1"/>
  <c r="H24" i="696"/>
  <c r="E24" i="696"/>
  <c r="AT23" i="696"/>
  <c r="AJ23" i="696"/>
  <c r="X23" i="696"/>
  <c r="T23" i="696"/>
  <c r="U23" i="696" s="1"/>
  <c r="L23" i="696"/>
  <c r="M23" i="696" s="1"/>
  <c r="H23" i="696"/>
  <c r="E23" i="696"/>
  <c r="AT22" i="696"/>
  <c r="AJ22" i="696"/>
  <c r="X22" i="696"/>
  <c r="T22" i="696"/>
  <c r="V22" i="696" s="1"/>
  <c r="L22" i="696"/>
  <c r="M22" i="696" s="1"/>
  <c r="H22" i="696"/>
  <c r="E22" i="696"/>
  <c r="AT21" i="696"/>
  <c r="AJ21" i="696"/>
  <c r="X21" i="696"/>
  <c r="T21" i="696"/>
  <c r="V21" i="696" s="1"/>
  <c r="L21" i="696"/>
  <c r="M21" i="696" s="1"/>
  <c r="H21" i="696"/>
  <c r="E21" i="696"/>
  <c r="AT20" i="696"/>
  <c r="AJ20" i="696"/>
  <c r="X20" i="696"/>
  <c r="T20" i="696"/>
  <c r="U20" i="696" s="1"/>
  <c r="L20" i="696"/>
  <c r="M20" i="696" s="1"/>
  <c r="H20" i="696"/>
  <c r="E20" i="696"/>
  <c r="AT19" i="696"/>
  <c r="AJ19" i="696"/>
  <c r="X19" i="696"/>
  <c r="T19" i="696"/>
  <c r="L19" i="696"/>
  <c r="M19" i="696" s="1"/>
  <c r="H19" i="696"/>
  <c r="E19" i="696"/>
  <c r="AT18" i="696"/>
  <c r="AJ18" i="696"/>
  <c r="X18" i="696"/>
  <c r="T18" i="696"/>
  <c r="V18" i="696" s="1"/>
  <c r="L18" i="696"/>
  <c r="M18" i="696" s="1"/>
  <c r="H18" i="696"/>
  <c r="E18" i="696"/>
  <c r="AT17" i="696"/>
  <c r="AJ17" i="696"/>
  <c r="X17" i="696"/>
  <c r="T17" i="696"/>
  <c r="U17" i="696" s="1"/>
  <c r="L17" i="696"/>
  <c r="M17" i="696" s="1"/>
  <c r="H17" i="696"/>
  <c r="E17" i="696"/>
  <c r="AT16" i="696"/>
  <c r="AJ16" i="696"/>
  <c r="X16" i="696"/>
  <c r="T16" i="696"/>
  <c r="V16" i="696" s="1"/>
  <c r="L16" i="696"/>
  <c r="M16" i="696" s="1"/>
  <c r="H16" i="696"/>
  <c r="E16" i="696"/>
  <c r="AT15" i="696"/>
  <c r="AJ15" i="696"/>
  <c r="X15" i="696"/>
  <c r="T15" i="696"/>
  <c r="V15" i="696" s="1"/>
  <c r="L15" i="696"/>
  <c r="M15" i="696" s="1"/>
  <c r="H15" i="696"/>
  <c r="E15" i="696"/>
  <c r="AT14" i="696"/>
  <c r="AJ14" i="696"/>
  <c r="X14" i="696"/>
  <c r="T14" i="696"/>
  <c r="U14" i="696" s="1"/>
  <c r="L14" i="696"/>
  <c r="M14" i="696" s="1"/>
  <c r="H14" i="696"/>
  <c r="E14" i="696"/>
  <c r="AT13" i="696"/>
  <c r="X13" i="696"/>
  <c r="L13" i="696"/>
  <c r="M13" i="696" s="1"/>
  <c r="H13" i="696"/>
  <c r="E13" i="696"/>
  <c r="T13" i="696"/>
  <c r="K22" i="696" l="1"/>
  <c r="AT37" i="696"/>
  <c r="AK35" i="696"/>
  <c r="M33" i="696"/>
  <c r="V32" i="696"/>
  <c r="K26" i="696"/>
  <c r="U26" i="696"/>
  <c r="V26" i="696"/>
  <c r="AK26" i="696" s="1"/>
  <c r="K25" i="696"/>
  <c r="K24" i="696"/>
  <c r="V23" i="696"/>
  <c r="K21" i="696"/>
  <c r="K20" i="696"/>
  <c r="V20" i="696"/>
  <c r="AK20" i="696" s="1"/>
  <c r="U19" i="696"/>
  <c r="V19" i="696"/>
  <c r="AK19" i="696" s="1"/>
  <c r="K18" i="696"/>
  <c r="K17" i="696"/>
  <c r="V17" i="696"/>
  <c r="K16" i="696"/>
  <c r="AK16" i="696"/>
  <c r="U16" i="696"/>
  <c r="K14" i="696"/>
  <c r="V14" i="696"/>
  <c r="AK14" i="696" s="1"/>
  <c r="K13" i="696"/>
  <c r="AK21" i="696"/>
  <c r="AK22" i="696"/>
  <c r="AK23" i="696"/>
  <c r="AK24" i="696"/>
  <c r="AK15" i="696"/>
  <c r="AK17" i="696"/>
  <c r="AK18" i="696"/>
  <c r="U15" i="696"/>
  <c r="U24" i="696"/>
  <c r="V25" i="696"/>
  <c r="AK25" i="696" s="1"/>
  <c r="U22" i="696"/>
  <c r="V27" i="696"/>
  <c r="AK27" i="696" s="1"/>
  <c r="V28" i="696"/>
  <c r="V29" i="696"/>
  <c r="AK29" i="696" s="1"/>
  <c r="V30" i="696"/>
  <c r="AK30" i="696" s="1"/>
  <c r="V31" i="696"/>
  <c r="AK31" i="696" s="1"/>
  <c r="U18" i="696"/>
  <c r="U21" i="696"/>
  <c r="AK32" i="696"/>
  <c r="K15" i="696"/>
  <c r="K19" i="696"/>
  <c r="K23" i="696"/>
  <c r="AJ37" i="696"/>
  <c r="U13" i="696"/>
  <c r="T37" i="696"/>
  <c r="V13" i="696"/>
  <c r="AK13" i="696" s="1"/>
  <c r="AK33" i="696"/>
  <c r="AK36" i="696"/>
  <c r="U33" i="696"/>
  <c r="V34" i="696"/>
  <c r="AK34" i="696" s="1"/>
  <c r="AI8" i="696"/>
  <c r="K27" i="696"/>
  <c r="K28" i="696"/>
  <c r="AK28" i="696"/>
  <c r="K29" i="696"/>
  <c r="K30" i="696"/>
  <c r="K31" i="696"/>
  <c r="K32" i="696"/>
  <c r="M34" i="696"/>
  <c r="M35" i="696"/>
  <c r="M36" i="696"/>
  <c r="U35" i="696"/>
  <c r="U36" i="696"/>
  <c r="AI11" i="695"/>
  <c r="S11" i="695"/>
  <c r="T13" i="695" s="1"/>
  <c r="AU37" i="695"/>
  <c r="AS37" i="695"/>
  <c r="AT36" i="695"/>
  <c r="AJ36" i="695"/>
  <c r="X36" i="695"/>
  <c r="T36" i="695"/>
  <c r="V36" i="695" s="1"/>
  <c r="L36" i="695"/>
  <c r="K36" i="695" s="1"/>
  <c r="H36" i="695"/>
  <c r="E36" i="695"/>
  <c r="AT35" i="695"/>
  <c r="AJ35" i="695"/>
  <c r="X35" i="695"/>
  <c r="T35" i="695"/>
  <c r="V35" i="695" s="1"/>
  <c r="L35" i="695"/>
  <c r="K35" i="695" s="1"/>
  <c r="H35" i="695"/>
  <c r="E35" i="695"/>
  <c r="AZ34" i="695"/>
  <c r="AJ34" i="695"/>
  <c r="X34" i="695"/>
  <c r="T34" i="695"/>
  <c r="V34" i="695" s="1"/>
  <c r="L34" i="695"/>
  <c r="M34" i="695" s="1"/>
  <c r="H34" i="695"/>
  <c r="E34" i="695"/>
  <c r="AJ33" i="695"/>
  <c r="X33" i="695"/>
  <c r="T33" i="695"/>
  <c r="U33" i="695" s="1"/>
  <c r="L33" i="695"/>
  <c r="K33" i="695" s="1"/>
  <c r="H33" i="695"/>
  <c r="E33" i="695"/>
  <c r="AJ32" i="695"/>
  <c r="X32" i="695"/>
  <c r="T32" i="695"/>
  <c r="V32" i="695" s="1"/>
  <c r="L32" i="695"/>
  <c r="M32" i="695" s="1"/>
  <c r="H32" i="695"/>
  <c r="E32" i="695"/>
  <c r="AT31" i="695"/>
  <c r="AJ31" i="695"/>
  <c r="X31" i="695"/>
  <c r="T31" i="695"/>
  <c r="V31" i="695" s="1"/>
  <c r="L31" i="695"/>
  <c r="M31" i="695" s="1"/>
  <c r="H31" i="695"/>
  <c r="E31" i="695"/>
  <c r="AT30" i="695"/>
  <c r="AJ30" i="695"/>
  <c r="X30" i="695"/>
  <c r="T30" i="695"/>
  <c r="U30" i="695" s="1"/>
  <c r="L30" i="695"/>
  <c r="M30" i="695" s="1"/>
  <c r="H30" i="695"/>
  <c r="E30" i="695"/>
  <c r="AT29" i="695"/>
  <c r="AJ29" i="695"/>
  <c r="X29" i="695"/>
  <c r="T29" i="695"/>
  <c r="V29" i="695" s="1"/>
  <c r="L29" i="695"/>
  <c r="M29" i="695" s="1"/>
  <c r="H29" i="695"/>
  <c r="E29" i="695"/>
  <c r="AT28" i="695"/>
  <c r="AJ28" i="695"/>
  <c r="X28" i="695"/>
  <c r="T28" i="695"/>
  <c r="V28" i="695" s="1"/>
  <c r="L28" i="695"/>
  <c r="M28" i="695" s="1"/>
  <c r="H28" i="695"/>
  <c r="E28" i="695"/>
  <c r="AT27" i="695"/>
  <c r="AJ27" i="695"/>
  <c r="X27" i="695"/>
  <c r="T27" i="695"/>
  <c r="U27" i="695" s="1"/>
  <c r="L27" i="695"/>
  <c r="M27" i="695" s="1"/>
  <c r="H27" i="695"/>
  <c r="E27" i="695"/>
  <c r="AJ26" i="695"/>
  <c r="X26" i="695"/>
  <c r="T26" i="695"/>
  <c r="V26" i="695" s="1"/>
  <c r="L26" i="695"/>
  <c r="M26" i="695" s="1"/>
  <c r="H26" i="695"/>
  <c r="E26" i="695"/>
  <c r="AT25" i="695"/>
  <c r="AJ25" i="695"/>
  <c r="X25" i="695"/>
  <c r="T25" i="695"/>
  <c r="V25" i="695" s="1"/>
  <c r="L25" i="695"/>
  <c r="M25" i="695" s="1"/>
  <c r="H25" i="695"/>
  <c r="E25" i="695"/>
  <c r="AT24" i="695"/>
  <c r="AJ24" i="695"/>
  <c r="X24" i="695"/>
  <c r="T24" i="695"/>
  <c r="V24" i="695" s="1"/>
  <c r="L24" i="695"/>
  <c r="M24" i="695" s="1"/>
  <c r="H24" i="695"/>
  <c r="E24" i="695"/>
  <c r="AT23" i="695"/>
  <c r="AJ23" i="695"/>
  <c r="X23" i="695"/>
  <c r="T23" i="695"/>
  <c r="V23" i="695" s="1"/>
  <c r="L23" i="695"/>
  <c r="M23" i="695" s="1"/>
  <c r="H23" i="695"/>
  <c r="E23" i="695"/>
  <c r="AT22" i="695"/>
  <c r="AJ22" i="695"/>
  <c r="X22" i="695"/>
  <c r="T22" i="695"/>
  <c r="V22" i="695" s="1"/>
  <c r="L22" i="695"/>
  <c r="M22" i="695" s="1"/>
  <c r="H22" i="695"/>
  <c r="E22" i="695"/>
  <c r="AT21" i="695"/>
  <c r="AJ21" i="695"/>
  <c r="X21" i="695"/>
  <c r="T21" i="695"/>
  <c r="V21" i="695" s="1"/>
  <c r="L21" i="695"/>
  <c r="M21" i="695" s="1"/>
  <c r="H21" i="695"/>
  <c r="E21" i="695"/>
  <c r="AT20" i="695"/>
  <c r="AJ20" i="695"/>
  <c r="X20" i="695"/>
  <c r="T20" i="695"/>
  <c r="V20" i="695" s="1"/>
  <c r="L20" i="695"/>
  <c r="M20" i="695" s="1"/>
  <c r="H20" i="695"/>
  <c r="E20" i="695"/>
  <c r="AT19" i="695"/>
  <c r="AJ19" i="695"/>
  <c r="X19" i="695"/>
  <c r="T19" i="695"/>
  <c r="V19" i="695" s="1"/>
  <c r="L19" i="695"/>
  <c r="M19" i="695" s="1"/>
  <c r="K19" i="695"/>
  <c r="H19" i="695"/>
  <c r="E19" i="695"/>
  <c r="AT18" i="695"/>
  <c r="AJ18" i="695"/>
  <c r="X18" i="695"/>
  <c r="T18" i="695"/>
  <c r="V18" i="695" s="1"/>
  <c r="L18" i="695"/>
  <c r="M18" i="695" s="1"/>
  <c r="H18" i="695"/>
  <c r="E18" i="695"/>
  <c r="AT17" i="695"/>
  <c r="AJ17" i="695"/>
  <c r="X17" i="695"/>
  <c r="T17" i="695"/>
  <c r="V17" i="695" s="1"/>
  <c r="L17" i="695"/>
  <c r="M17" i="695" s="1"/>
  <c r="H17" i="695"/>
  <c r="E17" i="695"/>
  <c r="AT16" i="695"/>
  <c r="AJ16" i="695"/>
  <c r="X16" i="695"/>
  <c r="T16" i="695"/>
  <c r="V16" i="695" s="1"/>
  <c r="L16" i="695"/>
  <c r="M16" i="695" s="1"/>
  <c r="H16" i="695"/>
  <c r="E16" i="695"/>
  <c r="AT15" i="695"/>
  <c r="AJ15" i="695"/>
  <c r="X15" i="695"/>
  <c r="T15" i="695"/>
  <c r="V15" i="695" s="1"/>
  <c r="L15" i="695"/>
  <c r="M15" i="695" s="1"/>
  <c r="H15" i="695"/>
  <c r="E15" i="695"/>
  <c r="AT14" i="695"/>
  <c r="AJ14" i="695"/>
  <c r="X14" i="695"/>
  <c r="T14" i="695"/>
  <c r="V14" i="695" s="1"/>
  <c r="L14" i="695"/>
  <c r="M14" i="695" s="1"/>
  <c r="K14" i="695"/>
  <c r="H14" i="695"/>
  <c r="E14" i="695"/>
  <c r="AT13" i="695"/>
  <c r="X13" i="695"/>
  <c r="L13" i="695"/>
  <c r="M13" i="695" s="1"/>
  <c r="H13" i="695"/>
  <c r="E13" i="695"/>
  <c r="AJ13" i="695"/>
  <c r="AI11" i="694"/>
  <c r="S11" i="694"/>
  <c r="T13" i="694" s="1"/>
  <c r="AU37" i="694"/>
  <c r="AS37" i="694"/>
  <c r="AT36" i="694"/>
  <c r="AJ36" i="694"/>
  <c r="X36" i="694"/>
  <c r="T36" i="694"/>
  <c r="V36" i="694" s="1"/>
  <c r="L36" i="694"/>
  <c r="M36" i="694" s="1"/>
  <c r="H36" i="694"/>
  <c r="E36" i="694"/>
  <c r="AT35" i="694"/>
  <c r="AJ35" i="694"/>
  <c r="X35" i="694"/>
  <c r="T35" i="694"/>
  <c r="V35" i="694" s="1"/>
  <c r="L35" i="694"/>
  <c r="M35" i="694" s="1"/>
  <c r="H35" i="694"/>
  <c r="E35" i="694"/>
  <c r="AZ34" i="694"/>
  <c r="AJ34" i="694"/>
  <c r="X34" i="694"/>
  <c r="T34" i="694"/>
  <c r="V34" i="694" s="1"/>
  <c r="L34" i="694"/>
  <c r="K34" i="694" s="1"/>
  <c r="H34" i="694"/>
  <c r="E34" i="694"/>
  <c r="AJ33" i="694"/>
  <c r="X33" i="694"/>
  <c r="T33" i="694"/>
  <c r="U33" i="694" s="1"/>
  <c r="L33" i="694"/>
  <c r="K33" i="694" s="1"/>
  <c r="H33" i="694"/>
  <c r="E33" i="694"/>
  <c r="AJ32" i="694"/>
  <c r="X32" i="694"/>
  <c r="T32" i="694"/>
  <c r="U32" i="694" s="1"/>
  <c r="L32" i="694"/>
  <c r="M32" i="694" s="1"/>
  <c r="H32" i="694"/>
  <c r="E32" i="694"/>
  <c r="AT31" i="694"/>
  <c r="AJ31" i="694"/>
  <c r="X31" i="694"/>
  <c r="T31" i="694"/>
  <c r="U31" i="694" s="1"/>
  <c r="L31" i="694"/>
  <c r="M31" i="694" s="1"/>
  <c r="H31" i="694"/>
  <c r="E31" i="694"/>
  <c r="AT30" i="694"/>
  <c r="AJ30" i="694"/>
  <c r="X30" i="694"/>
  <c r="T30" i="694"/>
  <c r="U30" i="694" s="1"/>
  <c r="L30" i="694"/>
  <c r="M30" i="694" s="1"/>
  <c r="H30" i="694"/>
  <c r="E30" i="694"/>
  <c r="AT29" i="694"/>
  <c r="AJ29" i="694"/>
  <c r="X29" i="694"/>
  <c r="T29" i="694"/>
  <c r="U29" i="694" s="1"/>
  <c r="L29" i="694"/>
  <c r="M29" i="694" s="1"/>
  <c r="H29" i="694"/>
  <c r="E29" i="694"/>
  <c r="AT28" i="694"/>
  <c r="AJ28" i="694"/>
  <c r="X28" i="694"/>
  <c r="T28" i="694"/>
  <c r="U28" i="694" s="1"/>
  <c r="L28" i="694"/>
  <c r="M28" i="694" s="1"/>
  <c r="H28" i="694"/>
  <c r="E28" i="694"/>
  <c r="AT27" i="694"/>
  <c r="AJ27" i="694"/>
  <c r="X27" i="694"/>
  <c r="T27" i="694"/>
  <c r="U27" i="694" s="1"/>
  <c r="L27" i="694"/>
  <c r="M27" i="694" s="1"/>
  <c r="H27" i="694"/>
  <c r="E27" i="694"/>
  <c r="AJ26" i="694"/>
  <c r="X26" i="694"/>
  <c r="T26" i="694"/>
  <c r="V26" i="694" s="1"/>
  <c r="L26" i="694"/>
  <c r="M26" i="694" s="1"/>
  <c r="H26" i="694"/>
  <c r="E26" i="694"/>
  <c r="AT25" i="694"/>
  <c r="AJ25" i="694"/>
  <c r="X25" i="694"/>
  <c r="T25" i="694"/>
  <c r="V25" i="694" s="1"/>
  <c r="L25" i="694"/>
  <c r="K25" i="694" s="1"/>
  <c r="H25" i="694"/>
  <c r="E25" i="694"/>
  <c r="AT24" i="694"/>
  <c r="AJ24" i="694"/>
  <c r="X24" i="694"/>
  <c r="T24" i="694"/>
  <c r="V24" i="694" s="1"/>
  <c r="L24" i="694"/>
  <c r="M24" i="694" s="1"/>
  <c r="H24" i="694"/>
  <c r="E24" i="694"/>
  <c r="AT23" i="694"/>
  <c r="AJ23" i="694"/>
  <c r="X23" i="694"/>
  <c r="T23" i="694"/>
  <c r="V23" i="694" s="1"/>
  <c r="L23" i="694"/>
  <c r="K23" i="694" s="1"/>
  <c r="H23" i="694"/>
  <c r="E23" i="694"/>
  <c r="AT22" i="694"/>
  <c r="AJ22" i="694"/>
  <c r="X22" i="694"/>
  <c r="T22" i="694"/>
  <c r="V22" i="694" s="1"/>
  <c r="L22" i="694"/>
  <c r="M22" i="694" s="1"/>
  <c r="H22" i="694"/>
  <c r="E22" i="694"/>
  <c r="AT21" i="694"/>
  <c r="AJ21" i="694"/>
  <c r="X21" i="694"/>
  <c r="T21" i="694"/>
  <c r="V21" i="694" s="1"/>
  <c r="L21" i="694"/>
  <c r="K21" i="694" s="1"/>
  <c r="H21" i="694"/>
  <c r="E21" i="694"/>
  <c r="AT20" i="694"/>
  <c r="AJ20" i="694"/>
  <c r="X20" i="694"/>
  <c r="T20" i="694"/>
  <c r="V20" i="694" s="1"/>
  <c r="L20" i="694"/>
  <c r="M20" i="694" s="1"/>
  <c r="H20" i="694"/>
  <c r="E20" i="694"/>
  <c r="AT19" i="694"/>
  <c r="AJ19" i="694"/>
  <c r="X19" i="694"/>
  <c r="T19" i="694"/>
  <c r="V19" i="694" s="1"/>
  <c r="L19" i="694"/>
  <c r="K19" i="694" s="1"/>
  <c r="H19" i="694"/>
  <c r="E19" i="694"/>
  <c r="AT18" i="694"/>
  <c r="AJ18" i="694"/>
  <c r="X18" i="694"/>
  <c r="T18" i="694"/>
  <c r="V18" i="694" s="1"/>
  <c r="L18" i="694"/>
  <c r="M18" i="694" s="1"/>
  <c r="H18" i="694"/>
  <c r="E18" i="694"/>
  <c r="AT17" i="694"/>
  <c r="AJ17" i="694"/>
  <c r="X17" i="694"/>
  <c r="T17" i="694"/>
  <c r="V17" i="694" s="1"/>
  <c r="L17" i="694"/>
  <c r="M17" i="694" s="1"/>
  <c r="K17" i="694"/>
  <c r="H17" i="694"/>
  <c r="E17" i="694"/>
  <c r="AT16" i="694"/>
  <c r="AJ16" i="694"/>
  <c r="X16" i="694"/>
  <c r="T16" i="694"/>
  <c r="V16" i="694" s="1"/>
  <c r="L16" i="694"/>
  <c r="M16" i="694" s="1"/>
  <c r="K16" i="694"/>
  <c r="H16" i="694"/>
  <c r="E16" i="694"/>
  <c r="AT15" i="694"/>
  <c r="AJ15" i="694"/>
  <c r="X15" i="694"/>
  <c r="T15" i="694"/>
  <c r="V15" i="694" s="1"/>
  <c r="L15" i="694"/>
  <c r="M15" i="694" s="1"/>
  <c r="H15" i="694"/>
  <c r="E15" i="694"/>
  <c r="AT14" i="694"/>
  <c r="AJ14" i="694"/>
  <c r="X14" i="694"/>
  <c r="T14" i="694"/>
  <c r="V14" i="694" s="1"/>
  <c r="L14" i="694"/>
  <c r="M14" i="694" s="1"/>
  <c r="H14" i="694"/>
  <c r="E14" i="694"/>
  <c r="AT13" i="694"/>
  <c r="X13" i="694"/>
  <c r="L13" i="694"/>
  <c r="M13" i="694" s="1"/>
  <c r="H13" i="694"/>
  <c r="E13" i="694"/>
  <c r="AJ13" i="694"/>
  <c r="AT37" i="694" l="1"/>
  <c r="AT37" i="695"/>
  <c r="K22" i="694"/>
  <c r="K26" i="695"/>
  <c r="M36" i="695"/>
  <c r="K26" i="694"/>
  <c r="M35" i="695"/>
  <c r="K24" i="694"/>
  <c r="V37" i="696"/>
  <c r="AK37" i="696" s="1"/>
  <c r="U37" i="696"/>
  <c r="AK32" i="695"/>
  <c r="U31" i="695"/>
  <c r="V30" i="695"/>
  <c r="AK30" i="695" s="1"/>
  <c r="U29" i="695"/>
  <c r="AK28" i="695"/>
  <c r="AK29" i="695"/>
  <c r="U26" i="695"/>
  <c r="K23" i="695"/>
  <c r="AK23" i="695"/>
  <c r="K22" i="695"/>
  <c r="AK22" i="695"/>
  <c r="U22" i="695"/>
  <c r="AK20" i="695"/>
  <c r="U17" i="695"/>
  <c r="U18" i="695"/>
  <c r="U16" i="695"/>
  <c r="K15" i="695"/>
  <c r="U15" i="695"/>
  <c r="AK14" i="695"/>
  <c r="U14" i="695"/>
  <c r="K36" i="694"/>
  <c r="K35" i="694"/>
  <c r="AK19" i="695"/>
  <c r="AK31" i="695"/>
  <c r="AK25" i="695"/>
  <c r="AK26" i="695"/>
  <c r="AK21" i="695"/>
  <c r="AK24" i="695"/>
  <c r="AK15" i="695"/>
  <c r="AK16" i="695"/>
  <c r="AK17" i="695"/>
  <c r="AK18" i="695"/>
  <c r="U19" i="695"/>
  <c r="U20" i="695"/>
  <c r="U21" i="695"/>
  <c r="AK34" i="695"/>
  <c r="U23" i="695"/>
  <c r="U24" i="695"/>
  <c r="U25" i="695"/>
  <c r="V27" i="695"/>
  <c r="AK27" i="695" s="1"/>
  <c r="U28" i="695"/>
  <c r="U32" i="695"/>
  <c r="K13" i="695"/>
  <c r="K16" i="695"/>
  <c r="K20" i="695"/>
  <c r="K24" i="695"/>
  <c r="K17" i="695"/>
  <c r="K21" i="695"/>
  <c r="K25" i="695"/>
  <c r="K34" i="695"/>
  <c r="K18" i="695"/>
  <c r="M33" i="695"/>
  <c r="AK35" i="695"/>
  <c r="V13" i="695"/>
  <c r="AK13" i="695" s="1"/>
  <c r="U13" i="695"/>
  <c r="T37" i="695"/>
  <c r="AK36" i="695"/>
  <c r="AJ37" i="695"/>
  <c r="AI8" i="695"/>
  <c r="K27" i="695"/>
  <c r="K28" i="695"/>
  <c r="K29" i="695"/>
  <c r="K30" i="695"/>
  <c r="K31" i="695"/>
  <c r="K32" i="695"/>
  <c r="V33" i="695"/>
  <c r="AK33" i="695" s="1"/>
  <c r="M25" i="694"/>
  <c r="U34" i="695"/>
  <c r="U35" i="695"/>
  <c r="U36" i="695"/>
  <c r="AK34" i="694"/>
  <c r="AK26" i="694"/>
  <c r="U26" i="694"/>
  <c r="AK25" i="694"/>
  <c r="U24" i="694"/>
  <c r="M23" i="694"/>
  <c r="U23" i="694"/>
  <c r="U22" i="694"/>
  <c r="M21" i="694"/>
  <c r="AK21" i="694"/>
  <c r="K20" i="694"/>
  <c r="AK20" i="694"/>
  <c r="U20" i="694"/>
  <c r="U19" i="694"/>
  <c r="U18" i="694"/>
  <c r="U17" i="694"/>
  <c r="U16" i="694"/>
  <c r="K13" i="694"/>
  <c r="AK22" i="694"/>
  <c r="AK15" i="694"/>
  <c r="AK16" i="694"/>
  <c r="AK23" i="694"/>
  <c r="AK17" i="694"/>
  <c r="AK18" i="694"/>
  <c r="AK19" i="694"/>
  <c r="AK24" i="694"/>
  <c r="AK14" i="694"/>
  <c r="U15" i="694"/>
  <c r="U21" i="694"/>
  <c r="U25" i="694"/>
  <c r="V27" i="694"/>
  <c r="AK27" i="694" s="1"/>
  <c r="V28" i="694"/>
  <c r="AK28" i="694" s="1"/>
  <c r="V29" i="694"/>
  <c r="V30" i="694"/>
  <c r="AK30" i="694" s="1"/>
  <c r="V31" i="694"/>
  <c r="AK31" i="694" s="1"/>
  <c r="V32" i="694"/>
  <c r="AK32" i="694" s="1"/>
  <c r="AK29" i="694"/>
  <c r="U14" i="694"/>
  <c r="M19" i="694"/>
  <c r="M33" i="694"/>
  <c r="M34" i="694"/>
  <c r="K14" i="694"/>
  <c r="K18" i="694"/>
  <c r="K15" i="694"/>
  <c r="AJ37" i="694"/>
  <c r="AK35" i="694"/>
  <c r="AK36" i="694"/>
  <c r="V13" i="694"/>
  <c r="AK13" i="694" s="1"/>
  <c r="U13" i="694"/>
  <c r="T37" i="694"/>
  <c r="AI8" i="694"/>
  <c r="K27" i="694"/>
  <c r="K28" i="694"/>
  <c r="K29" i="694"/>
  <c r="K30" i="694"/>
  <c r="K31" i="694"/>
  <c r="K32" i="694"/>
  <c r="V33" i="694"/>
  <c r="AK33" i="694" s="1"/>
  <c r="U34" i="694"/>
  <c r="U35" i="694"/>
  <c r="U36" i="694"/>
  <c r="V37" i="695" l="1"/>
  <c r="AK37" i="695" s="1"/>
  <c r="U37" i="695"/>
  <c r="V37" i="694"/>
  <c r="AK37" i="694" s="1"/>
  <c r="U37" i="694"/>
  <c r="AI11" i="693"/>
  <c r="AJ13" i="693" s="1"/>
  <c r="S11" i="693"/>
  <c r="AU37" i="693"/>
  <c r="AS37" i="693"/>
  <c r="AT36" i="693"/>
  <c r="AJ36" i="693"/>
  <c r="X36" i="693"/>
  <c r="T36" i="693"/>
  <c r="V36" i="693" s="1"/>
  <c r="L36" i="693"/>
  <c r="M36" i="693" s="1"/>
  <c r="H36" i="693"/>
  <c r="E36" i="693"/>
  <c r="AT35" i="693"/>
  <c r="AJ35" i="693"/>
  <c r="X35" i="693"/>
  <c r="T35" i="693"/>
  <c r="V35" i="693" s="1"/>
  <c r="L35" i="693"/>
  <c r="K35" i="693" s="1"/>
  <c r="H35" i="693"/>
  <c r="E35" i="693"/>
  <c r="AZ34" i="693"/>
  <c r="AJ34" i="693"/>
  <c r="X34" i="693"/>
  <c r="T34" i="693"/>
  <c r="V34" i="693" s="1"/>
  <c r="L34" i="693"/>
  <c r="K34" i="693" s="1"/>
  <c r="H34" i="693"/>
  <c r="E34" i="693"/>
  <c r="AJ33" i="693"/>
  <c r="X33" i="693"/>
  <c r="T33" i="693"/>
  <c r="V33" i="693" s="1"/>
  <c r="L33" i="693"/>
  <c r="M33" i="693" s="1"/>
  <c r="H33" i="693"/>
  <c r="E33" i="693"/>
  <c r="AJ32" i="693"/>
  <c r="X32" i="693"/>
  <c r="T32" i="693"/>
  <c r="U32" i="693" s="1"/>
  <c r="L32" i="693"/>
  <c r="M32" i="693" s="1"/>
  <c r="H32" i="693"/>
  <c r="E32" i="693"/>
  <c r="AT31" i="693"/>
  <c r="AJ31" i="693"/>
  <c r="X31" i="693"/>
  <c r="T31" i="693"/>
  <c r="U31" i="693" s="1"/>
  <c r="L31" i="693"/>
  <c r="M31" i="693" s="1"/>
  <c r="H31" i="693"/>
  <c r="E31" i="693"/>
  <c r="AT30" i="693"/>
  <c r="AJ30" i="693"/>
  <c r="X30" i="693"/>
  <c r="T30" i="693"/>
  <c r="U30" i="693" s="1"/>
  <c r="L30" i="693"/>
  <c r="M30" i="693" s="1"/>
  <c r="H30" i="693"/>
  <c r="E30" i="693"/>
  <c r="AT29" i="693"/>
  <c r="AJ29" i="693"/>
  <c r="X29" i="693"/>
  <c r="T29" i="693"/>
  <c r="U29" i="693" s="1"/>
  <c r="L29" i="693"/>
  <c r="M29" i="693" s="1"/>
  <c r="H29" i="693"/>
  <c r="E29" i="693"/>
  <c r="AT28" i="693"/>
  <c r="AJ28" i="693"/>
  <c r="X28" i="693"/>
  <c r="T28" i="693"/>
  <c r="U28" i="693" s="1"/>
  <c r="L28" i="693"/>
  <c r="M28" i="693" s="1"/>
  <c r="H28" i="693"/>
  <c r="E28" i="693"/>
  <c r="AT27" i="693"/>
  <c r="AJ27" i="693"/>
  <c r="X27" i="693"/>
  <c r="T27" i="693"/>
  <c r="U27" i="693" s="1"/>
  <c r="L27" i="693"/>
  <c r="M27" i="693" s="1"/>
  <c r="H27" i="693"/>
  <c r="E27" i="693"/>
  <c r="AJ26" i="693"/>
  <c r="X26" i="693"/>
  <c r="T26" i="693"/>
  <c r="V26" i="693" s="1"/>
  <c r="L26" i="693"/>
  <c r="M26" i="693" s="1"/>
  <c r="H26" i="693"/>
  <c r="E26" i="693"/>
  <c r="AT25" i="693"/>
  <c r="AJ25" i="693"/>
  <c r="X25" i="693"/>
  <c r="T25" i="693"/>
  <c r="V25" i="693" s="1"/>
  <c r="L25" i="693"/>
  <c r="K25" i="693" s="1"/>
  <c r="H25" i="693"/>
  <c r="E25" i="693"/>
  <c r="AT24" i="693"/>
  <c r="AJ24" i="693"/>
  <c r="X24" i="693"/>
  <c r="T24" i="693"/>
  <c r="V24" i="693" s="1"/>
  <c r="L24" i="693"/>
  <c r="M24" i="693" s="1"/>
  <c r="H24" i="693"/>
  <c r="E24" i="693"/>
  <c r="AT23" i="693"/>
  <c r="AJ23" i="693"/>
  <c r="X23" i="693"/>
  <c r="T23" i="693"/>
  <c r="V23" i="693" s="1"/>
  <c r="L23" i="693"/>
  <c r="K23" i="693" s="1"/>
  <c r="H23" i="693"/>
  <c r="E23" i="693"/>
  <c r="AT22" i="693"/>
  <c r="AJ22" i="693"/>
  <c r="X22" i="693"/>
  <c r="T22" i="693"/>
  <c r="V22" i="693" s="1"/>
  <c r="L22" i="693"/>
  <c r="M22" i="693" s="1"/>
  <c r="K22" i="693"/>
  <c r="H22" i="693"/>
  <c r="E22" i="693"/>
  <c r="AT21" i="693"/>
  <c r="AJ21" i="693"/>
  <c r="X21" i="693"/>
  <c r="T21" i="693"/>
  <c r="V21" i="693" s="1"/>
  <c r="L21" i="693"/>
  <c r="K21" i="693" s="1"/>
  <c r="H21" i="693"/>
  <c r="E21" i="693"/>
  <c r="AT20" i="693"/>
  <c r="AJ20" i="693"/>
  <c r="X20" i="693"/>
  <c r="T20" i="693"/>
  <c r="V20" i="693" s="1"/>
  <c r="L20" i="693"/>
  <c r="M20" i="693" s="1"/>
  <c r="H20" i="693"/>
  <c r="E20" i="693"/>
  <c r="AT19" i="693"/>
  <c r="AJ19" i="693"/>
  <c r="X19" i="693"/>
  <c r="T19" i="693"/>
  <c r="V19" i="693" s="1"/>
  <c r="L19" i="693"/>
  <c r="K19" i="693" s="1"/>
  <c r="H19" i="693"/>
  <c r="E19" i="693"/>
  <c r="AT18" i="693"/>
  <c r="AJ18" i="693"/>
  <c r="X18" i="693"/>
  <c r="T18" i="693"/>
  <c r="V18" i="693" s="1"/>
  <c r="L18" i="693"/>
  <c r="M18" i="693" s="1"/>
  <c r="H18" i="693"/>
  <c r="E18" i="693"/>
  <c r="AT17" i="693"/>
  <c r="AJ17" i="693"/>
  <c r="X17" i="693"/>
  <c r="T17" i="693"/>
  <c r="V17" i="693" s="1"/>
  <c r="L17" i="693"/>
  <c r="K17" i="693" s="1"/>
  <c r="H17" i="693"/>
  <c r="E17" i="693"/>
  <c r="AT16" i="693"/>
  <c r="AJ16" i="693"/>
  <c r="X16" i="693"/>
  <c r="T16" i="693"/>
  <c r="V16" i="693" s="1"/>
  <c r="L16" i="693"/>
  <c r="M16" i="693" s="1"/>
  <c r="H16" i="693"/>
  <c r="E16" i="693"/>
  <c r="AT15" i="693"/>
  <c r="AJ15" i="693"/>
  <c r="X15" i="693"/>
  <c r="T15" i="693"/>
  <c r="V15" i="693" s="1"/>
  <c r="L15" i="693"/>
  <c r="K15" i="693" s="1"/>
  <c r="H15" i="693"/>
  <c r="E15" i="693"/>
  <c r="AT14" i="693"/>
  <c r="AJ14" i="693"/>
  <c r="X14" i="693"/>
  <c r="T14" i="693"/>
  <c r="V14" i="693" s="1"/>
  <c r="L14" i="693"/>
  <c r="M14" i="693" s="1"/>
  <c r="H14" i="693"/>
  <c r="E14" i="693"/>
  <c r="AT13" i="693"/>
  <c r="X13" i="693"/>
  <c r="L13" i="693"/>
  <c r="M13" i="693" s="1"/>
  <c r="K13" i="693"/>
  <c r="H13" i="693"/>
  <c r="E13" i="693"/>
  <c r="T13" i="693"/>
  <c r="K26" i="693" l="1"/>
  <c r="AT37" i="693"/>
  <c r="M35" i="693"/>
  <c r="K14" i="693"/>
  <c r="K36" i="693"/>
  <c r="AK34" i="693"/>
  <c r="K33" i="693"/>
  <c r="V32" i="693"/>
  <c r="AK32" i="693" s="1"/>
  <c r="U33" i="693"/>
  <c r="V31" i="693"/>
  <c r="AK31" i="693" s="1"/>
  <c r="V30" i="693"/>
  <c r="AK30" i="693" s="1"/>
  <c r="V29" i="693"/>
  <c r="AK29" i="693" s="1"/>
  <c r="V28" i="693"/>
  <c r="AK28" i="693" s="1"/>
  <c r="V27" i="693"/>
  <c r="AK27" i="693" s="1"/>
  <c r="AK26" i="693"/>
  <c r="AK25" i="693"/>
  <c r="U25" i="693"/>
  <c r="K24" i="693"/>
  <c r="AK24" i="693"/>
  <c r="U24" i="693"/>
  <c r="AK23" i="693"/>
  <c r="AK22" i="693"/>
  <c r="AK21" i="693"/>
  <c r="U21" i="693"/>
  <c r="K20" i="693"/>
  <c r="AK19" i="693"/>
  <c r="AK20" i="693"/>
  <c r="U20" i="693"/>
  <c r="K18" i="693"/>
  <c r="AK18" i="693"/>
  <c r="AK17" i="693"/>
  <c r="U17" i="693"/>
  <c r="K16" i="693"/>
  <c r="AK16" i="693"/>
  <c r="AK15" i="693"/>
  <c r="U16" i="693"/>
  <c r="AK14" i="693"/>
  <c r="AK33" i="693"/>
  <c r="U14" i="693"/>
  <c r="U15" i="693"/>
  <c r="U22" i="693"/>
  <c r="U23" i="693"/>
  <c r="U18" i="693"/>
  <c r="U19" i="693"/>
  <c r="U26" i="693"/>
  <c r="M15" i="693"/>
  <c r="M17" i="693"/>
  <c r="M19" i="693"/>
  <c r="M21" i="693"/>
  <c r="M23" i="693"/>
  <c r="M25" i="693"/>
  <c r="V13" i="693"/>
  <c r="AK13" i="693" s="1"/>
  <c r="T37" i="693"/>
  <c r="U13" i="693"/>
  <c r="AK35" i="693"/>
  <c r="AJ37" i="693"/>
  <c r="AK36" i="693"/>
  <c r="AI8" i="693"/>
  <c r="K27" i="693"/>
  <c r="K28" i="693"/>
  <c r="K29" i="693"/>
  <c r="K30" i="693"/>
  <c r="K31" i="693"/>
  <c r="K32" i="693"/>
  <c r="M34" i="693"/>
  <c r="U34" i="693"/>
  <c r="U35" i="693"/>
  <c r="U36" i="693"/>
  <c r="V37" i="693" l="1"/>
  <c r="AK37" i="693" s="1"/>
  <c r="U37" i="693"/>
  <c r="AI11" i="692" l="1"/>
  <c r="AJ13" i="692" s="1"/>
  <c r="S11" i="692"/>
  <c r="T13" i="692" s="1"/>
  <c r="AU37" i="692"/>
  <c r="AS37" i="692"/>
  <c r="AT36" i="692"/>
  <c r="AJ36" i="692"/>
  <c r="X36" i="692"/>
  <c r="T36" i="692"/>
  <c r="V36" i="692" s="1"/>
  <c r="L36" i="692"/>
  <c r="M36" i="692" s="1"/>
  <c r="H36" i="692"/>
  <c r="E36" i="692"/>
  <c r="AT35" i="692"/>
  <c r="AJ35" i="692"/>
  <c r="X35" i="692"/>
  <c r="T35" i="692"/>
  <c r="V35" i="692" s="1"/>
  <c r="L35" i="692"/>
  <c r="M35" i="692" s="1"/>
  <c r="H35" i="692"/>
  <c r="E35" i="692"/>
  <c r="AZ34" i="692"/>
  <c r="AJ34" i="692"/>
  <c r="X34" i="692"/>
  <c r="T34" i="692"/>
  <c r="V34" i="692" s="1"/>
  <c r="L34" i="692"/>
  <c r="M34" i="692" s="1"/>
  <c r="H34" i="692"/>
  <c r="E34" i="692"/>
  <c r="AJ33" i="692"/>
  <c r="X33" i="692"/>
  <c r="T33" i="692"/>
  <c r="U33" i="692" s="1"/>
  <c r="L33" i="692"/>
  <c r="M33" i="692" s="1"/>
  <c r="H33" i="692"/>
  <c r="E33" i="692"/>
  <c r="AJ32" i="692"/>
  <c r="X32" i="692"/>
  <c r="T32" i="692"/>
  <c r="U32" i="692" s="1"/>
  <c r="L32" i="692"/>
  <c r="K32" i="692" s="1"/>
  <c r="H32" i="692"/>
  <c r="E32" i="692"/>
  <c r="AT31" i="692"/>
  <c r="AJ31" i="692"/>
  <c r="X31" i="692"/>
  <c r="T31" i="692"/>
  <c r="U31" i="692" s="1"/>
  <c r="L31" i="692"/>
  <c r="K31" i="692" s="1"/>
  <c r="H31" i="692"/>
  <c r="E31" i="692"/>
  <c r="AT30" i="692"/>
  <c r="AJ30" i="692"/>
  <c r="X30" i="692"/>
  <c r="T30" i="692"/>
  <c r="U30" i="692" s="1"/>
  <c r="L30" i="692"/>
  <c r="K30" i="692" s="1"/>
  <c r="H30" i="692"/>
  <c r="E30" i="692"/>
  <c r="AT29" i="692"/>
  <c r="AJ29" i="692"/>
  <c r="X29" i="692"/>
  <c r="T29" i="692"/>
  <c r="U29" i="692" s="1"/>
  <c r="L29" i="692"/>
  <c r="K29" i="692" s="1"/>
  <c r="H29" i="692"/>
  <c r="E29" i="692"/>
  <c r="AT28" i="692"/>
  <c r="AJ28" i="692"/>
  <c r="X28" i="692"/>
  <c r="T28" i="692"/>
  <c r="U28" i="692" s="1"/>
  <c r="L28" i="692"/>
  <c r="K28" i="692" s="1"/>
  <c r="H28" i="692"/>
  <c r="E28" i="692"/>
  <c r="AT27" i="692"/>
  <c r="AJ27" i="692"/>
  <c r="X27" i="692"/>
  <c r="T27" i="692"/>
  <c r="U27" i="692" s="1"/>
  <c r="L27" i="692"/>
  <c r="K27" i="692" s="1"/>
  <c r="H27" i="692"/>
  <c r="E27" i="692"/>
  <c r="AJ26" i="692"/>
  <c r="X26" i="692"/>
  <c r="T26" i="692"/>
  <c r="U26" i="692" s="1"/>
  <c r="L26" i="692"/>
  <c r="M26" i="692" s="1"/>
  <c r="H26" i="692"/>
  <c r="E26" i="692"/>
  <c r="AT25" i="692"/>
  <c r="AJ25" i="692"/>
  <c r="X25" i="692"/>
  <c r="T25" i="692"/>
  <c r="V25" i="692" s="1"/>
  <c r="L25" i="692"/>
  <c r="M25" i="692" s="1"/>
  <c r="H25" i="692"/>
  <c r="E25" i="692"/>
  <c r="AT24" i="692"/>
  <c r="AJ24" i="692"/>
  <c r="X24" i="692"/>
  <c r="T24" i="692"/>
  <c r="V24" i="692" s="1"/>
  <c r="L24" i="692"/>
  <c r="M24" i="692" s="1"/>
  <c r="H24" i="692"/>
  <c r="E24" i="692"/>
  <c r="AT23" i="692"/>
  <c r="AJ23" i="692"/>
  <c r="X23" i="692"/>
  <c r="T23" i="692"/>
  <c r="U23" i="692" s="1"/>
  <c r="L23" i="692"/>
  <c r="M23" i="692" s="1"/>
  <c r="H23" i="692"/>
  <c r="E23" i="692"/>
  <c r="AT22" i="692"/>
  <c r="AJ22" i="692"/>
  <c r="X22" i="692"/>
  <c r="T22" i="692"/>
  <c r="U22" i="692" s="1"/>
  <c r="L22" i="692"/>
  <c r="M22" i="692" s="1"/>
  <c r="H22" i="692"/>
  <c r="E22" i="692"/>
  <c r="AT21" i="692"/>
  <c r="AJ21" i="692"/>
  <c r="X21" i="692"/>
  <c r="T21" i="692"/>
  <c r="V21" i="692" s="1"/>
  <c r="L21" i="692"/>
  <c r="M21" i="692" s="1"/>
  <c r="H21" i="692"/>
  <c r="E21" i="692"/>
  <c r="AT20" i="692"/>
  <c r="AJ20" i="692"/>
  <c r="X20" i="692"/>
  <c r="T20" i="692"/>
  <c r="V20" i="692" s="1"/>
  <c r="L20" i="692"/>
  <c r="M20" i="692" s="1"/>
  <c r="H20" i="692"/>
  <c r="E20" i="692"/>
  <c r="AT19" i="692"/>
  <c r="AJ19" i="692"/>
  <c r="X19" i="692"/>
  <c r="T19" i="692"/>
  <c r="L19" i="692"/>
  <c r="M19" i="692" s="1"/>
  <c r="H19" i="692"/>
  <c r="E19" i="692"/>
  <c r="AT18" i="692"/>
  <c r="AJ18" i="692"/>
  <c r="X18" i="692"/>
  <c r="T18" i="692"/>
  <c r="U18" i="692" s="1"/>
  <c r="L18" i="692"/>
  <c r="M18" i="692" s="1"/>
  <c r="H18" i="692"/>
  <c r="E18" i="692"/>
  <c r="AT17" i="692"/>
  <c r="AJ17" i="692"/>
  <c r="X17" i="692"/>
  <c r="T17" i="692"/>
  <c r="V17" i="692" s="1"/>
  <c r="L17" i="692"/>
  <c r="M17" i="692" s="1"/>
  <c r="H17" i="692"/>
  <c r="E17" i="692"/>
  <c r="AT16" i="692"/>
  <c r="AJ16" i="692"/>
  <c r="X16" i="692"/>
  <c r="T16" i="692"/>
  <c r="V16" i="692" s="1"/>
  <c r="L16" i="692"/>
  <c r="M16" i="692" s="1"/>
  <c r="H16" i="692"/>
  <c r="E16" i="692"/>
  <c r="AT15" i="692"/>
  <c r="AJ15" i="692"/>
  <c r="X15" i="692"/>
  <c r="T15" i="692"/>
  <c r="L15" i="692"/>
  <c r="M15" i="692" s="1"/>
  <c r="H15" i="692"/>
  <c r="E15" i="692"/>
  <c r="AT14" i="692"/>
  <c r="AJ14" i="692"/>
  <c r="X14" i="692"/>
  <c r="T14" i="692"/>
  <c r="U14" i="692" s="1"/>
  <c r="L14" i="692"/>
  <c r="M14" i="692" s="1"/>
  <c r="H14" i="692"/>
  <c r="E14" i="692"/>
  <c r="AT13" i="692"/>
  <c r="X13" i="692"/>
  <c r="L13" i="692"/>
  <c r="M13" i="692" s="1"/>
  <c r="H13" i="692"/>
  <c r="E13" i="692"/>
  <c r="AI11" i="691"/>
  <c r="AJ13" i="691" s="1"/>
  <c r="S11" i="691"/>
  <c r="T13" i="691" s="1"/>
  <c r="AU37" i="691"/>
  <c r="AS37" i="691"/>
  <c r="AT36" i="691"/>
  <c r="AJ36" i="691"/>
  <c r="X36" i="691"/>
  <c r="T36" i="691"/>
  <c r="U36" i="691" s="1"/>
  <c r="L36" i="691"/>
  <c r="K36" i="691" s="1"/>
  <c r="H36" i="691"/>
  <c r="E36" i="691"/>
  <c r="AT35" i="691"/>
  <c r="AJ35" i="691"/>
  <c r="X35" i="691"/>
  <c r="T35" i="691"/>
  <c r="U35" i="691" s="1"/>
  <c r="L35" i="691"/>
  <c r="K35" i="691" s="1"/>
  <c r="H35" i="691"/>
  <c r="E35" i="691"/>
  <c r="AZ34" i="691"/>
  <c r="AJ34" i="691"/>
  <c r="X34" i="691"/>
  <c r="T34" i="691"/>
  <c r="U34" i="691" s="1"/>
  <c r="L34" i="691"/>
  <c r="K34" i="691" s="1"/>
  <c r="H34" i="691"/>
  <c r="E34" i="691"/>
  <c r="AJ33" i="691"/>
  <c r="X33" i="691"/>
  <c r="T33" i="691"/>
  <c r="V33" i="691" s="1"/>
  <c r="L33" i="691"/>
  <c r="M33" i="691" s="1"/>
  <c r="H33" i="691"/>
  <c r="E33" i="691"/>
  <c r="AJ32" i="691"/>
  <c r="X32" i="691"/>
  <c r="T32" i="691"/>
  <c r="V32" i="691" s="1"/>
  <c r="L32" i="691"/>
  <c r="M32" i="691" s="1"/>
  <c r="H32" i="691"/>
  <c r="E32" i="691"/>
  <c r="AT31" i="691"/>
  <c r="AJ31" i="691"/>
  <c r="X31" i="691"/>
  <c r="T31" i="691"/>
  <c r="V31" i="691" s="1"/>
  <c r="L31" i="691"/>
  <c r="M31" i="691" s="1"/>
  <c r="H31" i="691"/>
  <c r="E31" i="691"/>
  <c r="AT30" i="691"/>
  <c r="AJ30" i="691"/>
  <c r="X30" i="691"/>
  <c r="T30" i="691"/>
  <c r="V30" i="691" s="1"/>
  <c r="L30" i="691"/>
  <c r="M30" i="691" s="1"/>
  <c r="H30" i="691"/>
  <c r="E30" i="691"/>
  <c r="AT29" i="691"/>
  <c r="AJ29" i="691"/>
  <c r="X29" i="691"/>
  <c r="T29" i="691"/>
  <c r="V29" i="691" s="1"/>
  <c r="L29" i="691"/>
  <c r="M29" i="691" s="1"/>
  <c r="H29" i="691"/>
  <c r="E29" i="691"/>
  <c r="AT28" i="691"/>
  <c r="AJ28" i="691"/>
  <c r="X28" i="691"/>
  <c r="T28" i="691"/>
  <c r="V28" i="691" s="1"/>
  <c r="L28" i="691"/>
  <c r="M28" i="691" s="1"/>
  <c r="H28" i="691"/>
  <c r="E28" i="691"/>
  <c r="AT27" i="691"/>
  <c r="AJ27" i="691"/>
  <c r="X27" i="691"/>
  <c r="T27" i="691"/>
  <c r="V27" i="691" s="1"/>
  <c r="L27" i="691"/>
  <c r="M27" i="691" s="1"/>
  <c r="H27" i="691"/>
  <c r="E27" i="691"/>
  <c r="AJ26" i="691"/>
  <c r="X26" i="691"/>
  <c r="T26" i="691"/>
  <c r="V26" i="691" s="1"/>
  <c r="L26" i="691"/>
  <c r="M26" i="691" s="1"/>
  <c r="H26" i="691"/>
  <c r="E26" i="691"/>
  <c r="AT25" i="691"/>
  <c r="AJ25" i="691"/>
  <c r="X25" i="691"/>
  <c r="T25" i="691"/>
  <c r="V25" i="691" s="1"/>
  <c r="L25" i="691"/>
  <c r="M25" i="691" s="1"/>
  <c r="H25" i="691"/>
  <c r="E25" i="691"/>
  <c r="AT24" i="691"/>
  <c r="AJ24" i="691"/>
  <c r="X24" i="691"/>
  <c r="T24" i="691"/>
  <c r="V24" i="691" s="1"/>
  <c r="L24" i="691"/>
  <c r="K24" i="691" s="1"/>
  <c r="H24" i="691"/>
  <c r="E24" i="691"/>
  <c r="AT23" i="691"/>
  <c r="AJ23" i="691"/>
  <c r="X23" i="691"/>
  <c r="T23" i="691"/>
  <c r="V23" i="691" s="1"/>
  <c r="L23" i="691"/>
  <c r="K23" i="691" s="1"/>
  <c r="H23" i="691"/>
  <c r="E23" i="691"/>
  <c r="AT22" i="691"/>
  <c r="AJ22" i="691"/>
  <c r="X22" i="691"/>
  <c r="T22" i="691"/>
  <c r="V22" i="691" s="1"/>
  <c r="L22" i="691"/>
  <c r="M22" i="691" s="1"/>
  <c r="H22" i="691"/>
  <c r="E22" i="691"/>
  <c r="AT21" i="691"/>
  <c r="AJ21" i="691"/>
  <c r="X21" i="691"/>
  <c r="T21" i="691"/>
  <c r="V21" i="691" s="1"/>
  <c r="L21" i="691"/>
  <c r="K21" i="691" s="1"/>
  <c r="H21" i="691"/>
  <c r="E21" i="691"/>
  <c r="AT20" i="691"/>
  <c r="AJ20" i="691"/>
  <c r="X20" i="691"/>
  <c r="T20" i="691"/>
  <c r="V20" i="691" s="1"/>
  <c r="L20" i="691"/>
  <c r="M20" i="691" s="1"/>
  <c r="H20" i="691"/>
  <c r="E20" i="691"/>
  <c r="AT19" i="691"/>
  <c r="AJ19" i="691"/>
  <c r="X19" i="691"/>
  <c r="T19" i="691"/>
  <c r="V19" i="691" s="1"/>
  <c r="L19" i="691"/>
  <c r="K19" i="691" s="1"/>
  <c r="H19" i="691"/>
  <c r="E19" i="691"/>
  <c r="AT18" i="691"/>
  <c r="AJ18" i="691"/>
  <c r="X18" i="691"/>
  <c r="T18" i="691"/>
  <c r="V18" i="691" s="1"/>
  <c r="L18" i="691"/>
  <c r="K18" i="691" s="1"/>
  <c r="H18" i="691"/>
  <c r="E18" i="691"/>
  <c r="AT17" i="691"/>
  <c r="AJ17" i="691"/>
  <c r="X17" i="691"/>
  <c r="T17" i="691"/>
  <c r="V17" i="691" s="1"/>
  <c r="L17" i="691"/>
  <c r="M17" i="691" s="1"/>
  <c r="H17" i="691"/>
  <c r="E17" i="691"/>
  <c r="AT16" i="691"/>
  <c r="AJ16" i="691"/>
  <c r="X16" i="691"/>
  <c r="T16" i="691"/>
  <c r="V16" i="691" s="1"/>
  <c r="L16" i="691"/>
  <c r="M16" i="691" s="1"/>
  <c r="H16" i="691"/>
  <c r="E16" i="691"/>
  <c r="AT15" i="691"/>
  <c r="AJ15" i="691"/>
  <c r="X15" i="691"/>
  <c r="T15" i="691"/>
  <c r="V15" i="691" s="1"/>
  <c r="L15" i="691"/>
  <c r="M15" i="691" s="1"/>
  <c r="H15" i="691"/>
  <c r="E15" i="691"/>
  <c r="AT14" i="691"/>
  <c r="AJ14" i="691"/>
  <c r="X14" i="691"/>
  <c r="T14" i="691"/>
  <c r="V14" i="691" s="1"/>
  <c r="L14" i="691"/>
  <c r="K14" i="691" s="1"/>
  <c r="H14" i="691"/>
  <c r="E14" i="691"/>
  <c r="AT13" i="691"/>
  <c r="X13" i="691"/>
  <c r="L13" i="691"/>
  <c r="M13" i="691" s="1"/>
  <c r="H13" i="691"/>
  <c r="E13" i="691"/>
  <c r="M27" i="692" l="1"/>
  <c r="M18" i="691"/>
  <c r="M21" i="691"/>
  <c r="K25" i="691"/>
  <c r="K26" i="691"/>
  <c r="K33" i="691"/>
  <c r="U35" i="692"/>
  <c r="AK36" i="692"/>
  <c r="AT37" i="692"/>
  <c r="K35" i="692"/>
  <c r="U36" i="692"/>
  <c r="K15" i="691"/>
  <c r="K16" i="691"/>
  <c r="K17" i="691"/>
  <c r="K20" i="691"/>
  <c r="K36" i="692"/>
  <c r="V32" i="692"/>
  <c r="M31" i="692"/>
  <c r="V31" i="692"/>
  <c r="AK31" i="692" s="1"/>
  <c r="M28" i="692"/>
  <c r="V27" i="692"/>
  <c r="V26" i="692"/>
  <c r="AK26" i="692" s="1"/>
  <c r="U25" i="692"/>
  <c r="V23" i="692"/>
  <c r="AK23" i="692" s="1"/>
  <c r="V22" i="692"/>
  <c r="AK22" i="692" s="1"/>
  <c r="U21" i="692"/>
  <c r="U19" i="692"/>
  <c r="V19" i="692"/>
  <c r="AK19" i="692" s="1"/>
  <c r="V18" i="692"/>
  <c r="U17" i="692"/>
  <c r="U15" i="692"/>
  <c r="V15" i="692"/>
  <c r="AK15" i="692" s="1"/>
  <c r="V14" i="692"/>
  <c r="AK14" i="692" s="1"/>
  <c r="AK16" i="692"/>
  <c r="AK18" i="692"/>
  <c r="AK20" i="692"/>
  <c r="AK24" i="692"/>
  <c r="AK17" i="692"/>
  <c r="AK21" i="692"/>
  <c r="AK25" i="692"/>
  <c r="AK34" i="692"/>
  <c r="AK35" i="692"/>
  <c r="U34" i="692"/>
  <c r="AK32" i="692"/>
  <c r="U16" i="692"/>
  <c r="U20" i="692"/>
  <c r="U24" i="692"/>
  <c r="V28" i="692"/>
  <c r="AK28" i="692" s="1"/>
  <c r="V29" i="692"/>
  <c r="AK29" i="692" s="1"/>
  <c r="V30" i="692"/>
  <c r="AK30" i="692" s="1"/>
  <c r="AK27" i="692"/>
  <c r="M30" i="692"/>
  <c r="K33" i="692"/>
  <c r="K34" i="692"/>
  <c r="M32" i="692"/>
  <c r="M29" i="692"/>
  <c r="AJ37" i="692"/>
  <c r="V13" i="692"/>
  <c r="AK13" i="692" s="1"/>
  <c r="U13" i="692"/>
  <c r="T37" i="692"/>
  <c r="AI8" i="692"/>
  <c r="V33" i="692"/>
  <c r="AK33" i="692" s="1"/>
  <c r="K13" i="692"/>
  <c r="K14" i="692"/>
  <c r="K15" i="692"/>
  <c r="K16" i="692"/>
  <c r="K17" i="692"/>
  <c r="K18" i="692"/>
  <c r="K19" i="692"/>
  <c r="K20" i="692"/>
  <c r="K21" i="692"/>
  <c r="K22" i="692"/>
  <c r="K23" i="692"/>
  <c r="K24" i="692"/>
  <c r="K25" i="692"/>
  <c r="K26" i="692"/>
  <c r="V36" i="691"/>
  <c r="AK36" i="691" s="1"/>
  <c r="AT37" i="691"/>
  <c r="M14" i="691"/>
  <c r="K22" i="691"/>
  <c r="V35" i="691"/>
  <c r="AK35" i="691" s="1"/>
  <c r="V34" i="691"/>
  <c r="AK34" i="691" s="1"/>
  <c r="AK30" i="691"/>
  <c r="AK25" i="691"/>
  <c r="M24" i="691"/>
  <c r="AK24" i="691"/>
  <c r="M23" i="691"/>
  <c r="AK21" i="691"/>
  <c r="AK20" i="691"/>
  <c r="M19" i="691"/>
  <c r="AK17" i="691"/>
  <c r="AK16" i="691"/>
  <c r="AK14" i="691"/>
  <c r="AK18" i="691"/>
  <c r="AK22" i="691"/>
  <c r="AK26" i="691"/>
  <c r="AK15" i="691"/>
  <c r="AK19" i="691"/>
  <c r="AK23" i="691"/>
  <c r="AK33" i="691"/>
  <c r="AK27" i="691"/>
  <c r="AK31" i="691"/>
  <c r="U15" i="691"/>
  <c r="U16" i="691"/>
  <c r="U17" i="691"/>
  <c r="U18" i="691"/>
  <c r="U19" i="691"/>
  <c r="U20" i="691"/>
  <c r="U21" i="691"/>
  <c r="U22" i="691"/>
  <c r="U23" i="691"/>
  <c r="U24" i="691"/>
  <c r="U25" i="691"/>
  <c r="U26" i="691"/>
  <c r="U33" i="691"/>
  <c r="U14" i="691"/>
  <c r="K13" i="691"/>
  <c r="V13" i="691"/>
  <c r="AK13" i="691" s="1"/>
  <c r="U13" i="691"/>
  <c r="T37" i="691"/>
  <c r="AK29" i="691"/>
  <c r="AK32" i="691"/>
  <c r="AJ37" i="691"/>
  <c r="AI8" i="691"/>
  <c r="K27" i="691"/>
  <c r="U27" i="691"/>
  <c r="K28" i="691"/>
  <c r="U28" i="691"/>
  <c r="AK28" i="691"/>
  <c r="K29" i="691"/>
  <c r="U29" i="691"/>
  <c r="K30" i="691"/>
  <c r="U30" i="691"/>
  <c r="K31" i="691"/>
  <c r="U31" i="691"/>
  <c r="K32" i="691"/>
  <c r="U32" i="691"/>
  <c r="M34" i="691"/>
  <c r="M35" i="691"/>
  <c r="M36" i="691"/>
  <c r="AI11" i="690"/>
  <c r="AJ13" i="690" s="1"/>
  <c r="S11" i="690"/>
  <c r="T13" i="690" s="1"/>
  <c r="U13" i="690" s="1"/>
  <c r="AU37" i="690"/>
  <c r="AS37" i="690"/>
  <c r="AT36" i="690"/>
  <c r="AJ36" i="690"/>
  <c r="X36" i="690"/>
  <c r="T36" i="690"/>
  <c r="V36" i="690" s="1"/>
  <c r="L36" i="690"/>
  <c r="M36" i="690" s="1"/>
  <c r="H36" i="690"/>
  <c r="E36" i="690"/>
  <c r="AT35" i="690"/>
  <c r="AJ35" i="690"/>
  <c r="X35" i="690"/>
  <c r="T35" i="690"/>
  <c r="V35" i="690" s="1"/>
  <c r="L35" i="690"/>
  <c r="M35" i="690" s="1"/>
  <c r="H35" i="690"/>
  <c r="E35" i="690"/>
  <c r="AZ34" i="690"/>
  <c r="AJ34" i="690"/>
  <c r="X34" i="690"/>
  <c r="T34" i="690"/>
  <c r="V34" i="690" s="1"/>
  <c r="L34" i="690"/>
  <c r="M34" i="690" s="1"/>
  <c r="H34" i="690"/>
  <c r="E34" i="690"/>
  <c r="AJ33" i="690"/>
  <c r="X33" i="690"/>
  <c r="T33" i="690"/>
  <c r="U33" i="690" s="1"/>
  <c r="L33" i="690"/>
  <c r="K33" i="690" s="1"/>
  <c r="H33" i="690"/>
  <c r="E33" i="690"/>
  <c r="AJ32" i="690"/>
  <c r="X32" i="690"/>
  <c r="T32" i="690"/>
  <c r="L32" i="690"/>
  <c r="M32" i="690" s="1"/>
  <c r="H32" i="690"/>
  <c r="E32" i="690"/>
  <c r="AT31" i="690"/>
  <c r="AJ31" i="690"/>
  <c r="X31" i="690"/>
  <c r="T31" i="690"/>
  <c r="U31" i="690" s="1"/>
  <c r="L31" i="690"/>
  <c r="M31" i="690" s="1"/>
  <c r="H31" i="690"/>
  <c r="E31" i="690"/>
  <c r="AT30" i="690"/>
  <c r="AJ30" i="690"/>
  <c r="X30" i="690"/>
  <c r="T30" i="690"/>
  <c r="V30" i="690" s="1"/>
  <c r="L30" i="690"/>
  <c r="M30" i="690" s="1"/>
  <c r="H30" i="690"/>
  <c r="E30" i="690"/>
  <c r="AT29" i="690"/>
  <c r="AJ29" i="690"/>
  <c r="X29" i="690"/>
  <c r="T29" i="690"/>
  <c r="V29" i="690" s="1"/>
  <c r="L29" i="690"/>
  <c r="M29" i="690" s="1"/>
  <c r="H29" i="690"/>
  <c r="E29" i="690"/>
  <c r="AT28" i="690"/>
  <c r="AJ28" i="690"/>
  <c r="X28" i="690"/>
  <c r="T28" i="690"/>
  <c r="L28" i="690"/>
  <c r="M28" i="690" s="1"/>
  <c r="H28" i="690"/>
  <c r="E28" i="690"/>
  <c r="AT27" i="690"/>
  <c r="AJ27" i="690"/>
  <c r="X27" i="690"/>
  <c r="T27" i="690"/>
  <c r="U27" i="690" s="1"/>
  <c r="L27" i="690"/>
  <c r="M27" i="690" s="1"/>
  <c r="H27" i="690"/>
  <c r="E27" i="690"/>
  <c r="AJ26" i="690"/>
  <c r="X26" i="690"/>
  <c r="T26" i="690"/>
  <c r="V26" i="690" s="1"/>
  <c r="L26" i="690"/>
  <c r="M26" i="690" s="1"/>
  <c r="H26" i="690"/>
  <c r="E26" i="690"/>
  <c r="AT25" i="690"/>
  <c r="AJ25" i="690"/>
  <c r="X25" i="690"/>
  <c r="T25" i="690"/>
  <c r="V25" i="690" s="1"/>
  <c r="L25" i="690"/>
  <c r="M25" i="690" s="1"/>
  <c r="H25" i="690"/>
  <c r="E25" i="690"/>
  <c r="AT24" i="690"/>
  <c r="AJ24" i="690"/>
  <c r="X24" i="690"/>
  <c r="T24" i="690"/>
  <c r="V24" i="690" s="1"/>
  <c r="L24" i="690"/>
  <c r="M24" i="690" s="1"/>
  <c r="H24" i="690"/>
  <c r="E24" i="690"/>
  <c r="AT23" i="690"/>
  <c r="AJ23" i="690"/>
  <c r="X23" i="690"/>
  <c r="T23" i="690"/>
  <c r="V23" i="690" s="1"/>
  <c r="L23" i="690"/>
  <c r="M23" i="690" s="1"/>
  <c r="H23" i="690"/>
  <c r="E23" i="690"/>
  <c r="AT22" i="690"/>
  <c r="AJ22" i="690"/>
  <c r="X22" i="690"/>
  <c r="T22" i="690"/>
  <c r="V22" i="690" s="1"/>
  <c r="L22" i="690"/>
  <c r="M22" i="690" s="1"/>
  <c r="H22" i="690"/>
  <c r="E22" i="690"/>
  <c r="AT21" i="690"/>
  <c r="AJ21" i="690"/>
  <c r="X21" i="690"/>
  <c r="T21" i="690"/>
  <c r="V21" i="690" s="1"/>
  <c r="L21" i="690"/>
  <c r="M21" i="690" s="1"/>
  <c r="H21" i="690"/>
  <c r="E21" i="690"/>
  <c r="AT20" i="690"/>
  <c r="AJ20" i="690"/>
  <c r="X20" i="690"/>
  <c r="T20" i="690"/>
  <c r="V20" i="690" s="1"/>
  <c r="L20" i="690"/>
  <c r="M20" i="690" s="1"/>
  <c r="H20" i="690"/>
  <c r="E20" i="690"/>
  <c r="AT19" i="690"/>
  <c r="AJ19" i="690"/>
  <c r="X19" i="690"/>
  <c r="T19" i="690"/>
  <c r="V19" i="690" s="1"/>
  <c r="L19" i="690"/>
  <c r="M19" i="690" s="1"/>
  <c r="H19" i="690"/>
  <c r="E19" i="690"/>
  <c r="AT18" i="690"/>
  <c r="AJ18" i="690"/>
  <c r="X18" i="690"/>
  <c r="T18" i="690"/>
  <c r="U18" i="690" s="1"/>
  <c r="L18" i="690"/>
  <c r="M18" i="690" s="1"/>
  <c r="H18" i="690"/>
  <c r="E18" i="690"/>
  <c r="AT17" i="690"/>
  <c r="AJ17" i="690"/>
  <c r="X17" i="690"/>
  <c r="T17" i="690"/>
  <c r="V17" i="690" s="1"/>
  <c r="L17" i="690"/>
  <c r="M17" i="690" s="1"/>
  <c r="H17" i="690"/>
  <c r="E17" i="690"/>
  <c r="AT16" i="690"/>
  <c r="AJ16" i="690"/>
  <c r="X16" i="690"/>
  <c r="T16" i="690"/>
  <c r="V16" i="690" s="1"/>
  <c r="L16" i="690"/>
  <c r="M16" i="690" s="1"/>
  <c r="H16" i="690"/>
  <c r="E16" i="690"/>
  <c r="AT15" i="690"/>
  <c r="AJ15" i="690"/>
  <c r="X15" i="690"/>
  <c r="T15" i="690"/>
  <c r="U15" i="690" s="1"/>
  <c r="L15" i="690"/>
  <c r="M15" i="690" s="1"/>
  <c r="H15" i="690"/>
  <c r="E15" i="690"/>
  <c r="AT14" i="690"/>
  <c r="AJ14" i="690"/>
  <c r="X14" i="690"/>
  <c r="T14" i="690"/>
  <c r="U14" i="690" s="1"/>
  <c r="L14" i="690"/>
  <c r="M14" i="690" s="1"/>
  <c r="H14" i="690"/>
  <c r="E14" i="690"/>
  <c r="AT13" i="690"/>
  <c r="X13" i="690"/>
  <c r="L13" i="690"/>
  <c r="M13" i="690" s="1"/>
  <c r="H13" i="690"/>
  <c r="E13" i="690"/>
  <c r="AI8" i="690" l="1"/>
  <c r="K15" i="690"/>
  <c r="K36" i="690"/>
  <c r="V37" i="692"/>
  <c r="AK37" i="692" s="1"/>
  <c r="U37" i="692"/>
  <c r="K35" i="690"/>
  <c r="K34" i="690"/>
  <c r="AK34" i="690"/>
  <c r="V33" i="690"/>
  <c r="AK33" i="690" s="1"/>
  <c r="AT37" i="690"/>
  <c r="K18" i="690"/>
  <c r="K23" i="690"/>
  <c r="K24" i="690"/>
  <c r="K25" i="690"/>
  <c r="V37" i="691"/>
  <c r="AK37" i="691" s="1"/>
  <c r="U37" i="691"/>
  <c r="U32" i="690"/>
  <c r="V32" i="690"/>
  <c r="AK32" i="690" s="1"/>
  <c r="V31" i="690"/>
  <c r="AK31" i="690" s="1"/>
  <c r="AK29" i="690"/>
  <c r="V28" i="690"/>
  <c r="AK28" i="690" s="1"/>
  <c r="U28" i="690"/>
  <c r="V27" i="690"/>
  <c r="AK27" i="690" s="1"/>
  <c r="K26" i="690"/>
  <c r="K22" i="690"/>
  <c r="K21" i="690"/>
  <c r="K20" i="690"/>
  <c r="K19" i="690"/>
  <c r="K17" i="690"/>
  <c r="K16" i="690"/>
  <c r="K14" i="690"/>
  <c r="K13" i="690"/>
  <c r="AJ37" i="690"/>
  <c r="AK30" i="690"/>
  <c r="U29" i="690"/>
  <c r="AK16" i="690"/>
  <c r="AK17" i="690"/>
  <c r="AK19" i="690"/>
  <c r="AK20" i="690"/>
  <c r="AK21" i="690"/>
  <c r="AK22" i="690"/>
  <c r="AK23" i="690"/>
  <c r="AK24" i="690"/>
  <c r="AK25" i="690"/>
  <c r="AK26" i="690"/>
  <c r="U30" i="690"/>
  <c r="AK35" i="690"/>
  <c r="AK36" i="690"/>
  <c r="K27" i="690"/>
  <c r="K28" i="690"/>
  <c r="K29" i="690"/>
  <c r="K30" i="690"/>
  <c r="K31" i="690"/>
  <c r="K32" i="690"/>
  <c r="T37" i="690"/>
  <c r="U16" i="690"/>
  <c r="U17" i="690"/>
  <c r="U19" i="690"/>
  <c r="U20" i="690"/>
  <c r="U21" i="690"/>
  <c r="U22" i="690"/>
  <c r="U23" i="690"/>
  <c r="U24" i="690"/>
  <c r="U25" i="690"/>
  <c r="U26" i="690"/>
  <c r="M33" i="690"/>
  <c r="V13" i="690"/>
  <c r="AK13" i="690" s="1"/>
  <c r="V14" i="690"/>
  <c r="AK14" i="690" s="1"/>
  <c r="V15" i="690"/>
  <c r="AK15" i="690" s="1"/>
  <c r="V18" i="690"/>
  <c r="AK18" i="690" s="1"/>
  <c r="U34" i="690"/>
  <c r="U35" i="690"/>
  <c r="U36" i="690"/>
  <c r="V37" i="690" l="1"/>
  <c r="AK37" i="690" s="1"/>
  <c r="U37" i="690"/>
  <c r="H17" i="689" l="1"/>
  <c r="AI11" i="689"/>
  <c r="AJ13" i="689" s="1"/>
  <c r="S11" i="689"/>
  <c r="T13" i="689" s="1"/>
  <c r="AU37" i="689"/>
  <c r="AS37" i="689"/>
  <c r="AT36" i="689"/>
  <c r="AJ36" i="689"/>
  <c r="X36" i="689"/>
  <c r="T36" i="689"/>
  <c r="V36" i="689" s="1"/>
  <c r="L36" i="689"/>
  <c r="K36" i="689" s="1"/>
  <c r="H36" i="689"/>
  <c r="E36" i="689"/>
  <c r="AT35" i="689"/>
  <c r="AJ35" i="689"/>
  <c r="X35" i="689"/>
  <c r="T35" i="689"/>
  <c r="V35" i="689" s="1"/>
  <c r="L35" i="689"/>
  <c r="K35" i="689" s="1"/>
  <c r="H35" i="689"/>
  <c r="E35" i="689"/>
  <c r="AZ34" i="689"/>
  <c r="AJ34" i="689"/>
  <c r="X34" i="689"/>
  <c r="T34" i="689"/>
  <c r="U34" i="689" s="1"/>
  <c r="L34" i="689"/>
  <c r="K34" i="689" s="1"/>
  <c r="H34" i="689"/>
  <c r="E34" i="689"/>
  <c r="AJ33" i="689"/>
  <c r="X33" i="689"/>
  <c r="T33" i="689"/>
  <c r="V33" i="689" s="1"/>
  <c r="L33" i="689"/>
  <c r="M33" i="689" s="1"/>
  <c r="H33" i="689"/>
  <c r="E33" i="689"/>
  <c r="AJ32" i="689"/>
  <c r="X32" i="689"/>
  <c r="T32" i="689"/>
  <c r="V32" i="689" s="1"/>
  <c r="L32" i="689"/>
  <c r="M32" i="689" s="1"/>
  <c r="H32" i="689"/>
  <c r="E32" i="689"/>
  <c r="AT31" i="689"/>
  <c r="AJ31" i="689"/>
  <c r="X31" i="689"/>
  <c r="T31" i="689"/>
  <c r="V31" i="689" s="1"/>
  <c r="L31" i="689"/>
  <c r="M31" i="689" s="1"/>
  <c r="H31" i="689"/>
  <c r="E31" i="689"/>
  <c r="AT30" i="689"/>
  <c r="AJ30" i="689"/>
  <c r="X30" i="689"/>
  <c r="T30" i="689"/>
  <c r="V30" i="689" s="1"/>
  <c r="L30" i="689"/>
  <c r="M30" i="689" s="1"/>
  <c r="H30" i="689"/>
  <c r="E30" i="689"/>
  <c r="AT29" i="689"/>
  <c r="AJ29" i="689"/>
  <c r="X29" i="689"/>
  <c r="T29" i="689"/>
  <c r="V29" i="689" s="1"/>
  <c r="L29" i="689"/>
  <c r="M29" i="689" s="1"/>
  <c r="H29" i="689"/>
  <c r="E29" i="689"/>
  <c r="AT28" i="689"/>
  <c r="AJ28" i="689"/>
  <c r="X28" i="689"/>
  <c r="T28" i="689"/>
  <c r="V28" i="689" s="1"/>
  <c r="L28" i="689"/>
  <c r="M28" i="689" s="1"/>
  <c r="H28" i="689"/>
  <c r="E28" i="689"/>
  <c r="AT27" i="689"/>
  <c r="AJ27" i="689"/>
  <c r="X27" i="689"/>
  <c r="T27" i="689"/>
  <c r="V27" i="689" s="1"/>
  <c r="L27" i="689"/>
  <c r="M27" i="689" s="1"/>
  <c r="H27" i="689"/>
  <c r="E27" i="689"/>
  <c r="AJ26" i="689"/>
  <c r="X26" i="689"/>
  <c r="T26" i="689"/>
  <c r="V26" i="689" s="1"/>
  <c r="L26" i="689"/>
  <c r="M26" i="689" s="1"/>
  <c r="H26" i="689"/>
  <c r="E26" i="689"/>
  <c r="AT25" i="689"/>
  <c r="AJ25" i="689"/>
  <c r="X25" i="689"/>
  <c r="T25" i="689"/>
  <c r="U25" i="689" s="1"/>
  <c r="L25" i="689"/>
  <c r="M25" i="689" s="1"/>
  <c r="H25" i="689"/>
  <c r="E25" i="689"/>
  <c r="AT24" i="689"/>
  <c r="AJ24" i="689"/>
  <c r="X24" i="689"/>
  <c r="T24" i="689"/>
  <c r="L24" i="689"/>
  <c r="M24" i="689" s="1"/>
  <c r="H24" i="689"/>
  <c r="E24" i="689"/>
  <c r="AT23" i="689"/>
  <c r="AJ23" i="689"/>
  <c r="X23" i="689"/>
  <c r="T23" i="689"/>
  <c r="V23" i="689" s="1"/>
  <c r="L23" i="689"/>
  <c r="M23" i="689" s="1"/>
  <c r="H23" i="689"/>
  <c r="E23" i="689"/>
  <c r="AT22" i="689"/>
  <c r="AJ22" i="689"/>
  <c r="X22" i="689"/>
  <c r="T22" i="689"/>
  <c r="V22" i="689" s="1"/>
  <c r="L22" i="689"/>
  <c r="M22" i="689" s="1"/>
  <c r="H22" i="689"/>
  <c r="E22" i="689"/>
  <c r="AT21" i="689"/>
  <c r="AJ21" i="689"/>
  <c r="X21" i="689"/>
  <c r="T21" i="689"/>
  <c r="U21" i="689" s="1"/>
  <c r="L21" i="689"/>
  <c r="M21" i="689" s="1"/>
  <c r="H21" i="689"/>
  <c r="E21" i="689"/>
  <c r="AT20" i="689"/>
  <c r="AJ20" i="689"/>
  <c r="X20" i="689"/>
  <c r="T20" i="689"/>
  <c r="U20" i="689" s="1"/>
  <c r="L20" i="689"/>
  <c r="M20" i="689" s="1"/>
  <c r="H20" i="689"/>
  <c r="E20" i="689"/>
  <c r="AT19" i="689"/>
  <c r="AJ19" i="689"/>
  <c r="X19" i="689"/>
  <c r="T19" i="689"/>
  <c r="V19" i="689" s="1"/>
  <c r="L19" i="689"/>
  <c r="M19" i="689" s="1"/>
  <c r="H19" i="689"/>
  <c r="E19" i="689"/>
  <c r="AT18" i="689"/>
  <c r="AJ18" i="689"/>
  <c r="X18" i="689"/>
  <c r="T18" i="689"/>
  <c r="V18" i="689" s="1"/>
  <c r="L18" i="689"/>
  <c r="M18" i="689" s="1"/>
  <c r="H18" i="689"/>
  <c r="E18" i="689"/>
  <c r="AT17" i="689"/>
  <c r="AJ17" i="689"/>
  <c r="X17" i="689"/>
  <c r="T17" i="689"/>
  <c r="U17" i="689" s="1"/>
  <c r="L17" i="689"/>
  <c r="M17" i="689" s="1"/>
  <c r="E17" i="689"/>
  <c r="AT16" i="689"/>
  <c r="AJ16" i="689"/>
  <c r="X16" i="689"/>
  <c r="T16" i="689"/>
  <c r="L16" i="689"/>
  <c r="M16" i="689" s="1"/>
  <c r="H16" i="689"/>
  <c r="E16" i="689"/>
  <c r="AT15" i="689"/>
  <c r="AJ15" i="689"/>
  <c r="X15" i="689"/>
  <c r="T15" i="689"/>
  <c r="V15" i="689" s="1"/>
  <c r="L15" i="689"/>
  <c r="M15" i="689" s="1"/>
  <c r="H15" i="689"/>
  <c r="E15" i="689"/>
  <c r="AT14" i="689"/>
  <c r="AJ14" i="689"/>
  <c r="X14" i="689"/>
  <c r="T14" i="689"/>
  <c r="V14" i="689" s="1"/>
  <c r="L14" i="689"/>
  <c r="M14" i="689" s="1"/>
  <c r="H14" i="689"/>
  <c r="E14" i="689"/>
  <c r="AT13" i="689"/>
  <c r="X13" i="689"/>
  <c r="L13" i="689"/>
  <c r="K13" i="689" s="1"/>
  <c r="H13" i="689"/>
  <c r="E13" i="689"/>
  <c r="K26" i="689" l="1"/>
  <c r="K33" i="689"/>
  <c r="AT37" i="689"/>
  <c r="V16" i="689"/>
  <c r="K21" i="689"/>
  <c r="K22" i="689"/>
  <c r="K23" i="689"/>
  <c r="K16" i="689"/>
  <c r="K17" i="689"/>
  <c r="K18" i="689"/>
  <c r="K19" i="689"/>
  <c r="V25" i="689"/>
  <c r="K25" i="689"/>
  <c r="U33" i="689"/>
  <c r="AK30" i="689"/>
  <c r="K24" i="689"/>
  <c r="U24" i="689"/>
  <c r="V24" i="689"/>
  <c r="AK24" i="689" s="1"/>
  <c r="V21" i="689"/>
  <c r="AK21" i="689" s="1"/>
  <c r="K20" i="689"/>
  <c r="V20" i="689"/>
  <c r="AK20" i="689" s="1"/>
  <c r="V17" i="689"/>
  <c r="AK17" i="689" s="1"/>
  <c r="U16" i="689"/>
  <c r="AK16" i="689"/>
  <c r="K15" i="689"/>
  <c r="K14" i="689"/>
  <c r="AK15" i="689"/>
  <c r="AK18" i="689"/>
  <c r="AK19" i="689"/>
  <c r="AK22" i="689"/>
  <c r="AK23" i="689"/>
  <c r="AK25" i="689"/>
  <c r="AK26" i="689"/>
  <c r="AK33" i="689"/>
  <c r="AK14" i="689"/>
  <c r="U15" i="689"/>
  <c r="U19" i="689"/>
  <c r="U23" i="689"/>
  <c r="U18" i="689"/>
  <c r="U22" i="689"/>
  <c r="U26" i="689"/>
  <c r="AK29" i="689"/>
  <c r="AK35" i="689"/>
  <c r="U14" i="689"/>
  <c r="M13" i="689"/>
  <c r="V13" i="689"/>
  <c r="AK13" i="689" s="1"/>
  <c r="U13" i="689"/>
  <c r="T37" i="689"/>
  <c r="AK32" i="689"/>
  <c r="AJ37" i="689"/>
  <c r="AK27" i="689"/>
  <c r="AK31" i="689"/>
  <c r="AK36" i="689"/>
  <c r="V34" i="689"/>
  <c r="AK34" i="689" s="1"/>
  <c r="AI8" i="689"/>
  <c r="K27" i="689"/>
  <c r="U27" i="689"/>
  <c r="K28" i="689"/>
  <c r="U28" i="689"/>
  <c r="AK28" i="689"/>
  <c r="K29" i="689"/>
  <c r="U29" i="689"/>
  <c r="K30" i="689"/>
  <c r="U30" i="689"/>
  <c r="K31" i="689"/>
  <c r="U31" i="689"/>
  <c r="K32" i="689"/>
  <c r="U32" i="689"/>
  <c r="M34" i="689"/>
  <c r="M35" i="689"/>
  <c r="M36" i="689"/>
  <c r="U35" i="689"/>
  <c r="U36" i="689"/>
  <c r="V37" i="689" l="1"/>
  <c r="AK37" i="689" s="1"/>
  <c r="U37" i="689"/>
  <c r="AI11" i="688" l="1"/>
  <c r="S11" i="688"/>
  <c r="AU37" i="688" l="1"/>
  <c r="AS37" i="688"/>
  <c r="AT36" i="688"/>
  <c r="AJ36" i="688"/>
  <c r="X36" i="688"/>
  <c r="T36" i="688"/>
  <c r="L36" i="688"/>
  <c r="K36" i="688" s="1"/>
  <c r="H36" i="688"/>
  <c r="E36" i="688"/>
  <c r="AT35" i="688"/>
  <c r="AJ35" i="688"/>
  <c r="X35" i="688"/>
  <c r="T35" i="688"/>
  <c r="L35" i="688"/>
  <c r="K35" i="688" s="1"/>
  <c r="H35" i="688"/>
  <c r="E35" i="688"/>
  <c r="AZ34" i="688"/>
  <c r="AJ34" i="688"/>
  <c r="X34" i="688"/>
  <c r="T34" i="688"/>
  <c r="L34" i="688"/>
  <c r="K34" i="688" s="1"/>
  <c r="H34" i="688"/>
  <c r="E34" i="688"/>
  <c r="AJ33" i="688"/>
  <c r="X33" i="688"/>
  <c r="T33" i="688"/>
  <c r="L33" i="688"/>
  <c r="M33" i="688" s="1"/>
  <c r="H33" i="688"/>
  <c r="E33" i="688"/>
  <c r="AJ32" i="688"/>
  <c r="X32" i="688"/>
  <c r="T32" i="688"/>
  <c r="L32" i="688"/>
  <c r="M32" i="688" s="1"/>
  <c r="H32" i="688"/>
  <c r="E32" i="688"/>
  <c r="AT31" i="688"/>
  <c r="AJ31" i="688"/>
  <c r="X31" i="688"/>
  <c r="T31" i="688"/>
  <c r="L31" i="688"/>
  <c r="M31" i="688" s="1"/>
  <c r="H31" i="688"/>
  <c r="E31" i="688"/>
  <c r="AT30" i="688"/>
  <c r="AJ30" i="688"/>
  <c r="X30" i="688"/>
  <c r="T30" i="688"/>
  <c r="L30" i="688"/>
  <c r="M30" i="688" s="1"/>
  <c r="H30" i="688"/>
  <c r="E30" i="688"/>
  <c r="AT29" i="688"/>
  <c r="AJ29" i="688"/>
  <c r="X29" i="688"/>
  <c r="T29" i="688"/>
  <c r="L29" i="688"/>
  <c r="M29" i="688" s="1"/>
  <c r="H29" i="688"/>
  <c r="E29" i="688"/>
  <c r="AT28" i="688"/>
  <c r="AJ28" i="688"/>
  <c r="X28" i="688"/>
  <c r="T28" i="688"/>
  <c r="L28" i="688"/>
  <c r="M28" i="688" s="1"/>
  <c r="H28" i="688"/>
  <c r="E28" i="688"/>
  <c r="AT27" i="688"/>
  <c r="AJ27" i="688"/>
  <c r="X27" i="688"/>
  <c r="T27" i="688"/>
  <c r="L27" i="688"/>
  <c r="M27" i="688" s="1"/>
  <c r="H27" i="688"/>
  <c r="E27" i="688"/>
  <c r="AJ26" i="688"/>
  <c r="X26" i="688"/>
  <c r="T26" i="688"/>
  <c r="L26" i="688"/>
  <c r="M26" i="688" s="1"/>
  <c r="H26" i="688"/>
  <c r="E26" i="688"/>
  <c r="AT25" i="688"/>
  <c r="AJ25" i="688"/>
  <c r="X25" i="688"/>
  <c r="T25" i="688"/>
  <c r="L25" i="688"/>
  <c r="M25" i="688" s="1"/>
  <c r="H25" i="688"/>
  <c r="E25" i="688"/>
  <c r="AT24" i="688"/>
  <c r="AJ24" i="688"/>
  <c r="X24" i="688"/>
  <c r="T24" i="688"/>
  <c r="L24" i="688"/>
  <c r="M24" i="688" s="1"/>
  <c r="H24" i="688"/>
  <c r="E24" i="688"/>
  <c r="AT23" i="688"/>
  <c r="AJ23" i="688"/>
  <c r="X23" i="688"/>
  <c r="T23" i="688"/>
  <c r="L23" i="688"/>
  <c r="M23" i="688" s="1"/>
  <c r="H23" i="688"/>
  <c r="E23" i="688"/>
  <c r="AT22" i="688"/>
  <c r="AJ22" i="688"/>
  <c r="X22" i="688"/>
  <c r="T22" i="688"/>
  <c r="L22" i="688"/>
  <c r="M22" i="688" s="1"/>
  <c r="H22" i="688"/>
  <c r="E22" i="688"/>
  <c r="AT21" i="688"/>
  <c r="AJ21" i="688"/>
  <c r="X21" i="688"/>
  <c r="T21" i="688"/>
  <c r="L21" i="688"/>
  <c r="M21" i="688" s="1"/>
  <c r="H21" i="688"/>
  <c r="E21" i="688"/>
  <c r="AT20" i="688"/>
  <c r="AJ20" i="688"/>
  <c r="X20" i="688"/>
  <c r="T20" i="688"/>
  <c r="L20" i="688"/>
  <c r="M20" i="688" s="1"/>
  <c r="H20" i="688"/>
  <c r="E20" i="688"/>
  <c r="AT19" i="688"/>
  <c r="AJ19" i="688"/>
  <c r="X19" i="688"/>
  <c r="T19" i="688"/>
  <c r="L19" i="688"/>
  <c r="M19" i="688" s="1"/>
  <c r="H19" i="688"/>
  <c r="E19" i="688"/>
  <c r="AT18" i="688"/>
  <c r="AJ18" i="688"/>
  <c r="X18" i="688"/>
  <c r="T18" i="688"/>
  <c r="L18" i="688"/>
  <c r="M18" i="688" s="1"/>
  <c r="H18" i="688"/>
  <c r="E18" i="688"/>
  <c r="AT17" i="688"/>
  <c r="AJ17" i="688"/>
  <c r="X17" i="688"/>
  <c r="T17" i="688"/>
  <c r="L17" i="688"/>
  <c r="M17" i="688" s="1"/>
  <c r="H17" i="688"/>
  <c r="E17" i="688"/>
  <c r="AT16" i="688"/>
  <c r="AJ16" i="688"/>
  <c r="X16" i="688"/>
  <c r="T16" i="688"/>
  <c r="L16" i="688"/>
  <c r="M16" i="688" s="1"/>
  <c r="H16" i="688"/>
  <c r="E16" i="688"/>
  <c r="AT15" i="688"/>
  <c r="AJ15" i="688"/>
  <c r="X15" i="688"/>
  <c r="T15" i="688"/>
  <c r="L15" i="688"/>
  <c r="M15" i="688" s="1"/>
  <c r="H15" i="688"/>
  <c r="E15" i="688"/>
  <c r="AT14" i="688"/>
  <c r="AJ14" i="688"/>
  <c r="X14" i="688"/>
  <c r="T14" i="688"/>
  <c r="L14" i="688"/>
  <c r="M14" i="688" s="1"/>
  <c r="H14" i="688"/>
  <c r="E14" i="688"/>
  <c r="AT13" i="688"/>
  <c r="X13" i="688"/>
  <c r="T13" i="688"/>
  <c r="L13" i="688"/>
  <c r="M13" i="688" s="1"/>
  <c r="H13" i="688"/>
  <c r="E13" i="688"/>
  <c r="AJ13" i="688"/>
  <c r="AT37" i="688" l="1"/>
  <c r="K33" i="688"/>
  <c r="U36" i="688"/>
  <c r="U35" i="688"/>
  <c r="V34" i="688"/>
  <c r="AK34" i="688" s="1"/>
  <c r="V33" i="688"/>
  <c r="AK33" i="688" s="1"/>
  <c r="U32" i="688"/>
  <c r="U31" i="688"/>
  <c r="U30" i="688"/>
  <c r="U29" i="688"/>
  <c r="U28" i="688"/>
  <c r="U27" i="688"/>
  <c r="U26" i="688"/>
  <c r="U25" i="688"/>
  <c r="U24" i="688"/>
  <c r="U23" i="688"/>
  <c r="U22" i="688"/>
  <c r="U21" i="688"/>
  <c r="U20" i="688"/>
  <c r="U19" i="688"/>
  <c r="U18" i="688"/>
  <c r="U17" i="688"/>
  <c r="U16" i="688"/>
  <c r="U15" i="688"/>
  <c r="U14" i="688"/>
  <c r="V14" i="688"/>
  <c r="AK14" i="688" s="1"/>
  <c r="V15" i="688"/>
  <c r="AK15" i="688" s="1"/>
  <c r="V16" i="688"/>
  <c r="AK16" i="688" s="1"/>
  <c r="V17" i="688"/>
  <c r="AK17" i="688" s="1"/>
  <c r="V18" i="688"/>
  <c r="AK18" i="688" s="1"/>
  <c r="V19" i="688"/>
  <c r="AK19" i="688" s="1"/>
  <c r="V20" i="688"/>
  <c r="AK20" i="688" s="1"/>
  <c r="V21" i="688"/>
  <c r="AK21" i="688" s="1"/>
  <c r="V22" i="688"/>
  <c r="AK22" i="688" s="1"/>
  <c r="V23" i="688"/>
  <c r="AK23" i="688" s="1"/>
  <c r="V24" i="688"/>
  <c r="AK24" i="688" s="1"/>
  <c r="V25" i="688"/>
  <c r="AK25" i="688" s="1"/>
  <c r="V26" i="688"/>
  <c r="AK26" i="688" s="1"/>
  <c r="V27" i="688"/>
  <c r="AK27" i="688" s="1"/>
  <c r="V28" i="688"/>
  <c r="AK28" i="688" s="1"/>
  <c r="V29" i="688"/>
  <c r="AK29" i="688" s="1"/>
  <c r="V30" i="688"/>
  <c r="AK30" i="688" s="1"/>
  <c r="V31" i="688"/>
  <c r="AK31" i="688" s="1"/>
  <c r="V32" i="688"/>
  <c r="AK32" i="688" s="1"/>
  <c r="U33" i="688"/>
  <c r="T37" i="688"/>
  <c r="V13" i="688"/>
  <c r="AK13" i="688" s="1"/>
  <c r="AJ37" i="688"/>
  <c r="AI8" i="688"/>
  <c r="V35" i="688"/>
  <c r="AK35" i="688" s="1"/>
  <c r="V36" i="688"/>
  <c r="AK36" i="688" s="1"/>
  <c r="K13" i="688"/>
  <c r="U13" i="688"/>
  <c r="K14" i="688"/>
  <c r="K15" i="688"/>
  <c r="K16" i="688"/>
  <c r="K17" i="688"/>
  <c r="K18" i="688"/>
  <c r="K19" i="688"/>
  <c r="K20" i="688"/>
  <c r="K21" i="688"/>
  <c r="K22" i="688"/>
  <c r="K23" i="688"/>
  <c r="K24" i="688"/>
  <c r="K25" i="688"/>
  <c r="K26" i="688"/>
  <c r="K27" i="688"/>
  <c r="K28" i="688"/>
  <c r="K29" i="688"/>
  <c r="K30" i="688"/>
  <c r="K31" i="688"/>
  <c r="K32" i="688"/>
  <c r="M34" i="688"/>
  <c r="M35" i="688"/>
  <c r="M36" i="688"/>
  <c r="U34" i="688"/>
  <c r="U37" i="688" l="1"/>
  <c r="V37" i="688"/>
  <c r="AK37" i="688" s="1"/>
  <c r="AI11" i="687" l="1"/>
  <c r="AI8" i="687" s="1"/>
  <c r="S11" i="687"/>
  <c r="T13" i="687" s="1"/>
  <c r="V13" i="687" s="1"/>
  <c r="AU37" i="687"/>
  <c r="AS37" i="687"/>
  <c r="AT36" i="687"/>
  <c r="AJ36" i="687"/>
  <c r="X36" i="687"/>
  <c r="T36" i="687"/>
  <c r="V36" i="687" s="1"/>
  <c r="L36" i="687"/>
  <c r="K36" i="687" s="1"/>
  <c r="H36" i="687"/>
  <c r="E36" i="687"/>
  <c r="AT35" i="687"/>
  <c r="AJ35" i="687"/>
  <c r="X35" i="687"/>
  <c r="T35" i="687"/>
  <c r="V35" i="687" s="1"/>
  <c r="L35" i="687"/>
  <c r="K35" i="687" s="1"/>
  <c r="H35" i="687"/>
  <c r="E35" i="687"/>
  <c r="AZ34" i="687"/>
  <c r="AJ34" i="687"/>
  <c r="X34" i="687"/>
  <c r="T34" i="687"/>
  <c r="U34" i="687" s="1"/>
  <c r="L34" i="687"/>
  <c r="K34" i="687" s="1"/>
  <c r="H34" i="687"/>
  <c r="E34" i="687"/>
  <c r="AJ33" i="687"/>
  <c r="X33" i="687"/>
  <c r="T33" i="687"/>
  <c r="V33" i="687" s="1"/>
  <c r="L33" i="687"/>
  <c r="K33" i="687" s="1"/>
  <c r="H33" i="687"/>
  <c r="E33" i="687"/>
  <c r="AJ32" i="687"/>
  <c r="X32" i="687"/>
  <c r="T32" i="687"/>
  <c r="V32" i="687" s="1"/>
  <c r="L32" i="687"/>
  <c r="M32" i="687" s="1"/>
  <c r="H32" i="687"/>
  <c r="E32" i="687"/>
  <c r="AT31" i="687"/>
  <c r="AJ31" i="687"/>
  <c r="X31" i="687"/>
  <c r="T31" i="687"/>
  <c r="V31" i="687" s="1"/>
  <c r="L31" i="687"/>
  <c r="M31" i="687" s="1"/>
  <c r="H31" i="687"/>
  <c r="E31" i="687"/>
  <c r="AT30" i="687"/>
  <c r="AJ30" i="687"/>
  <c r="X30" i="687"/>
  <c r="T30" i="687"/>
  <c r="V30" i="687" s="1"/>
  <c r="L30" i="687"/>
  <c r="M30" i="687" s="1"/>
  <c r="H30" i="687"/>
  <c r="E30" i="687"/>
  <c r="AT29" i="687"/>
  <c r="AJ29" i="687"/>
  <c r="X29" i="687"/>
  <c r="T29" i="687"/>
  <c r="V29" i="687" s="1"/>
  <c r="L29" i="687"/>
  <c r="M29" i="687" s="1"/>
  <c r="H29" i="687"/>
  <c r="E29" i="687"/>
  <c r="AT28" i="687"/>
  <c r="AJ28" i="687"/>
  <c r="X28" i="687"/>
  <c r="T28" i="687"/>
  <c r="V28" i="687" s="1"/>
  <c r="L28" i="687"/>
  <c r="M28" i="687" s="1"/>
  <c r="H28" i="687"/>
  <c r="E28" i="687"/>
  <c r="AT27" i="687"/>
  <c r="AJ27" i="687"/>
  <c r="X27" i="687"/>
  <c r="T27" i="687"/>
  <c r="V27" i="687" s="1"/>
  <c r="L27" i="687"/>
  <c r="M27" i="687" s="1"/>
  <c r="H27" i="687"/>
  <c r="E27" i="687"/>
  <c r="AT26" i="687"/>
  <c r="AJ26" i="687"/>
  <c r="X26" i="687"/>
  <c r="T26" i="687"/>
  <c r="V26" i="687" s="1"/>
  <c r="L26" i="687"/>
  <c r="M26" i="687" s="1"/>
  <c r="H26" i="687"/>
  <c r="E26" i="687"/>
  <c r="AT25" i="687"/>
  <c r="AJ25" i="687"/>
  <c r="X25" i="687"/>
  <c r="T25" i="687"/>
  <c r="V25" i="687" s="1"/>
  <c r="L25" i="687"/>
  <c r="M25" i="687" s="1"/>
  <c r="H25" i="687"/>
  <c r="E25" i="687"/>
  <c r="AT24" i="687"/>
  <c r="AJ24" i="687"/>
  <c r="X24" i="687"/>
  <c r="T24" i="687"/>
  <c r="V24" i="687" s="1"/>
  <c r="L24" i="687"/>
  <c r="M24" i="687" s="1"/>
  <c r="H24" i="687"/>
  <c r="E24" i="687"/>
  <c r="AT23" i="687"/>
  <c r="AJ23" i="687"/>
  <c r="X23" i="687"/>
  <c r="T23" i="687"/>
  <c r="V23" i="687" s="1"/>
  <c r="L23" i="687"/>
  <c r="M23" i="687" s="1"/>
  <c r="H23" i="687"/>
  <c r="E23" i="687"/>
  <c r="AT22" i="687"/>
  <c r="AJ22" i="687"/>
  <c r="X22" i="687"/>
  <c r="T22" i="687"/>
  <c r="V22" i="687" s="1"/>
  <c r="L22" i="687"/>
  <c r="M22" i="687" s="1"/>
  <c r="H22" i="687"/>
  <c r="E22" i="687"/>
  <c r="AT21" i="687"/>
  <c r="AJ21" i="687"/>
  <c r="X21" i="687"/>
  <c r="T21" i="687"/>
  <c r="V21" i="687" s="1"/>
  <c r="L21" i="687"/>
  <c r="M21" i="687" s="1"/>
  <c r="H21" i="687"/>
  <c r="E21" i="687"/>
  <c r="AT20" i="687"/>
  <c r="AJ20" i="687"/>
  <c r="X20" i="687"/>
  <c r="T20" i="687"/>
  <c r="V20" i="687" s="1"/>
  <c r="L20" i="687"/>
  <c r="M20" i="687" s="1"/>
  <c r="H20" i="687"/>
  <c r="E20" i="687"/>
  <c r="AT19" i="687"/>
  <c r="AJ19" i="687"/>
  <c r="X19" i="687"/>
  <c r="T19" i="687"/>
  <c r="V19" i="687" s="1"/>
  <c r="L19" i="687"/>
  <c r="M19" i="687" s="1"/>
  <c r="H19" i="687"/>
  <c r="E19" i="687"/>
  <c r="AT18" i="687"/>
  <c r="AJ18" i="687"/>
  <c r="X18" i="687"/>
  <c r="T18" i="687"/>
  <c r="V18" i="687" s="1"/>
  <c r="L18" i="687"/>
  <c r="M18" i="687" s="1"/>
  <c r="H18" i="687"/>
  <c r="E18" i="687"/>
  <c r="AT17" i="687"/>
  <c r="AJ17" i="687"/>
  <c r="X17" i="687"/>
  <c r="T17" i="687"/>
  <c r="V17" i="687" s="1"/>
  <c r="L17" i="687"/>
  <c r="M17" i="687" s="1"/>
  <c r="H17" i="687"/>
  <c r="E17" i="687"/>
  <c r="AT16" i="687"/>
  <c r="AJ16" i="687"/>
  <c r="X16" i="687"/>
  <c r="T16" i="687"/>
  <c r="V16" i="687" s="1"/>
  <c r="L16" i="687"/>
  <c r="M16" i="687" s="1"/>
  <c r="H16" i="687"/>
  <c r="E16" i="687"/>
  <c r="AT15" i="687"/>
  <c r="AJ15" i="687"/>
  <c r="X15" i="687"/>
  <c r="T15" i="687"/>
  <c r="V15" i="687" s="1"/>
  <c r="L15" i="687"/>
  <c r="M15" i="687" s="1"/>
  <c r="H15" i="687"/>
  <c r="E15" i="687"/>
  <c r="AT14" i="687"/>
  <c r="AJ14" i="687"/>
  <c r="X14" i="687"/>
  <c r="T14" i="687"/>
  <c r="V14" i="687" s="1"/>
  <c r="L14" i="687"/>
  <c r="M14" i="687" s="1"/>
  <c r="H14" i="687"/>
  <c r="E14" i="687"/>
  <c r="AT13" i="687"/>
  <c r="X13" i="687"/>
  <c r="L13" i="687"/>
  <c r="M13" i="687" s="1"/>
  <c r="H13" i="687"/>
  <c r="E13" i="687"/>
  <c r="AI11" i="686"/>
  <c r="S11" i="686"/>
  <c r="AU37" i="686"/>
  <c r="AS37" i="686"/>
  <c r="AT36" i="686"/>
  <c r="AJ36" i="686"/>
  <c r="X36" i="686"/>
  <c r="T36" i="686"/>
  <c r="U36" i="686" s="1"/>
  <c r="L36" i="686"/>
  <c r="K36" i="686" s="1"/>
  <c r="H36" i="686"/>
  <c r="E36" i="686"/>
  <c r="AT35" i="686"/>
  <c r="AJ35" i="686"/>
  <c r="X35" i="686"/>
  <c r="T35" i="686"/>
  <c r="V35" i="686" s="1"/>
  <c r="L35" i="686"/>
  <c r="K35" i="686" s="1"/>
  <c r="H35" i="686"/>
  <c r="E35" i="686"/>
  <c r="AZ34" i="686"/>
  <c r="AJ34" i="686"/>
  <c r="X34" i="686"/>
  <c r="T34" i="686"/>
  <c r="V34" i="686" s="1"/>
  <c r="L34" i="686"/>
  <c r="K34" i="686" s="1"/>
  <c r="H34" i="686"/>
  <c r="E34" i="686"/>
  <c r="AJ33" i="686"/>
  <c r="X33" i="686"/>
  <c r="T33" i="686"/>
  <c r="U33" i="686" s="1"/>
  <c r="L33" i="686"/>
  <c r="M33" i="686" s="1"/>
  <c r="H33" i="686"/>
  <c r="E33" i="686"/>
  <c r="AJ32" i="686"/>
  <c r="X32" i="686"/>
  <c r="T32" i="686"/>
  <c r="U32" i="686" s="1"/>
  <c r="L32" i="686"/>
  <c r="M32" i="686" s="1"/>
  <c r="H32" i="686"/>
  <c r="E32" i="686"/>
  <c r="AT31" i="686"/>
  <c r="AJ31" i="686"/>
  <c r="X31" i="686"/>
  <c r="T31" i="686"/>
  <c r="U31" i="686" s="1"/>
  <c r="L31" i="686"/>
  <c r="M31" i="686" s="1"/>
  <c r="H31" i="686"/>
  <c r="E31" i="686"/>
  <c r="AT30" i="686"/>
  <c r="AJ30" i="686"/>
  <c r="X30" i="686"/>
  <c r="T30" i="686"/>
  <c r="U30" i="686" s="1"/>
  <c r="L30" i="686"/>
  <c r="M30" i="686" s="1"/>
  <c r="H30" i="686"/>
  <c r="E30" i="686"/>
  <c r="AT29" i="686"/>
  <c r="AJ29" i="686"/>
  <c r="X29" i="686"/>
  <c r="T29" i="686"/>
  <c r="U29" i="686" s="1"/>
  <c r="L29" i="686"/>
  <c r="M29" i="686" s="1"/>
  <c r="H29" i="686"/>
  <c r="E29" i="686"/>
  <c r="AT28" i="686"/>
  <c r="AJ28" i="686"/>
  <c r="X28" i="686"/>
  <c r="T28" i="686"/>
  <c r="U28" i="686" s="1"/>
  <c r="L28" i="686"/>
  <c r="M28" i="686" s="1"/>
  <c r="H28" i="686"/>
  <c r="E28" i="686"/>
  <c r="AT27" i="686"/>
  <c r="AJ27" i="686"/>
  <c r="X27" i="686"/>
  <c r="T27" i="686"/>
  <c r="U27" i="686" s="1"/>
  <c r="L27" i="686"/>
  <c r="M27" i="686" s="1"/>
  <c r="H27" i="686"/>
  <c r="E27" i="686"/>
  <c r="AT26" i="686"/>
  <c r="AJ26" i="686"/>
  <c r="X26" i="686"/>
  <c r="T26" i="686"/>
  <c r="U26" i="686" s="1"/>
  <c r="L26" i="686"/>
  <c r="M26" i="686" s="1"/>
  <c r="H26" i="686"/>
  <c r="E26" i="686"/>
  <c r="AT25" i="686"/>
  <c r="AJ25" i="686"/>
  <c r="X25" i="686"/>
  <c r="T25" i="686"/>
  <c r="U25" i="686" s="1"/>
  <c r="L25" i="686"/>
  <c r="M25" i="686" s="1"/>
  <c r="H25" i="686"/>
  <c r="E25" i="686"/>
  <c r="AT24" i="686"/>
  <c r="AJ24" i="686"/>
  <c r="X24" i="686"/>
  <c r="T24" i="686"/>
  <c r="U24" i="686" s="1"/>
  <c r="L24" i="686"/>
  <c r="M24" i="686" s="1"/>
  <c r="H24" i="686"/>
  <c r="E24" i="686"/>
  <c r="AT23" i="686"/>
  <c r="AJ23" i="686"/>
  <c r="X23" i="686"/>
  <c r="T23" i="686"/>
  <c r="U23" i="686" s="1"/>
  <c r="L23" i="686"/>
  <c r="M23" i="686" s="1"/>
  <c r="H23" i="686"/>
  <c r="E23" i="686"/>
  <c r="AT22" i="686"/>
  <c r="AJ22" i="686"/>
  <c r="X22" i="686"/>
  <c r="T22" i="686"/>
  <c r="U22" i="686" s="1"/>
  <c r="L22" i="686"/>
  <c r="M22" i="686" s="1"/>
  <c r="H22" i="686"/>
  <c r="E22" i="686"/>
  <c r="AT21" i="686"/>
  <c r="AJ21" i="686"/>
  <c r="X21" i="686"/>
  <c r="T21" i="686"/>
  <c r="U21" i="686" s="1"/>
  <c r="L21" i="686"/>
  <c r="M21" i="686" s="1"/>
  <c r="H21" i="686"/>
  <c r="E21" i="686"/>
  <c r="AT20" i="686"/>
  <c r="AJ20" i="686"/>
  <c r="X20" i="686"/>
  <c r="T20" i="686"/>
  <c r="U20" i="686" s="1"/>
  <c r="L20" i="686"/>
  <c r="M20" i="686" s="1"/>
  <c r="H20" i="686"/>
  <c r="E20" i="686"/>
  <c r="AT19" i="686"/>
  <c r="AJ19" i="686"/>
  <c r="X19" i="686"/>
  <c r="T19" i="686"/>
  <c r="U19" i="686" s="1"/>
  <c r="L19" i="686"/>
  <c r="M19" i="686" s="1"/>
  <c r="H19" i="686"/>
  <c r="E19" i="686"/>
  <c r="AT18" i="686"/>
  <c r="AJ18" i="686"/>
  <c r="X18" i="686"/>
  <c r="T18" i="686"/>
  <c r="U18" i="686" s="1"/>
  <c r="L18" i="686"/>
  <c r="M18" i="686" s="1"/>
  <c r="H18" i="686"/>
  <c r="E18" i="686"/>
  <c r="AT17" i="686"/>
  <c r="AJ17" i="686"/>
  <c r="X17" i="686"/>
  <c r="T17" i="686"/>
  <c r="U17" i="686" s="1"/>
  <c r="L17" i="686"/>
  <c r="M17" i="686" s="1"/>
  <c r="H17" i="686"/>
  <c r="E17" i="686"/>
  <c r="AT16" i="686"/>
  <c r="AJ16" i="686"/>
  <c r="X16" i="686"/>
  <c r="T16" i="686"/>
  <c r="U16" i="686" s="1"/>
  <c r="L16" i="686"/>
  <c r="M16" i="686" s="1"/>
  <c r="H16" i="686"/>
  <c r="E16" i="686"/>
  <c r="AT15" i="686"/>
  <c r="AJ15" i="686"/>
  <c r="X15" i="686"/>
  <c r="T15" i="686"/>
  <c r="U15" i="686" s="1"/>
  <c r="L15" i="686"/>
  <c r="M15" i="686" s="1"/>
  <c r="H15" i="686"/>
  <c r="E15" i="686"/>
  <c r="AT14" i="686"/>
  <c r="AJ14" i="686"/>
  <c r="X14" i="686"/>
  <c r="T14" i="686"/>
  <c r="U14" i="686" s="1"/>
  <c r="L14" i="686"/>
  <c r="M14" i="686" s="1"/>
  <c r="H14" i="686"/>
  <c r="E14" i="686"/>
  <c r="AT13" i="686"/>
  <c r="X13" i="686"/>
  <c r="T13" i="686"/>
  <c r="L13" i="686"/>
  <c r="M13" i="686" s="1"/>
  <c r="H13" i="686"/>
  <c r="E13" i="686"/>
  <c r="AJ13" i="686"/>
  <c r="AJ13" i="687" l="1"/>
  <c r="AK13" i="687" s="1"/>
  <c r="K33" i="686"/>
  <c r="AT37" i="686"/>
  <c r="AT37" i="687"/>
  <c r="AK29" i="687"/>
  <c r="AK35" i="687"/>
  <c r="AK33" i="687"/>
  <c r="AK17" i="687"/>
  <c r="AK21" i="687"/>
  <c r="AK25" i="687"/>
  <c r="AK16" i="687"/>
  <c r="AK20" i="687"/>
  <c r="AK24" i="687"/>
  <c r="AK32" i="687"/>
  <c r="U33" i="687"/>
  <c r="V34" i="687"/>
  <c r="AK34" i="687" s="1"/>
  <c r="M33" i="687"/>
  <c r="AK15" i="687"/>
  <c r="AK19" i="687"/>
  <c r="AK23" i="687"/>
  <c r="AK27" i="687"/>
  <c r="AK31" i="687"/>
  <c r="AK14" i="687"/>
  <c r="AK18" i="687"/>
  <c r="AK22" i="687"/>
  <c r="AK26" i="687"/>
  <c r="AK36" i="687"/>
  <c r="AK30" i="687"/>
  <c r="K13" i="687"/>
  <c r="U13" i="687"/>
  <c r="K14" i="687"/>
  <c r="U14" i="687"/>
  <c r="K15" i="687"/>
  <c r="U15" i="687"/>
  <c r="K16" i="687"/>
  <c r="U16" i="687"/>
  <c r="K17" i="687"/>
  <c r="U17" i="687"/>
  <c r="K18" i="687"/>
  <c r="U18" i="687"/>
  <c r="K19" i="687"/>
  <c r="U19" i="687"/>
  <c r="K20" i="687"/>
  <c r="U20" i="687"/>
  <c r="K21" i="687"/>
  <c r="U21" i="687"/>
  <c r="K22" i="687"/>
  <c r="U22" i="687"/>
  <c r="K23" i="687"/>
  <c r="U23" i="687"/>
  <c r="K24" i="687"/>
  <c r="U24" i="687"/>
  <c r="K25" i="687"/>
  <c r="U25" i="687"/>
  <c r="K26" i="687"/>
  <c r="U26" i="687"/>
  <c r="K27" i="687"/>
  <c r="U27" i="687"/>
  <c r="K28" i="687"/>
  <c r="U28" i="687"/>
  <c r="AK28" i="687"/>
  <c r="K29" i="687"/>
  <c r="U29" i="687"/>
  <c r="K30" i="687"/>
  <c r="U30" i="687"/>
  <c r="K31" i="687"/>
  <c r="U31" i="687"/>
  <c r="K32" i="687"/>
  <c r="U32" i="687"/>
  <c r="M34" i="687"/>
  <c r="M35" i="687"/>
  <c r="M36" i="687"/>
  <c r="T37" i="687"/>
  <c r="U35" i="687"/>
  <c r="U36" i="687"/>
  <c r="AK34" i="686"/>
  <c r="V32" i="686"/>
  <c r="AK32" i="686" s="1"/>
  <c r="V31" i="686"/>
  <c r="AK31" i="686" s="1"/>
  <c r="V30" i="686"/>
  <c r="AK30" i="686" s="1"/>
  <c r="V29" i="686"/>
  <c r="V28" i="686"/>
  <c r="AK28" i="686" s="1"/>
  <c r="V27" i="686"/>
  <c r="AK27" i="686" s="1"/>
  <c r="V26" i="686"/>
  <c r="AK26" i="686" s="1"/>
  <c r="V25" i="686"/>
  <c r="AK25" i="686" s="1"/>
  <c r="V23" i="686"/>
  <c r="AK23" i="686" s="1"/>
  <c r="V24" i="686"/>
  <c r="AK24" i="686" s="1"/>
  <c r="V22" i="686"/>
  <c r="AK22" i="686" s="1"/>
  <c r="V20" i="686"/>
  <c r="AK20" i="686" s="1"/>
  <c r="V21" i="686"/>
  <c r="AK21" i="686" s="1"/>
  <c r="V18" i="686"/>
  <c r="V19" i="686"/>
  <c r="AK19" i="686" s="1"/>
  <c r="V17" i="686"/>
  <c r="AK17" i="686" s="1"/>
  <c r="V16" i="686"/>
  <c r="AK16" i="686" s="1"/>
  <c r="V15" i="686"/>
  <c r="AK15" i="686" s="1"/>
  <c r="AK35" i="686"/>
  <c r="T37" i="686"/>
  <c r="AK18" i="686"/>
  <c r="AK29" i="686"/>
  <c r="V14" i="686"/>
  <c r="AK14" i="686" s="1"/>
  <c r="V13" i="686"/>
  <c r="AK13" i="686" s="1"/>
  <c r="AJ37" i="686"/>
  <c r="AI8" i="686"/>
  <c r="V36" i="686"/>
  <c r="AK36" i="686" s="1"/>
  <c r="K13" i="686"/>
  <c r="U13" i="686"/>
  <c r="K14" i="686"/>
  <c r="K15" i="686"/>
  <c r="K16" i="686"/>
  <c r="K17" i="686"/>
  <c r="K18" i="686"/>
  <c r="K19" i="686"/>
  <c r="K20" i="686"/>
  <c r="K21" i="686"/>
  <c r="K22" i="686"/>
  <c r="K23" i="686"/>
  <c r="K24" i="686"/>
  <c r="K25" i="686"/>
  <c r="K26" i="686"/>
  <c r="K27" i="686"/>
  <c r="K28" i="686"/>
  <c r="K29" i="686"/>
  <c r="K30" i="686"/>
  <c r="K31" i="686"/>
  <c r="K32" i="686"/>
  <c r="V33" i="686"/>
  <c r="AK33" i="686" s="1"/>
  <c r="M34" i="686"/>
  <c r="M35" i="686"/>
  <c r="M36" i="686"/>
  <c r="U34" i="686"/>
  <c r="U35" i="686"/>
  <c r="AJ37" i="687" l="1"/>
  <c r="V37" i="686"/>
  <c r="AK37" i="686" s="1"/>
  <c r="V37" i="687"/>
  <c r="U37" i="687"/>
  <c r="U37" i="686"/>
  <c r="AK37" i="687" l="1"/>
  <c r="AI11" i="685"/>
  <c r="AJ13" i="685" s="1"/>
  <c r="S11" i="685"/>
  <c r="T13" i="685" s="1"/>
  <c r="AU37" i="685"/>
  <c r="AS37" i="685"/>
  <c r="AT36" i="685"/>
  <c r="AJ36" i="685"/>
  <c r="X36" i="685"/>
  <c r="T36" i="685"/>
  <c r="L36" i="685"/>
  <c r="M36" i="685" s="1"/>
  <c r="H36" i="685"/>
  <c r="E36" i="685"/>
  <c r="AT35" i="685"/>
  <c r="AJ35" i="685"/>
  <c r="X35" i="685"/>
  <c r="T35" i="685"/>
  <c r="L35" i="685"/>
  <c r="M35" i="685" s="1"/>
  <c r="H35" i="685"/>
  <c r="E35" i="685"/>
  <c r="AZ34" i="685"/>
  <c r="AJ34" i="685"/>
  <c r="X34" i="685"/>
  <c r="T34" i="685"/>
  <c r="L34" i="685"/>
  <c r="M34" i="685" s="1"/>
  <c r="H34" i="685"/>
  <c r="E34" i="685"/>
  <c r="AJ33" i="685"/>
  <c r="X33" i="685"/>
  <c r="T33" i="685"/>
  <c r="L33" i="685"/>
  <c r="K33" i="685" s="1"/>
  <c r="H33" i="685"/>
  <c r="E33" i="685"/>
  <c r="AJ32" i="685"/>
  <c r="X32" i="685"/>
  <c r="T32" i="685"/>
  <c r="L32" i="685"/>
  <c r="M32" i="685" s="1"/>
  <c r="H32" i="685"/>
  <c r="E32" i="685"/>
  <c r="AT31" i="685"/>
  <c r="AJ31" i="685"/>
  <c r="X31" i="685"/>
  <c r="T31" i="685"/>
  <c r="L31" i="685"/>
  <c r="M31" i="685" s="1"/>
  <c r="H31" i="685"/>
  <c r="E31" i="685"/>
  <c r="AT30" i="685"/>
  <c r="AJ30" i="685"/>
  <c r="X30" i="685"/>
  <c r="T30" i="685"/>
  <c r="L30" i="685"/>
  <c r="M30" i="685" s="1"/>
  <c r="H30" i="685"/>
  <c r="E30" i="685"/>
  <c r="AT29" i="685"/>
  <c r="AJ29" i="685"/>
  <c r="X29" i="685"/>
  <c r="T29" i="685"/>
  <c r="L29" i="685"/>
  <c r="M29" i="685" s="1"/>
  <c r="H29" i="685"/>
  <c r="E29" i="685"/>
  <c r="AT28" i="685"/>
  <c r="AJ28" i="685"/>
  <c r="X28" i="685"/>
  <c r="T28" i="685"/>
  <c r="L28" i="685"/>
  <c r="M28" i="685" s="1"/>
  <c r="H28" i="685"/>
  <c r="E28" i="685"/>
  <c r="AT27" i="685"/>
  <c r="AJ27" i="685"/>
  <c r="X27" i="685"/>
  <c r="T27" i="685"/>
  <c r="L27" i="685"/>
  <c r="M27" i="685" s="1"/>
  <c r="H27" i="685"/>
  <c r="E27" i="685"/>
  <c r="AT26" i="685"/>
  <c r="AJ26" i="685"/>
  <c r="X26" i="685"/>
  <c r="T26" i="685"/>
  <c r="L26" i="685"/>
  <c r="M26" i="685" s="1"/>
  <c r="H26" i="685"/>
  <c r="E26" i="685"/>
  <c r="AT25" i="685"/>
  <c r="AJ25" i="685"/>
  <c r="X25" i="685"/>
  <c r="T25" i="685"/>
  <c r="L25" i="685"/>
  <c r="M25" i="685" s="1"/>
  <c r="H25" i="685"/>
  <c r="E25" i="685"/>
  <c r="AT24" i="685"/>
  <c r="AJ24" i="685"/>
  <c r="X24" i="685"/>
  <c r="T24" i="685"/>
  <c r="L24" i="685"/>
  <c r="M24" i="685" s="1"/>
  <c r="H24" i="685"/>
  <c r="E24" i="685"/>
  <c r="AT23" i="685"/>
  <c r="AJ23" i="685"/>
  <c r="X23" i="685"/>
  <c r="T23" i="685"/>
  <c r="L23" i="685"/>
  <c r="M23" i="685" s="1"/>
  <c r="H23" i="685"/>
  <c r="E23" i="685"/>
  <c r="AT22" i="685"/>
  <c r="AJ22" i="685"/>
  <c r="X22" i="685"/>
  <c r="T22" i="685"/>
  <c r="L22" i="685"/>
  <c r="M22" i="685" s="1"/>
  <c r="H22" i="685"/>
  <c r="E22" i="685"/>
  <c r="AT21" i="685"/>
  <c r="AJ21" i="685"/>
  <c r="X21" i="685"/>
  <c r="T21" i="685"/>
  <c r="L21" i="685"/>
  <c r="M21" i="685" s="1"/>
  <c r="H21" i="685"/>
  <c r="E21" i="685"/>
  <c r="AT20" i="685"/>
  <c r="AJ20" i="685"/>
  <c r="X20" i="685"/>
  <c r="T20" i="685"/>
  <c r="L20" i="685"/>
  <c r="M20" i="685" s="1"/>
  <c r="H20" i="685"/>
  <c r="E20" i="685"/>
  <c r="AT19" i="685"/>
  <c r="AJ19" i="685"/>
  <c r="X19" i="685"/>
  <c r="T19" i="685"/>
  <c r="L19" i="685"/>
  <c r="M19" i="685" s="1"/>
  <c r="H19" i="685"/>
  <c r="E19" i="685"/>
  <c r="AT18" i="685"/>
  <c r="AJ18" i="685"/>
  <c r="X18" i="685"/>
  <c r="T18" i="685"/>
  <c r="L18" i="685"/>
  <c r="M18" i="685" s="1"/>
  <c r="H18" i="685"/>
  <c r="E18" i="685"/>
  <c r="AT17" i="685"/>
  <c r="AJ17" i="685"/>
  <c r="X17" i="685"/>
  <c r="T17" i="685"/>
  <c r="L17" i="685"/>
  <c r="M17" i="685" s="1"/>
  <c r="H17" i="685"/>
  <c r="E17" i="685"/>
  <c r="AT16" i="685"/>
  <c r="AJ16" i="685"/>
  <c r="X16" i="685"/>
  <c r="T16" i="685"/>
  <c r="L16" i="685"/>
  <c r="M16" i="685" s="1"/>
  <c r="H16" i="685"/>
  <c r="E16" i="685"/>
  <c r="AT15" i="685"/>
  <c r="AJ15" i="685"/>
  <c r="X15" i="685"/>
  <c r="T15" i="685"/>
  <c r="L15" i="685"/>
  <c r="M15" i="685" s="1"/>
  <c r="H15" i="685"/>
  <c r="E15" i="685"/>
  <c r="AT14" i="685"/>
  <c r="AJ14" i="685"/>
  <c r="X14" i="685"/>
  <c r="T14" i="685"/>
  <c r="L14" i="685"/>
  <c r="M14" i="685" s="1"/>
  <c r="H14" i="685"/>
  <c r="E14" i="685"/>
  <c r="AT13" i="685"/>
  <c r="X13" i="685"/>
  <c r="L13" i="685"/>
  <c r="M13" i="685" s="1"/>
  <c r="H13" i="685"/>
  <c r="E13" i="685"/>
  <c r="U24" i="685" l="1"/>
  <c r="U28" i="685"/>
  <c r="U32" i="685"/>
  <c r="AT37" i="685"/>
  <c r="U18" i="685"/>
  <c r="U22" i="685"/>
  <c r="U26" i="685"/>
  <c r="U30" i="685"/>
  <c r="U17" i="685"/>
  <c r="U21" i="685"/>
  <c r="U25" i="685"/>
  <c r="U29" i="685"/>
  <c r="K34" i="685"/>
  <c r="K35" i="685"/>
  <c r="K36" i="685"/>
  <c r="U20" i="685"/>
  <c r="U19" i="685"/>
  <c r="U23" i="685"/>
  <c r="U27" i="685"/>
  <c r="U31" i="685"/>
  <c r="V34" i="685"/>
  <c r="AK34" i="685" s="1"/>
  <c r="U35" i="685"/>
  <c r="U36" i="685"/>
  <c r="U33" i="685"/>
  <c r="U16" i="685"/>
  <c r="U15" i="685"/>
  <c r="U14" i="685"/>
  <c r="V15" i="685"/>
  <c r="AK15" i="685" s="1"/>
  <c r="V16" i="685"/>
  <c r="AK16" i="685" s="1"/>
  <c r="V17" i="685"/>
  <c r="AK17" i="685" s="1"/>
  <c r="V18" i="685"/>
  <c r="AK18" i="685" s="1"/>
  <c r="V19" i="685"/>
  <c r="AK19" i="685" s="1"/>
  <c r="V20" i="685"/>
  <c r="AK20" i="685" s="1"/>
  <c r="V21" i="685"/>
  <c r="AK21" i="685" s="1"/>
  <c r="V22" i="685"/>
  <c r="AK22" i="685" s="1"/>
  <c r="V23" i="685"/>
  <c r="AK23" i="685" s="1"/>
  <c r="V24" i="685"/>
  <c r="AK24" i="685" s="1"/>
  <c r="V25" i="685"/>
  <c r="AK25" i="685" s="1"/>
  <c r="V26" i="685"/>
  <c r="AK26" i="685" s="1"/>
  <c r="V27" i="685"/>
  <c r="AK27" i="685" s="1"/>
  <c r="V28" i="685"/>
  <c r="AK28" i="685" s="1"/>
  <c r="V29" i="685"/>
  <c r="AK29" i="685" s="1"/>
  <c r="V30" i="685"/>
  <c r="AK30" i="685" s="1"/>
  <c r="V31" i="685"/>
  <c r="AK31" i="685" s="1"/>
  <c r="V32" i="685"/>
  <c r="AK32" i="685" s="1"/>
  <c r="V14" i="685"/>
  <c r="AK14" i="685" s="1"/>
  <c r="T37" i="685"/>
  <c r="V13" i="685"/>
  <c r="AK13" i="685" s="1"/>
  <c r="M33" i="685"/>
  <c r="AJ37" i="685"/>
  <c r="AI8" i="685"/>
  <c r="V35" i="685"/>
  <c r="AK35" i="685" s="1"/>
  <c r="V36" i="685"/>
  <c r="AK36" i="685" s="1"/>
  <c r="K13" i="685"/>
  <c r="U13" i="685"/>
  <c r="K14" i="685"/>
  <c r="K15" i="685"/>
  <c r="K16" i="685"/>
  <c r="K17" i="685"/>
  <c r="K18" i="685"/>
  <c r="K19" i="685"/>
  <c r="K20" i="685"/>
  <c r="K21" i="685"/>
  <c r="K22" i="685"/>
  <c r="K23" i="685"/>
  <c r="K24" i="685"/>
  <c r="K25" i="685"/>
  <c r="K26" i="685"/>
  <c r="K27" i="685"/>
  <c r="K28" i="685"/>
  <c r="K29" i="685"/>
  <c r="K30" i="685"/>
  <c r="K31" i="685"/>
  <c r="K32" i="685"/>
  <c r="V33" i="685"/>
  <c r="AK33" i="685" s="1"/>
  <c r="U34" i="685"/>
  <c r="E26" i="684"/>
  <c r="U37" i="685" l="1"/>
  <c r="V37" i="685"/>
  <c r="AK37" i="685" s="1"/>
  <c r="AI11" i="684"/>
  <c r="AI8" i="684" s="1"/>
  <c r="S11" i="684"/>
  <c r="AU37" i="684"/>
  <c r="AS37" i="684"/>
  <c r="AT36" i="684"/>
  <c r="AJ36" i="684"/>
  <c r="X36" i="684"/>
  <c r="T36" i="684"/>
  <c r="U36" i="684" s="1"/>
  <c r="L36" i="684"/>
  <c r="K36" i="684" s="1"/>
  <c r="H36" i="684"/>
  <c r="E36" i="684"/>
  <c r="AT35" i="684"/>
  <c r="AJ35" i="684"/>
  <c r="X35" i="684"/>
  <c r="T35" i="684"/>
  <c r="U35" i="684" s="1"/>
  <c r="L35" i="684"/>
  <c r="K35" i="684" s="1"/>
  <c r="H35" i="684"/>
  <c r="E35" i="684"/>
  <c r="AZ34" i="684"/>
  <c r="AJ34" i="684"/>
  <c r="X34" i="684"/>
  <c r="T34" i="684"/>
  <c r="U34" i="684" s="1"/>
  <c r="L34" i="684"/>
  <c r="K34" i="684" s="1"/>
  <c r="H34" i="684"/>
  <c r="E34" i="684"/>
  <c r="AJ33" i="684"/>
  <c r="X33" i="684"/>
  <c r="T33" i="684"/>
  <c r="V33" i="684" s="1"/>
  <c r="L33" i="684"/>
  <c r="M33" i="684" s="1"/>
  <c r="H33" i="684"/>
  <c r="E33" i="684"/>
  <c r="AJ32" i="684"/>
  <c r="X32" i="684"/>
  <c r="T32" i="684"/>
  <c r="V32" i="684" s="1"/>
  <c r="L32" i="684"/>
  <c r="M32" i="684" s="1"/>
  <c r="H32" i="684"/>
  <c r="E32" i="684"/>
  <c r="AT31" i="684"/>
  <c r="AJ31" i="684"/>
  <c r="X31" i="684"/>
  <c r="T31" i="684"/>
  <c r="V31" i="684" s="1"/>
  <c r="L31" i="684"/>
  <c r="M31" i="684" s="1"/>
  <c r="H31" i="684"/>
  <c r="E31" i="684"/>
  <c r="AT30" i="684"/>
  <c r="AJ30" i="684"/>
  <c r="X30" i="684"/>
  <c r="T30" i="684"/>
  <c r="V30" i="684" s="1"/>
  <c r="L30" i="684"/>
  <c r="M30" i="684" s="1"/>
  <c r="H30" i="684"/>
  <c r="E30" i="684"/>
  <c r="AT29" i="684"/>
  <c r="AJ29" i="684"/>
  <c r="X29" i="684"/>
  <c r="T29" i="684"/>
  <c r="V29" i="684" s="1"/>
  <c r="L29" i="684"/>
  <c r="M29" i="684" s="1"/>
  <c r="H29" i="684"/>
  <c r="E29" i="684"/>
  <c r="AT28" i="684"/>
  <c r="AJ28" i="684"/>
  <c r="X28" i="684"/>
  <c r="T28" i="684"/>
  <c r="V28" i="684" s="1"/>
  <c r="L28" i="684"/>
  <c r="M28" i="684" s="1"/>
  <c r="H28" i="684"/>
  <c r="E28" i="684"/>
  <c r="AT27" i="684"/>
  <c r="AJ27" i="684"/>
  <c r="X27" i="684"/>
  <c r="T27" i="684"/>
  <c r="V27" i="684" s="1"/>
  <c r="L27" i="684"/>
  <c r="M27" i="684" s="1"/>
  <c r="H27" i="684"/>
  <c r="E27" i="684"/>
  <c r="AT26" i="684"/>
  <c r="AJ26" i="684"/>
  <c r="X26" i="684"/>
  <c r="T26" i="684"/>
  <c r="V26" i="684" s="1"/>
  <c r="L26" i="684"/>
  <c r="M26" i="684" s="1"/>
  <c r="H26" i="684"/>
  <c r="AT25" i="684"/>
  <c r="AJ25" i="684"/>
  <c r="X25" i="684"/>
  <c r="T25" i="684"/>
  <c r="V25" i="684" s="1"/>
  <c r="L25" i="684"/>
  <c r="M25" i="684" s="1"/>
  <c r="H25" i="684"/>
  <c r="E25" i="684"/>
  <c r="AT24" i="684"/>
  <c r="AJ24" i="684"/>
  <c r="X24" i="684"/>
  <c r="T24" i="684"/>
  <c r="V24" i="684" s="1"/>
  <c r="L24" i="684"/>
  <c r="M24" i="684" s="1"/>
  <c r="H24" i="684"/>
  <c r="E24" i="684"/>
  <c r="AT23" i="684"/>
  <c r="AJ23" i="684"/>
  <c r="X23" i="684"/>
  <c r="T23" i="684"/>
  <c r="V23" i="684" s="1"/>
  <c r="L23" i="684"/>
  <c r="M23" i="684" s="1"/>
  <c r="H23" i="684"/>
  <c r="E23" i="684"/>
  <c r="AT22" i="684"/>
  <c r="AJ22" i="684"/>
  <c r="X22" i="684"/>
  <c r="T22" i="684"/>
  <c r="V22" i="684" s="1"/>
  <c r="L22" i="684"/>
  <c r="M22" i="684" s="1"/>
  <c r="H22" i="684"/>
  <c r="E22" i="684"/>
  <c r="AT21" i="684"/>
  <c r="AJ21" i="684"/>
  <c r="X21" i="684"/>
  <c r="T21" i="684"/>
  <c r="V21" i="684" s="1"/>
  <c r="L21" i="684"/>
  <c r="M21" i="684" s="1"/>
  <c r="H21" i="684"/>
  <c r="E21" i="684"/>
  <c r="AT20" i="684"/>
  <c r="AJ20" i="684"/>
  <c r="X20" i="684"/>
  <c r="T20" i="684"/>
  <c r="V20" i="684" s="1"/>
  <c r="L20" i="684"/>
  <c r="M20" i="684" s="1"/>
  <c r="H20" i="684"/>
  <c r="E20" i="684"/>
  <c r="AT19" i="684"/>
  <c r="AJ19" i="684"/>
  <c r="X19" i="684"/>
  <c r="T19" i="684"/>
  <c r="V19" i="684" s="1"/>
  <c r="L19" i="684"/>
  <c r="M19" i="684" s="1"/>
  <c r="H19" i="684"/>
  <c r="E19" i="684"/>
  <c r="AT18" i="684"/>
  <c r="AJ18" i="684"/>
  <c r="X18" i="684"/>
  <c r="T18" i="684"/>
  <c r="V18" i="684" s="1"/>
  <c r="L18" i="684"/>
  <c r="M18" i="684" s="1"/>
  <c r="H18" i="684"/>
  <c r="E18" i="684"/>
  <c r="AT17" i="684"/>
  <c r="AJ17" i="684"/>
  <c r="X17" i="684"/>
  <c r="T17" i="684"/>
  <c r="V17" i="684" s="1"/>
  <c r="L17" i="684"/>
  <c r="M17" i="684" s="1"/>
  <c r="H17" i="684"/>
  <c r="E17" i="684"/>
  <c r="AT16" i="684"/>
  <c r="AJ16" i="684"/>
  <c r="X16" i="684"/>
  <c r="T16" i="684"/>
  <c r="V16" i="684" s="1"/>
  <c r="L16" i="684"/>
  <c r="M16" i="684" s="1"/>
  <c r="H16" i="684"/>
  <c r="E16" i="684"/>
  <c r="AT15" i="684"/>
  <c r="AJ15" i="684"/>
  <c r="X15" i="684"/>
  <c r="T15" i="684"/>
  <c r="V15" i="684" s="1"/>
  <c r="L15" i="684"/>
  <c r="M15" i="684" s="1"/>
  <c r="H15" i="684"/>
  <c r="E15" i="684"/>
  <c r="AT14" i="684"/>
  <c r="AJ14" i="684"/>
  <c r="X14" i="684"/>
  <c r="T14" i="684"/>
  <c r="V14" i="684" s="1"/>
  <c r="L14" i="684"/>
  <c r="M14" i="684" s="1"/>
  <c r="H14" i="684"/>
  <c r="E14" i="684"/>
  <c r="AT13" i="684"/>
  <c r="AJ13" i="684"/>
  <c r="X13" i="684"/>
  <c r="T13" i="684"/>
  <c r="V13" i="684" s="1"/>
  <c r="L13" i="684"/>
  <c r="M13" i="684" s="1"/>
  <c r="H13" i="684"/>
  <c r="E13" i="684"/>
  <c r="E22" i="683"/>
  <c r="AT37" i="684" l="1"/>
  <c r="K33" i="684"/>
  <c r="V36" i="684"/>
  <c r="AK36" i="684" s="1"/>
  <c r="V35" i="684"/>
  <c r="AK35" i="684" s="1"/>
  <c r="V34" i="684"/>
  <c r="AK34" i="684" s="1"/>
  <c r="AK31" i="684"/>
  <c r="AK27" i="684"/>
  <c r="AK23" i="684"/>
  <c r="AK19" i="684"/>
  <c r="AK15" i="684"/>
  <c r="AK33" i="684"/>
  <c r="AK14" i="684"/>
  <c r="AK18" i="684"/>
  <c r="AK22" i="684"/>
  <c r="AK26" i="684"/>
  <c r="AK30" i="684"/>
  <c r="U33" i="684"/>
  <c r="AK13" i="684"/>
  <c r="AK17" i="684"/>
  <c r="AK21" i="684"/>
  <c r="AK25" i="684"/>
  <c r="AK16" i="684"/>
  <c r="AK20" i="684"/>
  <c r="AK24" i="684"/>
  <c r="AK29" i="684"/>
  <c r="AK32" i="684"/>
  <c r="AJ37" i="684"/>
  <c r="K13" i="684"/>
  <c r="U13" i="684"/>
  <c r="K14" i="684"/>
  <c r="U14" i="684"/>
  <c r="K15" i="684"/>
  <c r="U15" i="684"/>
  <c r="K16" i="684"/>
  <c r="U16" i="684"/>
  <c r="K17" i="684"/>
  <c r="U17" i="684"/>
  <c r="K18" i="684"/>
  <c r="U18" i="684"/>
  <c r="K19" i="684"/>
  <c r="U19" i="684"/>
  <c r="K20" i="684"/>
  <c r="U20" i="684"/>
  <c r="K21" i="684"/>
  <c r="U21" i="684"/>
  <c r="K22" i="684"/>
  <c r="U22" i="684"/>
  <c r="K23" i="684"/>
  <c r="U23" i="684"/>
  <c r="K24" i="684"/>
  <c r="U24" i="684"/>
  <c r="K25" i="684"/>
  <c r="U25" i="684"/>
  <c r="K26" i="684"/>
  <c r="U26" i="684"/>
  <c r="K27" i="684"/>
  <c r="U27" i="684"/>
  <c r="K28" i="684"/>
  <c r="U28" i="684"/>
  <c r="AK28" i="684"/>
  <c r="K29" i="684"/>
  <c r="U29" i="684"/>
  <c r="K30" i="684"/>
  <c r="U30" i="684"/>
  <c r="K31" i="684"/>
  <c r="U31" i="684"/>
  <c r="K32" i="684"/>
  <c r="U32" i="684"/>
  <c r="M34" i="684"/>
  <c r="M35" i="684"/>
  <c r="M36" i="684"/>
  <c r="T37" i="684"/>
  <c r="V37" i="684" l="1"/>
  <c r="AK37" i="684" s="1"/>
  <c r="U37" i="684"/>
  <c r="AI11" i="683" l="1"/>
  <c r="S11" i="683"/>
  <c r="T13" i="683" s="1"/>
  <c r="AU37" i="683"/>
  <c r="AS37" i="683"/>
  <c r="AT36" i="683"/>
  <c r="AJ36" i="683"/>
  <c r="X36" i="683"/>
  <c r="T36" i="683"/>
  <c r="L36" i="683"/>
  <c r="K36" i="683" s="1"/>
  <c r="H36" i="683"/>
  <c r="E36" i="683"/>
  <c r="AT35" i="683"/>
  <c r="AJ35" i="683"/>
  <c r="X35" i="683"/>
  <c r="T35" i="683"/>
  <c r="L35" i="683"/>
  <c r="K35" i="683" s="1"/>
  <c r="H35" i="683"/>
  <c r="E35" i="683"/>
  <c r="AZ34" i="683"/>
  <c r="AJ34" i="683"/>
  <c r="X34" i="683"/>
  <c r="T34" i="683"/>
  <c r="L34" i="683"/>
  <c r="K34" i="683" s="1"/>
  <c r="H34" i="683"/>
  <c r="E34" i="683"/>
  <c r="AJ33" i="683"/>
  <c r="X33" i="683"/>
  <c r="T33" i="683"/>
  <c r="U33" i="683" s="1"/>
  <c r="L33" i="683"/>
  <c r="M33" i="683" s="1"/>
  <c r="H33" i="683"/>
  <c r="E33" i="683"/>
  <c r="AJ32" i="683"/>
  <c r="X32" i="683"/>
  <c r="T32" i="683"/>
  <c r="L32" i="683"/>
  <c r="M32" i="683" s="1"/>
  <c r="H32" i="683"/>
  <c r="E32" i="683"/>
  <c r="AT31" i="683"/>
  <c r="AJ31" i="683"/>
  <c r="X31" i="683"/>
  <c r="T31" i="683"/>
  <c r="L31" i="683"/>
  <c r="M31" i="683" s="1"/>
  <c r="H31" i="683"/>
  <c r="E31" i="683"/>
  <c r="AT30" i="683"/>
  <c r="AJ30" i="683"/>
  <c r="X30" i="683"/>
  <c r="T30" i="683"/>
  <c r="L30" i="683"/>
  <c r="M30" i="683" s="1"/>
  <c r="H30" i="683"/>
  <c r="E30" i="683"/>
  <c r="AT29" i="683"/>
  <c r="AJ29" i="683"/>
  <c r="X29" i="683"/>
  <c r="T29" i="683"/>
  <c r="L29" i="683"/>
  <c r="M29" i="683" s="1"/>
  <c r="H29" i="683"/>
  <c r="E29" i="683"/>
  <c r="AT28" i="683"/>
  <c r="AJ28" i="683"/>
  <c r="X28" i="683"/>
  <c r="T28" i="683"/>
  <c r="L28" i="683"/>
  <c r="M28" i="683" s="1"/>
  <c r="H28" i="683"/>
  <c r="E28" i="683"/>
  <c r="AT27" i="683"/>
  <c r="AJ27" i="683"/>
  <c r="X27" i="683"/>
  <c r="T27" i="683"/>
  <c r="L27" i="683"/>
  <c r="M27" i="683" s="1"/>
  <c r="H27" i="683"/>
  <c r="E27" i="683"/>
  <c r="AT26" i="683"/>
  <c r="AJ26" i="683"/>
  <c r="X26" i="683"/>
  <c r="T26" i="683"/>
  <c r="L26" i="683"/>
  <c r="M26" i="683" s="1"/>
  <c r="H26" i="683"/>
  <c r="E26" i="683"/>
  <c r="AT25" i="683"/>
  <c r="AJ25" i="683"/>
  <c r="X25" i="683"/>
  <c r="T25" i="683"/>
  <c r="L25" i="683"/>
  <c r="M25" i="683" s="1"/>
  <c r="H25" i="683"/>
  <c r="E25" i="683"/>
  <c r="AT24" i="683"/>
  <c r="AJ24" i="683"/>
  <c r="X24" i="683"/>
  <c r="T24" i="683"/>
  <c r="L24" i="683"/>
  <c r="M24" i="683" s="1"/>
  <c r="H24" i="683"/>
  <c r="E24" i="683"/>
  <c r="AT23" i="683"/>
  <c r="AJ23" i="683"/>
  <c r="X23" i="683"/>
  <c r="T23" i="683"/>
  <c r="L23" i="683"/>
  <c r="M23" i="683" s="1"/>
  <c r="H23" i="683"/>
  <c r="E23" i="683"/>
  <c r="AT22" i="683"/>
  <c r="AJ22" i="683"/>
  <c r="X22" i="683"/>
  <c r="T22" i="683"/>
  <c r="L22" i="683"/>
  <c r="M22" i="683" s="1"/>
  <c r="H22" i="683"/>
  <c r="AT21" i="683"/>
  <c r="AJ21" i="683"/>
  <c r="X21" i="683"/>
  <c r="T21" i="683"/>
  <c r="L21" i="683"/>
  <c r="M21" i="683" s="1"/>
  <c r="H21" i="683"/>
  <c r="E21" i="683"/>
  <c r="AT20" i="683"/>
  <c r="AJ20" i="683"/>
  <c r="X20" i="683"/>
  <c r="T20" i="683"/>
  <c r="L20" i="683"/>
  <c r="M20" i="683" s="1"/>
  <c r="H20" i="683"/>
  <c r="E20" i="683"/>
  <c r="AT19" i="683"/>
  <c r="AJ19" i="683"/>
  <c r="X19" i="683"/>
  <c r="T19" i="683"/>
  <c r="L19" i="683"/>
  <c r="M19" i="683" s="1"/>
  <c r="H19" i="683"/>
  <c r="E19" i="683"/>
  <c r="AT18" i="683"/>
  <c r="AJ18" i="683"/>
  <c r="X18" i="683"/>
  <c r="T18" i="683"/>
  <c r="L18" i="683"/>
  <c r="M18" i="683" s="1"/>
  <c r="H18" i="683"/>
  <c r="E18" i="683"/>
  <c r="AT17" i="683"/>
  <c r="AJ17" i="683"/>
  <c r="X17" i="683"/>
  <c r="T17" i="683"/>
  <c r="L17" i="683"/>
  <c r="M17" i="683" s="1"/>
  <c r="H17" i="683"/>
  <c r="E17" i="683"/>
  <c r="AT16" i="683"/>
  <c r="AJ16" i="683"/>
  <c r="X16" i="683"/>
  <c r="T16" i="683"/>
  <c r="L16" i="683"/>
  <c r="M16" i="683" s="1"/>
  <c r="H16" i="683"/>
  <c r="E16" i="683"/>
  <c r="AT15" i="683"/>
  <c r="AJ15" i="683"/>
  <c r="X15" i="683"/>
  <c r="T15" i="683"/>
  <c r="L15" i="683"/>
  <c r="M15" i="683" s="1"/>
  <c r="H15" i="683"/>
  <c r="E15" i="683"/>
  <c r="AT14" i="683"/>
  <c r="AJ14" i="683"/>
  <c r="X14" i="683"/>
  <c r="T14" i="683"/>
  <c r="L14" i="683"/>
  <c r="M14" i="683" s="1"/>
  <c r="H14" i="683"/>
  <c r="E14" i="683"/>
  <c r="AT13" i="683"/>
  <c r="X13" i="683"/>
  <c r="L13" i="683"/>
  <c r="M13" i="683" s="1"/>
  <c r="H13" i="683"/>
  <c r="E13" i="683"/>
  <c r="AJ13" i="683"/>
  <c r="AT37" i="683" l="1"/>
  <c r="V36" i="683"/>
  <c r="AK36" i="683" s="1"/>
  <c r="V35" i="683"/>
  <c r="AK35" i="683" s="1"/>
  <c r="U34" i="683"/>
  <c r="K33" i="683"/>
  <c r="V33" i="683"/>
  <c r="AK33" i="683" s="1"/>
  <c r="V32" i="683"/>
  <c r="AK32" i="683" s="1"/>
  <c r="V31" i="683"/>
  <c r="AK31" i="683" s="1"/>
  <c r="V30" i="683"/>
  <c r="AK30" i="683" s="1"/>
  <c r="V29" i="683"/>
  <c r="AK29" i="683" s="1"/>
  <c r="V28" i="683"/>
  <c r="AK28" i="683" s="1"/>
  <c r="V27" i="683"/>
  <c r="AK27" i="683" s="1"/>
  <c r="V26" i="683"/>
  <c r="AK26" i="683" s="1"/>
  <c r="U25" i="683"/>
  <c r="U24" i="683"/>
  <c r="U23" i="683"/>
  <c r="U22" i="683"/>
  <c r="U21" i="683"/>
  <c r="U20" i="683"/>
  <c r="U19" i="683"/>
  <c r="U18" i="683"/>
  <c r="V17" i="683"/>
  <c r="AK17" i="683" s="1"/>
  <c r="V16" i="683"/>
  <c r="AK16" i="683" s="1"/>
  <c r="U15" i="683"/>
  <c r="V13" i="683"/>
  <c r="AK13" i="683" s="1"/>
  <c r="V14" i="683"/>
  <c r="AK14" i="683" s="1"/>
  <c r="V15" i="683"/>
  <c r="AK15" i="683" s="1"/>
  <c r="V18" i="683"/>
  <c r="AK18" i="683" s="1"/>
  <c r="V19" i="683"/>
  <c r="AK19" i="683" s="1"/>
  <c r="V20" i="683"/>
  <c r="AK20" i="683" s="1"/>
  <c r="V21" i="683"/>
  <c r="AK21" i="683" s="1"/>
  <c r="V22" i="683"/>
  <c r="V23" i="683"/>
  <c r="AK23" i="683" s="1"/>
  <c r="V24" i="683"/>
  <c r="AK24" i="683" s="1"/>
  <c r="V25" i="683"/>
  <c r="AK25" i="683" s="1"/>
  <c r="AK22" i="683"/>
  <c r="AJ37" i="683"/>
  <c r="AI8" i="683"/>
  <c r="V34" i="683"/>
  <c r="AK34" i="683" s="1"/>
  <c r="K13" i="683"/>
  <c r="U13" i="683"/>
  <c r="K14" i="683"/>
  <c r="U14" i="683"/>
  <c r="K15" i="683"/>
  <c r="K16" i="683"/>
  <c r="U16" i="683"/>
  <c r="K17" i="683"/>
  <c r="U17" i="683"/>
  <c r="K18" i="683"/>
  <c r="K19" i="683"/>
  <c r="K20" i="683"/>
  <c r="K21" i="683"/>
  <c r="K22" i="683"/>
  <c r="K23" i="683"/>
  <c r="K24" i="683"/>
  <c r="K25" i="683"/>
  <c r="K26" i="683"/>
  <c r="U26" i="683"/>
  <c r="K27" i="683"/>
  <c r="U27" i="683"/>
  <c r="K28" i="683"/>
  <c r="U28" i="683"/>
  <c r="K29" i="683"/>
  <c r="U29" i="683"/>
  <c r="K30" i="683"/>
  <c r="U30" i="683"/>
  <c r="K31" i="683"/>
  <c r="U31" i="683"/>
  <c r="K32" i="683"/>
  <c r="U32" i="683"/>
  <c r="M34" i="683"/>
  <c r="M35" i="683"/>
  <c r="M36" i="683"/>
  <c r="T37" i="683"/>
  <c r="U35" i="683"/>
  <c r="U36" i="683"/>
  <c r="AI11" i="682"/>
  <c r="AI8" i="682" s="1"/>
  <c r="S11" i="682"/>
  <c r="T13" i="682" s="1"/>
  <c r="AU37" i="682"/>
  <c r="AS37" i="682"/>
  <c r="AT36" i="682"/>
  <c r="AJ36" i="682"/>
  <c r="X36" i="682"/>
  <c r="T36" i="682"/>
  <c r="L36" i="682"/>
  <c r="K36" i="682" s="1"/>
  <c r="H36" i="682"/>
  <c r="E36" i="682"/>
  <c r="AT35" i="682"/>
  <c r="AJ35" i="682"/>
  <c r="X35" i="682"/>
  <c r="T35" i="682"/>
  <c r="L35" i="682"/>
  <c r="K35" i="682" s="1"/>
  <c r="H35" i="682"/>
  <c r="E35" i="682"/>
  <c r="AZ34" i="682"/>
  <c r="AJ34" i="682"/>
  <c r="X34" i="682"/>
  <c r="T34" i="682"/>
  <c r="L34" i="682"/>
  <c r="K34" i="682" s="1"/>
  <c r="H34" i="682"/>
  <c r="E34" i="682"/>
  <c r="AJ33" i="682"/>
  <c r="X33" i="682"/>
  <c r="T33" i="682"/>
  <c r="L33" i="682"/>
  <c r="M33" i="682" s="1"/>
  <c r="H33" i="682"/>
  <c r="E33" i="682"/>
  <c r="AJ32" i="682"/>
  <c r="X32" i="682"/>
  <c r="T32" i="682"/>
  <c r="L32" i="682"/>
  <c r="M32" i="682" s="1"/>
  <c r="H32" i="682"/>
  <c r="E32" i="682"/>
  <c r="AT31" i="682"/>
  <c r="AJ31" i="682"/>
  <c r="X31" i="682"/>
  <c r="T31" i="682"/>
  <c r="L31" i="682"/>
  <c r="M31" i="682" s="1"/>
  <c r="H31" i="682"/>
  <c r="E31" i="682"/>
  <c r="AT30" i="682"/>
  <c r="AJ30" i="682"/>
  <c r="X30" i="682"/>
  <c r="T30" i="682"/>
  <c r="L30" i="682"/>
  <c r="M30" i="682" s="1"/>
  <c r="H30" i="682"/>
  <c r="E30" i="682"/>
  <c r="AT29" i="682"/>
  <c r="AJ29" i="682"/>
  <c r="X29" i="682"/>
  <c r="T29" i="682"/>
  <c r="L29" i="682"/>
  <c r="M29" i="682" s="1"/>
  <c r="H29" i="682"/>
  <c r="E29" i="682"/>
  <c r="AT28" i="682"/>
  <c r="AJ28" i="682"/>
  <c r="X28" i="682"/>
  <c r="T28" i="682"/>
  <c r="L28" i="682"/>
  <c r="M28" i="682" s="1"/>
  <c r="H28" i="682"/>
  <c r="E28" i="682"/>
  <c r="AT27" i="682"/>
  <c r="AJ27" i="682"/>
  <c r="X27" i="682"/>
  <c r="T27" i="682"/>
  <c r="L27" i="682"/>
  <c r="M27" i="682" s="1"/>
  <c r="H27" i="682"/>
  <c r="E27" i="682"/>
  <c r="AT26" i="682"/>
  <c r="AJ26" i="682"/>
  <c r="X26" i="682"/>
  <c r="T26" i="682"/>
  <c r="L26" i="682"/>
  <c r="M26" i="682" s="1"/>
  <c r="H26" i="682"/>
  <c r="E26" i="682"/>
  <c r="AT25" i="682"/>
  <c r="AJ25" i="682"/>
  <c r="X25" i="682"/>
  <c r="T25" i="682"/>
  <c r="L25" i="682"/>
  <c r="M25" i="682" s="1"/>
  <c r="H25" i="682"/>
  <c r="E25" i="682"/>
  <c r="AT24" i="682"/>
  <c r="AJ24" i="682"/>
  <c r="X24" i="682"/>
  <c r="T24" i="682"/>
  <c r="L24" i="682"/>
  <c r="M24" i="682" s="1"/>
  <c r="H24" i="682"/>
  <c r="E24" i="682"/>
  <c r="AT23" i="682"/>
  <c r="AJ23" i="682"/>
  <c r="X23" i="682"/>
  <c r="T23" i="682"/>
  <c r="L23" i="682"/>
  <c r="M23" i="682" s="1"/>
  <c r="H23" i="682"/>
  <c r="E23" i="682"/>
  <c r="AT22" i="682"/>
  <c r="AJ22" i="682"/>
  <c r="X22" i="682"/>
  <c r="T22" i="682"/>
  <c r="L22" i="682"/>
  <c r="M22" i="682" s="1"/>
  <c r="H22" i="682"/>
  <c r="E22" i="682"/>
  <c r="AT21" i="682"/>
  <c r="AJ21" i="682"/>
  <c r="X21" i="682"/>
  <c r="T21" i="682"/>
  <c r="L21" i="682"/>
  <c r="M21" i="682" s="1"/>
  <c r="H21" i="682"/>
  <c r="E21" i="682"/>
  <c r="AT20" i="682"/>
  <c r="AJ20" i="682"/>
  <c r="X20" i="682"/>
  <c r="T20" i="682"/>
  <c r="L20" i="682"/>
  <c r="M20" i="682" s="1"/>
  <c r="H20" i="682"/>
  <c r="E20" i="682"/>
  <c r="AT19" i="682"/>
  <c r="AJ19" i="682"/>
  <c r="X19" i="682"/>
  <c r="T19" i="682"/>
  <c r="L19" i="682"/>
  <c r="M19" i="682" s="1"/>
  <c r="H19" i="682"/>
  <c r="E19" i="682"/>
  <c r="AT18" i="682"/>
  <c r="AJ18" i="682"/>
  <c r="X18" i="682"/>
  <c r="T18" i="682"/>
  <c r="L18" i="682"/>
  <c r="M18" i="682" s="1"/>
  <c r="H18" i="682"/>
  <c r="E18" i="682"/>
  <c r="AT17" i="682"/>
  <c r="AJ17" i="682"/>
  <c r="X17" i="682"/>
  <c r="T17" i="682"/>
  <c r="L17" i="682"/>
  <c r="M17" i="682" s="1"/>
  <c r="H17" i="682"/>
  <c r="E17" i="682"/>
  <c r="AT16" i="682"/>
  <c r="AJ16" i="682"/>
  <c r="X16" i="682"/>
  <c r="T16" i="682"/>
  <c r="L16" i="682"/>
  <c r="M16" i="682" s="1"/>
  <c r="H16" i="682"/>
  <c r="E16" i="682"/>
  <c r="AT15" i="682"/>
  <c r="AJ15" i="682"/>
  <c r="X15" i="682"/>
  <c r="T15" i="682"/>
  <c r="L15" i="682"/>
  <c r="M15" i="682" s="1"/>
  <c r="H15" i="682"/>
  <c r="E15" i="682"/>
  <c r="AT14" i="682"/>
  <c r="AJ14" i="682"/>
  <c r="X14" i="682"/>
  <c r="T14" i="682"/>
  <c r="L14" i="682"/>
  <c r="M14" i="682" s="1"/>
  <c r="H14" i="682"/>
  <c r="E14" i="682"/>
  <c r="AT13" i="682"/>
  <c r="X13" i="682"/>
  <c r="L13" i="682"/>
  <c r="M13" i="682" s="1"/>
  <c r="H13" i="682"/>
  <c r="E13" i="682"/>
  <c r="X30" i="681"/>
  <c r="X31" i="681"/>
  <c r="K33" i="682" l="1"/>
  <c r="U17" i="682"/>
  <c r="U21" i="682"/>
  <c r="U25" i="682"/>
  <c r="U29" i="682"/>
  <c r="V33" i="682"/>
  <c r="AK33" i="682" s="1"/>
  <c r="V36" i="682"/>
  <c r="AK36" i="682" s="1"/>
  <c r="U20" i="682"/>
  <c r="U24" i="682"/>
  <c r="U28" i="682"/>
  <c r="V32" i="682"/>
  <c r="V35" i="682"/>
  <c r="U16" i="682"/>
  <c r="U19" i="682"/>
  <c r="U23" i="682"/>
  <c r="U27" i="682"/>
  <c r="U31" i="682"/>
  <c r="V34" i="682"/>
  <c r="U15" i="682"/>
  <c r="AT37" i="682"/>
  <c r="U14" i="682"/>
  <c r="U18" i="682"/>
  <c r="U22" i="682"/>
  <c r="U26" i="682"/>
  <c r="U30" i="682"/>
  <c r="AK35" i="682"/>
  <c r="V37" i="683"/>
  <c r="AK37" i="683" s="1"/>
  <c r="U37" i="683"/>
  <c r="U33" i="682"/>
  <c r="AK34" i="682"/>
  <c r="V15" i="682"/>
  <c r="AK15" i="682" s="1"/>
  <c r="V16" i="682"/>
  <c r="V17" i="682"/>
  <c r="AK17" i="682" s="1"/>
  <c r="V18" i="682"/>
  <c r="AK18" i="682" s="1"/>
  <c r="V19" i="682"/>
  <c r="AK19" i="682" s="1"/>
  <c r="V20" i="682"/>
  <c r="AK20" i="682" s="1"/>
  <c r="V21" i="682"/>
  <c r="AK21" i="682" s="1"/>
  <c r="V22" i="682"/>
  <c r="AK22" i="682" s="1"/>
  <c r="V23" i="682"/>
  <c r="AK23" i="682" s="1"/>
  <c r="V24" i="682"/>
  <c r="AK24" i="682" s="1"/>
  <c r="V25" i="682"/>
  <c r="AK25" i="682" s="1"/>
  <c r="V26" i="682"/>
  <c r="AK26" i="682" s="1"/>
  <c r="V27" i="682"/>
  <c r="AK27" i="682" s="1"/>
  <c r="V28" i="682"/>
  <c r="AK28" i="682" s="1"/>
  <c r="V29" i="682"/>
  <c r="AK29" i="682" s="1"/>
  <c r="V30" i="682"/>
  <c r="AK30" i="682" s="1"/>
  <c r="V31" i="682"/>
  <c r="AK31" i="682" s="1"/>
  <c r="AK16" i="682"/>
  <c r="V14" i="682"/>
  <c r="AK14" i="682" s="1"/>
  <c r="T37" i="682"/>
  <c r="V13" i="682"/>
  <c r="AK32" i="682"/>
  <c r="AJ13" i="682"/>
  <c r="K13" i="682"/>
  <c r="U13" i="682"/>
  <c r="K14" i="682"/>
  <c r="K15" i="682"/>
  <c r="K16" i="682"/>
  <c r="K17" i="682"/>
  <c r="K18" i="682"/>
  <c r="K19" i="682"/>
  <c r="K20" i="682"/>
  <c r="K21" i="682"/>
  <c r="K22" i="682"/>
  <c r="K23" i="682"/>
  <c r="K24" i="682"/>
  <c r="K25" i="682"/>
  <c r="K26" i="682"/>
  <c r="K27" i="682"/>
  <c r="K28" i="682"/>
  <c r="K29" i="682"/>
  <c r="K30" i="682"/>
  <c r="K31" i="682"/>
  <c r="K32" i="682"/>
  <c r="U32" i="682"/>
  <c r="M34" i="682"/>
  <c r="M35" i="682"/>
  <c r="M36" i="682"/>
  <c r="U34" i="682"/>
  <c r="U35" i="682"/>
  <c r="U36" i="682"/>
  <c r="V37" i="682" l="1"/>
  <c r="U37" i="682"/>
  <c r="AJ37" i="682"/>
  <c r="AK13" i="682"/>
  <c r="AK37" i="682" l="1"/>
  <c r="AI11" i="681" l="1"/>
  <c r="AJ13" i="681" s="1"/>
  <c r="S11" i="681"/>
  <c r="AU37" i="681"/>
  <c r="AS37" i="681"/>
  <c r="AT36" i="681"/>
  <c r="AJ36" i="681"/>
  <c r="X36" i="681"/>
  <c r="T36" i="681"/>
  <c r="L36" i="681"/>
  <c r="K36" i="681" s="1"/>
  <c r="H36" i="681"/>
  <c r="E36" i="681"/>
  <c r="AT35" i="681"/>
  <c r="AJ35" i="681"/>
  <c r="X35" i="681"/>
  <c r="T35" i="681"/>
  <c r="L35" i="681"/>
  <c r="K35" i="681" s="1"/>
  <c r="H35" i="681"/>
  <c r="E35" i="681"/>
  <c r="AZ34" i="681"/>
  <c r="AJ34" i="681"/>
  <c r="X34" i="681"/>
  <c r="T34" i="681"/>
  <c r="L34" i="681"/>
  <c r="K34" i="681" s="1"/>
  <c r="H34" i="681"/>
  <c r="E34" i="681"/>
  <c r="AJ33" i="681"/>
  <c r="X33" i="681"/>
  <c r="T33" i="681"/>
  <c r="L33" i="681"/>
  <c r="M33" i="681" s="1"/>
  <c r="H33" i="681"/>
  <c r="E33" i="681"/>
  <c r="AJ32" i="681"/>
  <c r="X32" i="681"/>
  <c r="T32" i="681"/>
  <c r="L32" i="681"/>
  <c r="M32" i="681" s="1"/>
  <c r="H32" i="681"/>
  <c r="E32" i="681"/>
  <c r="AT31" i="681"/>
  <c r="AJ31" i="681"/>
  <c r="T31" i="681"/>
  <c r="L31" i="681"/>
  <c r="M31" i="681" s="1"/>
  <c r="H31" i="681"/>
  <c r="E31" i="681"/>
  <c r="AT30" i="681"/>
  <c r="AJ30" i="681"/>
  <c r="T30" i="681"/>
  <c r="L30" i="681"/>
  <c r="K30" i="681" s="1"/>
  <c r="H30" i="681"/>
  <c r="E30" i="681"/>
  <c r="AT29" i="681"/>
  <c r="AJ29" i="681"/>
  <c r="X29" i="681"/>
  <c r="T29" i="681"/>
  <c r="L29" i="681"/>
  <c r="K29" i="681" s="1"/>
  <c r="H29" i="681"/>
  <c r="E29" i="681"/>
  <c r="AT28" i="681"/>
  <c r="AJ28" i="681"/>
  <c r="X28" i="681"/>
  <c r="T28" i="681"/>
  <c r="L28" i="681"/>
  <c r="K28" i="681" s="1"/>
  <c r="H28" i="681"/>
  <c r="E28" i="681"/>
  <c r="AT27" i="681"/>
  <c r="AJ27" i="681"/>
  <c r="X27" i="681"/>
  <c r="T27" i="681"/>
  <c r="L27" i="681"/>
  <c r="K27" i="681" s="1"/>
  <c r="H27" i="681"/>
  <c r="E27" i="681"/>
  <c r="AT26" i="681"/>
  <c r="AJ26" i="681"/>
  <c r="X26" i="681"/>
  <c r="T26" i="681"/>
  <c r="L26" i="681"/>
  <c r="K26" i="681" s="1"/>
  <c r="H26" i="681"/>
  <c r="E26" i="681"/>
  <c r="AT25" i="681"/>
  <c r="AJ25" i="681"/>
  <c r="X25" i="681"/>
  <c r="T25" i="681"/>
  <c r="L25" i="681"/>
  <c r="K25" i="681" s="1"/>
  <c r="H25" i="681"/>
  <c r="E25" i="681"/>
  <c r="AT24" i="681"/>
  <c r="AJ24" i="681"/>
  <c r="X24" i="681"/>
  <c r="T24" i="681"/>
  <c r="L24" i="681"/>
  <c r="K24" i="681" s="1"/>
  <c r="H24" i="681"/>
  <c r="E24" i="681"/>
  <c r="AT23" i="681"/>
  <c r="AJ23" i="681"/>
  <c r="X23" i="681"/>
  <c r="T23" i="681"/>
  <c r="L23" i="681"/>
  <c r="K23" i="681" s="1"/>
  <c r="H23" i="681"/>
  <c r="E23" i="681"/>
  <c r="AT22" i="681"/>
  <c r="AJ22" i="681"/>
  <c r="X22" i="681"/>
  <c r="T22" i="681"/>
  <c r="L22" i="681"/>
  <c r="K22" i="681" s="1"/>
  <c r="H22" i="681"/>
  <c r="E22" i="681"/>
  <c r="AT21" i="681"/>
  <c r="AJ21" i="681"/>
  <c r="X21" i="681"/>
  <c r="T21" i="681"/>
  <c r="L21" i="681"/>
  <c r="K21" i="681" s="1"/>
  <c r="H21" i="681"/>
  <c r="E21" i="681"/>
  <c r="AT20" i="681"/>
  <c r="AJ20" i="681"/>
  <c r="X20" i="681"/>
  <c r="T20" i="681"/>
  <c r="L20" i="681"/>
  <c r="K20" i="681" s="1"/>
  <c r="H20" i="681"/>
  <c r="E20" i="681"/>
  <c r="AT19" i="681"/>
  <c r="AJ19" i="681"/>
  <c r="X19" i="681"/>
  <c r="T19" i="681"/>
  <c r="L19" i="681"/>
  <c r="K19" i="681" s="1"/>
  <c r="H19" i="681"/>
  <c r="E19" i="681"/>
  <c r="AT18" i="681"/>
  <c r="AJ18" i="681"/>
  <c r="X18" i="681"/>
  <c r="T18" i="681"/>
  <c r="L18" i="681"/>
  <c r="K18" i="681" s="1"/>
  <c r="H18" i="681"/>
  <c r="E18" i="681"/>
  <c r="AT17" i="681"/>
  <c r="AJ17" i="681"/>
  <c r="X17" i="681"/>
  <c r="T17" i="681"/>
  <c r="L17" i="681"/>
  <c r="K17" i="681" s="1"/>
  <c r="H17" i="681"/>
  <c r="E17" i="681"/>
  <c r="AT16" i="681"/>
  <c r="AJ16" i="681"/>
  <c r="X16" i="681"/>
  <c r="T16" i="681"/>
  <c r="L16" i="681"/>
  <c r="K16" i="681" s="1"/>
  <c r="H16" i="681"/>
  <c r="E16" i="681"/>
  <c r="AT15" i="681"/>
  <c r="AJ15" i="681"/>
  <c r="X15" i="681"/>
  <c r="T15" i="681"/>
  <c r="L15" i="681"/>
  <c r="K15" i="681" s="1"/>
  <c r="H15" i="681"/>
  <c r="E15" i="681"/>
  <c r="AT14" i="681"/>
  <c r="AJ14" i="681"/>
  <c r="X14" i="681"/>
  <c r="T14" i="681"/>
  <c r="L14" i="681"/>
  <c r="K14" i="681" s="1"/>
  <c r="H14" i="681"/>
  <c r="E14" i="681"/>
  <c r="AT13" i="681"/>
  <c r="X13" i="681"/>
  <c r="L13" i="681"/>
  <c r="M13" i="681" s="1"/>
  <c r="H13" i="681"/>
  <c r="E13" i="681"/>
  <c r="T13" i="681"/>
  <c r="K13" i="681" l="1"/>
  <c r="U15" i="681"/>
  <c r="AT37" i="681"/>
  <c r="U14" i="681"/>
  <c r="U18" i="681"/>
  <c r="U16" i="681"/>
  <c r="V36" i="681"/>
  <c r="AK36" i="681" s="1"/>
  <c r="V35" i="681"/>
  <c r="U34" i="681"/>
  <c r="V33" i="681"/>
  <c r="AK33" i="681" s="1"/>
  <c r="V32" i="681"/>
  <c r="AK32" i="681" s="1"/>
  <c r="V31" i="681"/>
  <c r="AK31" i="681" s="1"/>
  <c r="U30" i="681"/>
  <c r="U29" i="681"/>
  <c r="V29" i="681"/>
  <c r="AK29" i="681" s="1"/>
  <c r="U28" i="681"/>
  <c r="U27" i="681"/>
  <c r="V27" i="681"/>
  <c r="AK27" i="681" s="1"/>
  <c r="U26" i="681"/>
  <c r="U25" i="681"/>
  <c r="V25" i="681"/>
  <c r="AK25" i="681" s="1"/>
  <c r="U24" i="681"/>
  <c r="U23" i="681"/>
  <c r="V23" i="681"/>
  <c r="AK23" i="681" s="1"/>
  <c r="U22" i="681"/>
  <c r="V21" i="681"/>
  <c r="AK21" i="681" s="1"/>
  <c r="U21" i="681"/>
  <c r="U20" i="681"/>
  <c r="V19" i="681"/>
  <c r="AK19" i="681" s="1"/>
  <c r="U19" i="681"/>
  <c r="V17" i="681"/>
  <c r="AK17" i="681" s="1"/>
  <c r="U17" i="681"/>
  <c r="V15" i="681"/>
  <c r="AK15" i="681" s="1"/>
  <c r="V16" i="681"/>
  <c r="AK16" i="681" s="1"/>
  <c r="V18" i="681"/>
  <c r="AK18" i="681" s="1"/>
  <c r="V20" i="681"/>
  <c r="AK20" i="681" s="1"/>
  <c r="V22" i="681"/>
  <c r="AK22" i="681" s="1"/>
  <c r="V24" i="681"/>
  <c r="AK24" i="681" s="1"/>
  <c r="V26" i="681"/>
  <c r="AK26" i="681" s="1"/>
  <c r="V28" i="681"/>
  <c r="AK28" i="681" s="1"/>
  <c r="V30" i="681"/>
  <c r="AK30" i="681" s="1"/>
  <c r="U33" i="681"/>
  <c r="AK35" i="681"/>
  <c r="V34" i="681"/>
  <c r="AK34" i="681" s="1"/>
  <c r="V14" i="681"/>
  <c r="AK14" i="681" s="1"/>
  <c r="M14" i="681"/>
  <c r="M15" i="681"/>
  <c r="M16" i="681"/>
  <c r="M17" i="681"/>
  <c r="M18" i="681"/>
  <c r="M19" i="681"/>
  <c r="M20" i="681"/>
  <c r="M21" i="681"/>
  <c r="M22" i="681"/>
  <c r="M23" i="681"/>
  <c r="M24" i="681"/>
  <c r="M25" i="681"/>
  <c r="M26" i="681"/>
  <c r="M27" i="681"/>
  <c r="M28" i="681"/>
  <c r="M29" i="681"/>
  <c r="M30" i="681"/>
  <c r="K33" i="681"/>
  <c r="V13" i="681"/>
  <c r="AK13" i="681" s="1"/>
  <c r="U13" i="681"/>
  <c r="T37" i="681"/>
  <c r="AJ37" i="681"/>
  <c r="AI8" i="681"/>
  <c r="K31" i="681"/>
  <c r="U31" i="681"/>
  <c r="K32" i="681"/>
  <c r="U32" i="681"/>
  <c r="M34" i="681"/>
  <c r="M35" i="681"/>
  <c r="M36" i="681"/>
  <c r="U35" i="681"/>
  <c r="U36" i="681"/>
  <c r="AI11" i="680"/>
  <c r="AI8" i="680" s="1"/>
  <c r="S11" i="680"/>
  <c r="T13" i="680" s="1"/>
  <c r="AU37" i="680"/>
  <c r="AS37" i="680"/>
  <c r="AT36" i="680"/>
  <c r="AJ36" i="680"/>
  <c r="X36" i="680"/>
  <c r="T36" i="680"/>
  <c r="L36" i="680"/>
  <c r="M36" i="680" s="1"/>
  <c r="H36" i="680"/>
  <c r="E36" i="680"/>
  <c r="AT35" i="680"/>
  <c r="AJ35" i="680"/>
  <c r="X35" i="680"/>
  <c r="T35" i="680"/>
  <c r="L35" i="680"/>
  <c r="M35" i="680" s="1"/>
  <c r="H35" i="680"/>
  <c r="E35" i="680"/>
  <c r="AZ34" i="680"/>
  <c r="AJ34" i="680"/>
  <c r="X34" i="680"/>
  <c r="T34" i="680"/>
  <c r="L34" i="680"/>
  <c r="K34" i="680" s="1"/>
  <c r="H34" i="680"/>
  <c r="E34" i="680"/>
  <c r="AJ33" i="680"/>
  <c r="X33" i="680"/>
  <c r="T33" i="680"/>
  <c r="L33" i="680"/>
  <c r="K33" i="680" s="1"/>
  <c r="H33" i="680"/>
  <c r="E33" i="680"/>
  <c r="AJ32" i="680"/>
  <c r="X32" i="680"/>
  <c r="T32" i="680"/>
  <c r="L32" i="680"/>
  <c r="M32" i="680" s="1"/>
  <c r="H32" i="680"/>
  <c r="E32" i="680"/>
  <c r="AT31" i="680"/>
  <c r="AJ31" i="680"/>
  <c r="X31" i="680"/>
  <c r="T31" i="680"/>
  <c r="L31" i="680"/>
  <c r="M31" i="680" s="1"/>
  <c r="H31" i="680"/>
  <c r="E31" i="680"/>
  <c r="AT30" i="680"/>
  <c r="AJ30" i="680"/>
  <c r="T30" i="680"/>
  <c r="L30" i="680"/>
  <c r="M30" i="680" s="1"/>
  <c r="H30" i="680"/>
  <c r="E30" i="680"/>
  <c r="AT29" i="680"/>
  <c r="AJ29" i="680"/>
  <c r="X29" i="680"/>
  <c r="T29" i="680"/>
  <c r="L29" i="680"/>
  <c r="M29" i="680" s="1"/>
  <c r="H29" i="680"/>
  <c r="E29" i="680"/>
  <c r="AT28" i="680"/>
  <c r="AJ28" i="680"/>
  <c r="X28" i="680"/>
  <c r="T28" i="680"/>
  <c r="L28" i="680"/>
  <c r="M28" i="680" s="1"/>
  <c r="H28" i="680"/>
  <c r="E28" i="680"/>
  <c r="AT27" i="680"/>
  <c r="AJ27" i="680"/>
  <c r="X27" i="680"/>
  <c r="T27" i="680"/>
  <c r="L27" i="680"/>
  <c r="M27" i="680" s="1"/>
  <c r="H27" i="680"/>
  <c r="E27" i="680"/>
  <c r="AT26" i="680"/>
  <c r="AJ26" i="680"/>
  <c r="X26" i="680"/>
  <c r="T26" i="680"/>
  <c r="L26" i="680"/>
  <c r="M26" i="680" s="1"/>
  <c r="H26" i="680"/>
  <c r="E26" i="680"/>
  <c r="AT25" i="680"/>
  <c r="AJ25" i="680"/>
  <c r="X25" i="680"/>
  <c r="T25" i="680"/>
  <c r="L25" i="680"/>
  <c r="M25" i="680" s="1"/>
  <c r="H25" i="680"/>
  <c r="E25" i="680"/>
  <c r="AT24" i="680"/>
  <c r="AJ24" i="680"/>
  <c r="X24" i="680"/>
  <c r="T24" i="680"/>
  <c r="L24" i="680"/>
  <c r="M24" i="680" s="1"/>
  <c r="H24" i="680"/>
  <c r="E24" i="680"/>
  <c r="AT23" i="680"/>
  <c r="AJ23" i="680"/>
  <c r="X23" i="680"/>
  <c r="T23" i="680"/>
  <c r="L23" i="680"/>
  <c r="M23" i="680" s="1"/>
  <c r="H23" i="680"/>
  <c r="E23" i="680"/>
  <c r="AT22" i="680"/>
  <c r="AJ22" i="680"/>
  <c r="X22" i="680"/>
  <c r="T22" i="680"/>
  <c r="L22" i="680"/>
  <c r="M22" i="680" s="1"/>
  <c r="H22" i="680"/>
  <c r="E22" i="680"/>
  <c r="AT21" i="680"/>
  <c r="AJ21" i="680"/>
  <c r="X21" i="680"/>
  <c r="T21" i="680"/>
  <c r="L21" i="680"/>
  <c r="M21" i="680" s="1"/>
  <c r="H21" i="680"/>
  <c r="E21" i="680"/>
  <c r="AT20" i="680"/>
  <c r="AJ20" i="680"/>
  <c r="X20" i="680"/>
  <c r="T20" i="680"/>
  <c r="L20" i="680"/>
  <c r="M20" i="680" s="1"/>
  <c r="H20" i="680"/>
  <c r="E20" i="680"/>
  <c r="AT19" i="680"/>
  <c r="AJ19" i="680"/>
  <c r="X19" i="680"/>
  <c r="T19" i="680"/>
  <c r="L19" i="680"/>
  <c r="M19" i="680" s="1"/>
  <c r="H19" i="680"/>
  <c r="E19" i="680"/>
  <c r="AT18" i="680"/>
  <c r="AJ18" i="680"/>
  <c r="X18" i="680"/>
  <c r="T18" i="680"/>
  <c r="L18" i="680"/>
  <c r="M18" i="680" s="1"/>
  <c r="H18" i="680"/>
  <c r="E18" i="680"/>
  <c r="AT17" i="680"/>
  <c r="AJ17" i="680"/>
  <c r="X17" i="680"/>
  <c r="T17" i="680"/>
  <c r="L17" i="680"/>
  <c r="M17" i="680" s="1"/>
  <c r="H17" i="680"/>
  <c r="E17" i="680"/>
  <c r="AT16" i="680"/>
  <c r="AJ16" i="680"/>
  <c r="X16" i="680"/>
  <c r="T16" i="680"/>
  <c r="L16" i="680"/>
  <c r="M16" i="680" s="1"/>
  <c r="H16" i="680"/>
  <c r="E16" i="680"/>
  <c r="AT15" i="680"/>
  <c r="AJ15" i="680"/>
  <c r="X15" i="680"/>
  <c r="T15" i="680"/>
  <c r="L15" i="680"/>
  <c r="M15" i="680" s="1"/>
  <c r="H15" i="680"/>
  <c r="E15" i="680"/>
  <c r="AT14" i="680"/>
  <c r="AJ14" i="680"/>
  <c r="X14" i="680"/>
  <c r="T14" i="680"/>
  <c r="L14" i="680"/>
  <c r="M14" i="680" s="1"/>
  <c r="H14" i="680"/>
  <c r="E14" i="680"/>
  <c r="AT13" i="680"/>
  <c r="X13" i="680"/>
  <c r="L13" i="680"/>
  <c r="M13" i="680" s="1"/>
  <c r="H13" i="680"/>
  <c r="E13" i="680"/>
  <c r="U17" i="680" l="1"/>
  <c r="U21" i="680"/>
  <c r="U25" i="680"/>
  <c r="U29" i="680"/>
  <c r="U32" i="680"/>
  <c r="V34" i="680"/>
  <c r="AK34" i="680" s="1"/>
  <c r="U16" i="680"/>
  <c r="U20" i="680"/>
  <c r="U24" i="680"/>
  <c r="U28" i="680"/>
  <c r="U31" i="680"/>
  <c r="U15" i="680"/>
  <c r="U19" i="680"/>
  <c r="U23" i="680"/>
  <c r="U27" i="680"/>
  <c r="V33" i="680"/>
  <c r="AK33" i="680" s="1"/>
  <c r="V36" i="680"/>
  <c r="AK36" i="680" s="1"/>
  <c r="U14" i="680"/>
  <c r="U18" i="680"/>
  <c r="U22" i="680"/>
  <c r="U26" i="680"/>
  <c r="U30" i="680"/>
  <c r="V35" i="680"/>
  <c r="AK35" i="680" s="1"/>
  <c r="V37" i="681"/>
  <c r="AK37" i="681" s="1"/>
  <c r="U37" i="681"/>
  <c r="U33" i="680"/>
  <c r="AT37" i="680"/>
  <c r="V14" i="680"/>
  <c r="AK14" i="680" s="1"/>
  <c r="V15" i="680"/>
  <c r="AK15" i="680" s="1"/>
  <c r="V16" i="680"/>
  <c r="AK16" i="680" s="1"/>
  <c r="V17" i="680"/>
  <c r="AK17" i="680" s="1"/>
  <c r="V18" i="680"/>
  <c r="AK18" i="680" s="1"/>
  <c r="V19" i="680"/>
  <c r="AK19" i="680" s="1"/>
  <c r="V20" i="680"/>
  <c r="AK20" i="680" s="1"/>
  <c r="V21" i="680"/>
  <c r="AK21" i="680" s="1"/>
  <c r="V22" i="680"/>
  <c r="AK22" i="680" s="1"/>
  <c r="V23" i="680"/>
  <c r="AK23" i="680" s="1"/>
  <c r="V24" i="680"/>
  <c r="AK24" i="680" s="1"/>
  <c r="V25" i="680"/>
  <c r="AK25" i="680" s="1"/>
  <c r="V26" i="680"/>
  <c r="AK26" i="680" s="1"/>
  <c r="V27" i="680"/>
  <c r="AK27" i="680" s="1"/>
  <c r="V28" i="680"/>
  <c r="AK28" i="680" s="1"/>
  <c r="V29" i="680"/>
  <c r="AK29" i="680" s="1"/>
  <c r="V30" i="680"/>
  <c r="AK30" i="680" s="1"/>
  <c r="V31" i="680"/>
  <c r="AK31" i="680" s="1"/>
  <c r="V32" i="680"/>
  <c r="AK32" i="680" s="1"/>
  <c r="T37" i="680"/>
  <c r="V13" i="680"/>
  <c r="M33" i="680"/>
  <c r="K35" i="680"/>
  <c r="K36" i="680"/>
  <c r="AJ13" i="680"/>
  <c r="K13" i="680"/>
  <c r="U13" i="680"/>
  <c r="K14" i="680"/>
  <c r="K15" i="680"/>
  <c r="K16" i="680"/>
  <c r="K17" i="680"/>
  <c r="K18" i="680"/>
  <c r="K19" i="680"/>
  <c r="K20" i="680"/>
  <c r="K21" i="680"/>
  <c r="K22" i="680"/>
  <c r="K23" i="680"/>
  <c r="K24" i="680"/>
  <c r="K25" i="680"/>
  <c r="K26" i="680"/>
  <c r="K27" i="680"/>
  <c r="K28" i="680"/>
  <c r="K29" i="680"/>
  <c r="K30" i="680"/>
  <c r="K31" i="680"/>
  <c r="K32" i="680"/>
  <c r="M34" i="680"/>
  <c r="U34" i="680"/>
  <c r="U35" i="680"/>
  <c r="U36" i="680"/>
  <c r="U37" i="680" l="1"/>
  <c r="V37" i="680"/>
  <c r="AJ37" i="680"/>
  <c r="AK13" i="680"/>
  <c r="AK37" i="680" l="1"/>
  <c r="AI11" i="679" l="1"/>
  <c r="AI8" i="679" s="1"/>
  <c r="S11" i="679"/>
  <c r="T13" i="679" s="1"/>
  <c r="AU37" i="679"/>
  <c r="AS37" i="679"/>
  <c r="AT36" i="679"/>
  <c r="AJ36" i="679"/>
  <c r="X36" i="679"/>
  <c r="T36" i="679"/>
  <c r="L36" i="679"/>
  <c r="K36" i="679" s="1"/>
  <c r="H36" i="679"/>
  <c r="E36" i="679"/>
  <c r="AT35" i="679"/>
  <c r="AJ35" i="679"/>
  <c r="X35" i="679"/>
  <c r="T35" i="679"/>
  <c r="L35" i="679"/>
  <c r="K35" i="679" s="1"/>
  <c r="H35" i="679"/>
  <c r="E35" i="679"/>
  <c r="AZ34" i="679"/>
  <c r="AJ34" i="679"/>
  <c r="X34" i="679"/>
  <c r="T34" i="679"/>
  <c r="L34" i="679"/>
  <c r="K34" i="679" s="1"/>
  <c r="H34" i="679"/>
  <c r="E34" i="679"/>
  <c r="AJ33" i="679"/>
  <c r="X33" i="679"/>
  <c r="T33" i="679"/>
  <c r="L33" i="679"/>
  <c r="M33" i="679" s="1"/>
  <c r="H33" i="679"/>
  <c r="E33" i="679"/>
  <c r="AJ32" i="679"/>
  <c r="X32" i="679"/>
  <c r="T32" i="679"/>
  <c r="L32" i="679"/>
  <c r="M32" i="679" s="1"/>
  <c r="H32" i="679"/>
  <c r="E32" i="679"/>
  <c r="AT31" i="679"/>
  <c r="AJ31" i="679"/>
  <c r="X31" i="679"/>
  <c r="T31" i="679"/>
  <c r="L31" i="679"/>
  <c r="M31" i="679" s="1"/>
  <c r="H31" i="679"/>
  <c r="E31" i="679"/>
  <c r="AT30" i="679"/>
  <c r="AJ30" i="679"/>
  <c r="X30" i="679"/>
  <c r="T30" i="679"/>
  <c r="L30" i="679"/>
  <c r="K30" i="679" s="1"/>
  <c r="H30" i="679"/>
  <c r="E30" i="679"/>
  <c r="AT29" i="679"/>
  <c r="AJ29" i="679"/>
  <c r="X29" i="679"/>
  <c r="T29" i="679"/>
  <c r="L29" i="679"/>
  <c r="K29" i="679" s="1"/>
  <c r="H29" i="679"/>
  <c r="E29" i="679"/>
  <c r="AT28" i="679"/>
  <c r="AJ28" i="679"/>
  <c r="X28" i="679"/>
  <c r="T28" i="679"/>
  <c r="L28" i="679"/>
  <c r="M28" i="679" s="1"/>
  <c r="H28" i="679"/>
  <c r="E28" i="679"/>
  <c r="AT27" i="679"/>
  <c r="AJ27" i="679"/>
  <c r="X27" i="679"/>
  <c r="T27" i="679"/>
  <c r="L27" i="679"/>
  <c r="M27" i="679" s="1"/>
  <c r="H27" i="679"/>
  <c r="E27" i="679"/>
  <c r="AT26" i="679"/>
  <c r="AJ26" i="679"/>
  <c r="X26" i="679"/>
  <c r="T26" i="679"/>
  <c r="L26" i="679"/>
  <c r="K26" i="679" s="1"/>
  <c r="H26" i="679"/>
  <c r="E26" i="679"/>
  <c r="AT25" i="679"/>
  <c r="AJ25" i="679"/>
  <c r="X25" i="679"/>
  <c r="T25" i="679"/>
  <c r="L25" i="679"/>
  <c r="M25" i="679" s="1"/>
  <c r="H25" i="679"/>
  <c r="E25" i="679"/>
  <c r="AT24" i="679"/>
  <c r="AJ24" i="679"/>
  <c r="X24" i="679"/>
  <c r="T24" i="679"/>
  <c r="L24" i="679"/>
  <c r="M24" i="679" s="1"/>
  <c r="H24" i="679"/>
  <c r="E24" i="679"/>
  <c r="AT23" i="679"/>
  <c r="AJ23" i="679"/>
  <c r="X23" i="679"/>
  <c r="T23" i="679"/>
  <c r="L23" i="679"/>
  <c r="M23" i="679" s="1"/>
  <c r="H23" i="679"/>
  <c r="E23" i="679"/>
  <c r="AT22" i="679"/>
  <c r="AJ22" i="679"/>
  <c r="X22" i="679"/>
  <c r="T22" i="679"/>
  <c r="L22" i="679"/>
  <c r="K22" i="679" s="1"/>
  <c r="H22" i="679"/>
  <c r="E22" i="679"/>
  <c r="AT21" i="679"/>
  <c r="AJ21" i="679"/>
  <c r="X21" i="679"/>
  <c r="T21" i="679"/>
  <c r="L21" i="679"/>
  <c r="M21" i="679" s="1"/>
  <c r="H21" i="679"/>
  <c r="E21" i="679"/>
  <c r="AT20" i="679"/>
  <c r="AJ20" i="679"/>
  <c r="X20" i="679"/>
  <c r="T20" i="679"/>
  <c r="L20" i="679"/>
  <c r="M20" i="679" s="1"/>
  <c r="H20" i="679"/>
  <c r="E20" i="679"/>
  <c r="AT19" i="679"/>
  <c r="AJ19" i="679"/>
  <c r="X19" i="679"/>
  <c r="T19" i="679"/>
  <c r="L19" i="679"/>
  <c r="M19" i="679" s="1"/>
  <c r="H19" i="679"/>
  <c r="E19" i="679"/>
  <c r="AT18" i="679"/>
  <c r="AJ18" i="679"/>
  <c r="X18" i="679"/>
  <c r="T18" i="679"/>
  <c r="L18" i="679"/>
  <c r="K18" i="679" s="1"/>
  <c r="H18" i="679"/>
  <c r="E18" i="679"/>
  <c r="AT17" i="679"/>
  <c r="AJ17" i="679"/>
  <c r="X17" i="679"/>
  <c r="T17" i="679"/>
  <c r="L17" i="679"/>
  <c r="M17" i="679" s="1"/>
  <c r="H17" i="679"/>
  <c r="E17" i="679"/>
  <c r="AT16" i="679"/>
  <c r="AJ16" i="679"/>
  <c r="X16" i="679"/>
  <c r="T16" i="679"/>
  <c r="L16" i="679"/>
  <c r="M16" i="679" s="1"/>
  <c r="H16" i="679"/>
  <c r="E16" i="679"/>
  <c r="AT15" i="679"/>
  <c r="AJ15" i="679"/>
  <c r="X15" i="679"/>
  <c r="T15" i="679"/>
  <c r="L15" i="679"/>
  <c r="M15" i="679" s="1"/>
  <c r="H15" i="679"/>
  <c r="E15" i="679"/>
  <c r="AT14" i="679"/>
  <c r="AJ14" i="679"/>
  <c r="X14" i="679"/>
  <c r="T14" i="679"/>
  <c r="L14" i="679"/>
  <c r="M14" i="679" s="1"/>
  <c r="H14" i="679"/>
  <c r="E14" i="679"/>
  <c r="AT13" i="679"/>
  <c r="AJ13" i="679"/>
  <c r="X13" i="679"/>
  <c r="L13" i="679"/>
  <c r="M13" i="679" s="1"/>
  <c r="H13" i="679"/>
  <c r="E13" i="679"/>
  <c r="AT37" i="679" l="1"/>
  <c r="K19" i="679"/>
  <c r="K20" i="679"/>
  <c r="K28" i="679"/>
  <c r="V15" i="679"/>
  <c r="V21" i="679"/>
  <c r="AK21" i="679" s="1"/>
  <c r="V31" i="679"/>
  <c r="AK31" i="679" s="1"/>
  <c r="V14" i="679"/>
  <c r="AK14" i="679" s="1"/>
  <c r="V18" i="679"/>
  <c r="V19" i="679"/>
  <c r="V20" i="679"/>
  <c r="K23" i="679"/>
  <c r="K24" i="679"/>
  <c r="K25" i="679"/>
  <c r="V27" i="679"/>
  <c r="AK27" i="679" s="1"/>
  <c r="V28" i="679"/>
  <c r="AK28" i="679" s="1"/>
  <c r="M29" i="679"/>
  <c r="V30" i="679"/>
  <c r="AK30" i="679" s="1"/>
  <c r="V33" i="679"/>
  <c r="V36" i="679"/>
  <c r="V17" i="679"/>
  <c r="V26" i="679"/>
  <c r="AK26" i="679" s="1"/>
  <c r="V29" i="679"/>
  <c r="V35" i="679"/>
  <c r="AK35" i="679" s="1"/>
  <c r="V13" i="679"/>
  <c r="V16" i="679"/>
  <c r="V22" i="679"/>
  <c r="AK22" i="679" s="1"/>
  <c r="V23" i="679"/>
  <c r="AK23" i="679" s="1"/>
  <c r="V24" i="679"/>
  <c r="V25" i="679"/>
  <c r="AK25" i="679" s="1"/>
  <c r="V32" i="679"/>
  <c r="AK32" i="679" s="1"/>
  <c r="U34" i="679"/>
  <c r="M36" i="679"/>
  <c r="M35" i="679"/>
  <c r="K33" i="679"/>
  <c r="K32" i="679"/>
  <c r="K31" i="679"/>
  <c r="K27" i="679"/>
  <c r="K21" i="679"/>
  <c r="AK19" i="679"/>
  <c r="K17" i="679"/>
  <c r="AK18" i="679"/>
  <c r="K16" i="679"/>
  <c r="K15" i="679"/>
  <c r="K13" i="679"/>
  <c r="AJ37" i="679"/>
  <c r="AK33" i="679"/>
  <c r="AK36" i="679"/>
  <c r="U33" i="679"/>
  <c r="V34" i="679"/>
  <c r="AK34" i="679" s="1"/>
  <c r="AK15" i="679"/>
  <c r="U35" i="679"/>
  <c r="U36" i="679"/>
  <c r="M18" i="679"/>
  <c r="M22" i="679"/>
  <c r="M26" i="679"/>
  <c r="M30" i="679"/>
  <c r="K14" i="679"/>
  <c r="AK16" i="679"/>
  <c r="AK20" i="679"/>
  <c r="AK24" i="679"/>
  <c r="AK17" i="679"/>
  <c r="U13" i="679"/>
  <c r="U16" i="679"/>
  <c r="U18" i="679"/>
  <c r="U20" i="679"/>
  <c r="U23" i="679"/>
  <c r="U27" i="679"/>
  <c r="AK29" i="679"/>
  <c r="M34" i="679"/>
  <c r="T37" i="679"/>
  <c r="AK13" i="679"/>
  <c r="U14" i="679"/>
  <c r="U15" i="679"/>
  <c r="U17" i="679"/>
  <c r="U19" i="679"/>
  <c r="U21" i="679"/>
  <c r="U22" i="679"/>
  <c r="U24" i="679"/>
  <c r="U25" i="679"/>
  <c r="U26" i="679"/>
  <c r="U28" i="679"/>
  <c r="U29" i="679"/>
  <c r="U30" i="679"/>
  <c r="U31" i="679"/>
  <c r="U32" i="679"/>
  <c r="V37" i="679" l="1"/>
  <c r="AK37" i="679" s="1"/>
  <c r="U37" i="679"/>
  <c r="AI11" i="678" l="1"/>
  <c r="AJ13" i="678" s="1"/>
  <c r="S11" i="678"/>
  <c r="AU37" i="678"/>
  <c r="AS37" i="678"/>
  <c r="AT36" i="678"/>
  <c r="AJ36" i="678"/>
  <c r="X36" i="678"/>
  <c r="T36" i="678"/>
  <c r="L36" i="678"/>
  <c r="K36" i="678" s="1"/>
  <c r="H36" i="678"/>
  <c r="E36" i="678"/>
  <c r="AT35" i="678"/>
  <c r="AJ35" i="678"/>
  <c r="X35" i="678"/>
  <c r="T35" i="678"/>
  <c r="L35" i="678"/>
  <c r="K35" i="678" s="1"/>
  <c r="H35" i="678"/>
  <c r="E35" i="678"/>
  <c r="AZ34" i="678"/>
  <c r="AJ34" i="678"/>
  <c r="X34" i="678"/>
  <c r="T34" i="678"/>
  <c r="L34" i="678"/>
  <c r="K34" i="678" s="1"/>
  <c r="H34" i="678"/>
  <c r="E34" i="678"/>
  <c r="AJ33" i="678"/>
  <c r="X33" i="678"/>
  <c r="T33" i="678"/>
  <c r="L33" i="678"/>
  <c r="M33" i="678" s="1"/>
  <c r="H33" i="678"/>
  <c r="E33" i="678"/>
  <c r="AJ32" i="678"/>
  <c r="X32" i="678"/>
  <c r="T32" i="678"/>
  <c r="L32" i="678"/>
  <c r="M32" i="678" s="1"/>
  <c r="H32" i="678"/>
  <c r="E32" i="678"/>
  <c r="AT31" i="678"/>
  <c r="AJ31" i="678"/>
  <c r="X31" i="678"/>
  <c r="T31" i="678"/>
  <c r="L31" i="678"/>
  <c r="M31" i="678" s="1"/>
  <c r="H31" i="678"/>
  <c r="E31" i="678"/>
  <c r="AT30" i="678"/>
  <c r="AJ30" i="678"/>
  <c r="X30" i="678"/>
  <c r="T30" i="678"/>
  <c r="L30" i="678"/>
  <c r="M30" i="678" s="1"/>
  <c r="H30" i="678"/>
  <c r="E30" i="678"/>
  <c r="AT29" i="678"/>
  <c r="AJ29" i="678"/>
  <c r="X29" i="678"/>
  <c r="T29" i="678"/>
  <c r="L29" i="678"/>
  <c r="M29" i="678" s="1"/>
  <c r="H29" i="678"/>
  <c r="E29" i="678"/>
  <c r="AT28" i="678"/>
  <c r="AJ28" i="678"/>
  <c r="X28" i="678"/>
  <c r="T28" i="678"/>
  <c r="L28" i="678"/>
  <c r="M28" i="678" s="1"/>
  <c r="H28" i="678"/>
  <c r="E28" i="678"/>
  <c r="AT27" i="678"/>
  <c r="AJ27" i="678"/>
  <c r="X27" i="678"/>
  <c r="T27" i="678"/>
  <c r="L27" i="678"/>
  <c r="M27" i="678" s="1"/>
  <c r="H27" i="678"/>
  <c r="E27" i="678"/>
  <c r="AT26" i="678"/>
  <c r="AJ26" i="678"/>
  <c r="X26" i="678"/>
  <c r="T26" i="678"/>
  <c r="L26" i="678"/>
  <c r="M26" i="678" s="1"/>
  <c r="H26" i="678"/>
  <c r="E26" i="678"/>
  <c r="AT25" i="678"/>
  <c r="AJ25" i="678"/>
  <c r="X25" i="678"/>
  <c r="T25" i="678"/>
  <c r="L25" i="678"/>
  <c r="M25" i="678" s="1"/>
  <c r="H25" i="678"/>
  <c r="E25" i="678"/>
  <c r="AT24" i="678"/>
  <c r="AJ24" i="678"/>
  <c r="X24" i="678"/>
  <c r="T24" i="678"/>
  <c r="L24" i="678"/>
  <c r="M24" i="678" s="1"/>
  <c r="H24" i="678"/>
  <c r="E24" i="678"/>
  <c r="AT23" i="678"/>
  <c r="AJ23" i="678"/>
  <c r="X23" i="678"/>
  <c r="T23" i="678"/>
  <c r="L23" i="678"/>
  <c r="M23" i="678" s="1"/>
  <c r="H23" i="678"/>
  <c r="E23" i="678"/>
  <c r="AT22" i="678"/>
  <c r="AJ22" i="678"/>
  <c r="X22" i="678"/>
  <c r="T22" i="678"/>
  <c r="L22" i="678"/>
  <c r="M22" i="678" s="1"/>
  <c r="H22" i="678"/>
  <c r="E22" i="678"/>
  <c r="AT21" i="678"/>
  <c r="AJ21" i="678"/>
  <c r="X21" i="678"/>
  <c r="T21" i="678"/>
  <c r="L21" i="678"/>
  <c r="M21" i="678" s="1"/>
  <c r="H21" i="678"/>
  <c r="E21" i="678"/>
  <c r="AT20" i="678"/>
  <c r="AJ20" i="678"/>
  <c r="X20" i="678"/>
  <c r="T20" i="678"/>
  <c r="L20" i="678"/>
  <c r="M20" i="678" s="1"/>
  <c r="H20" i="678"/>
  <c r="E20" i="678"/>
  <c r="AT19" i="678"/>
  <c r="AJ19" i="678"/>
  <c r="X19" i="678"/>
  <c r="T19" i="678"/>
  <c r="L19" i="678"/>
  <c r="M19" i="678" s="1"/>
  <c r="H19" i="678"/>
  <c r="E19" i="678"/>
  <c r="AT18" i="678"/>
  <c r="AJ18" i="678"/>
  <c r="X18" i="678"/>
  <c r="T18" i="678"/>
  <c r="L18" i="678"/>
  <c r="M18" i="678" s="1"/>
  <c r="H18" i="678"/>
  <c r="E18" i="678"/>
  <c r="AT17" i="678"/>
  <c r="AJ17" i="678"/>
  <c r="X17" i="678"/>
  <c r="T17" i="678"/>
  <c r="L17" i="678"/>
  <c r="M17" i="678" s="1"/>
  <c r="H17" i="678"/>
  <c r="E17" i="678"/>
  <c r="AT16" i="678"/>
  <c r="AJ16" i="678"/>
  <c r="X16" i="678"/>
  <c r="T16" i="678"/>
  <c r="L16" i="678"/>
  <c r="M16" i="678" s="1"/>
  <c r="H16" i="678"/>
  <c r="E16" i="678"/>
  <c r="AT15" i="678"/>
  <c r="AJ15" i="678"/>
  <c r="X15" i="678"/>
  <c r="T15" i="678"/>
  <c r="L15" i="678"/>
  <c r="M15" i="678" s="1"/>
  <c r="H15" i="678"/>
  <c r="E15" i="678"/>
  <c r="AT14" i="678"/>
  <c r="AJ14" i="678"/>
  <c r="X14" i="678"/>
  <c r="T14" i="678"/>
  <c r="L14" i="678"/>
  <c r="M14" i="678" s="1"/>
  <c r="H14" i="678"/>
  <c r="E14" i="678"/>
  <c r="AT13" i="678"/>
  <c r="X13" i="678"/>
  <c r="T13" i="678"/>
  <c r="L13" i="678"/>
  <c r="M13" i="678" s="1"/>
  <c r="H13" i="678"/>
  <c r="E13" i="678"/>
  <c r="K33" i="678" l="1"/>
  <c r="AT37" i="678"/>
  <c r="V36" i="678"/>
  <c r="AK36" i="678" s="1"/>
  <c r="U35" i="678"/>
  <c r="U34" i="678"/>
  <c r="V33" i="678"/>
  <c r="AK33" i="678" s="1"/>
  <c r="U32" i="678"/>
  <c r="U31" i="678"/>
  <c r="U30" i="678"/>
  <c r="U29" i="678"/>
  <c r="U28" i="678"/>
  <c r="U27" i="678"/>
  <c r="U26" i="678"/>
  <c r="U25" i="678"/>
  <c r="U24" i="678"/>
  <c r="U23" i="678"/>
  <c r="U22" i="678"/>
  <c r="U21" i="678"/>
  <c r="U20" i="678"/>
  <c r="U19" i="678"/>
  <c r="U18" i="678"/>
  <c r="U17" i="678"/>
  <c r="U16" i="678"/>
  <c r="U15" i="678"/>
  <c r="U14" i="678"/>
  <c r="V15" i="678"/>
  <c r="AK15" i="678" s="1"/>
  <c r="V16" i="678"/>
  <c r="AK16" i="678" s="1"/>
  <c r="V17" i="678"/>
  <c r="AK17" i="678" s="1"/>
  <c r="V18" i="678"/>
  <c r="AK18" i="678" s="1"/>
  <c r="V19" i="678"/>
  <c r="AK19" i="678" s="1"/>
  <c r="V20" i="678"/>
  <c r="AK20" i="678" s="1"/>
  <c r="V21" i="678"/>
  <c r="AK21" i="678" s="1"/>
  <c r="V22" i="678"/>
  <c r="AK22" i="678" s="1"/>
  <c r="V23" i="678"/>
  <c r="AK23" i="678" s="1"/>
  <c r="V24" i="678"/>
  <c r="AK24" i="678" s="1"/>
  <c r="V25" i="678"/>
  <c r="AK25" i="678" s="1"/>
  <c r="V26" i="678"/>
  <c r="AK26" i="678" s="1"/>
  <c r="V27" i="678"/>
  <c r="AK27" i="678" s="1"/>
  <c r="V28" i="678"/>
  <c r="AK28" i="678" s="1"/>
  <c r="V29" i="678"/>
  <c r="AK29" i="678" s="1"/>
  <c r="V30" i="678"/>
  <c r="AK30" i="678" s="1"/>
  <c r="V31" i="678"/>
  <c r="AK31" i="678" s="1"/>
  <c r="V32" i="678"/>
  <c r="AK32" i="678" s="1"/>
  <c r="T37" i="678"/>
  <c r="V14" i="678"/>
  <c r="AK14" i="678" s="1"/>
  <c r="V13" i="678"/>
  <c r="AK13" i="678" s="1"/>
  <c r="AJ37" i="678"/>
  <c r="AI8" i="678"/>
  <c r="U33" i="678"/>
  <c r="V34" i="678"/>
  <c r="AK34" i="678" s="1"/>
  <c r="V35" i="678"/>
  <c r="AK35" i="678" s="1"/>
  <c r="K13" i="678"/>
  <c r="U13" i="678"/>
  <c r="K14" i="678"/>
  <c r="K15" i="678"/>
  <c r="K16" i="678"/>
  <c r="K17" i="678"/>
  <c r="K18" i="678"/>
  <c r="K19" i="678"/>
  <c r="K20" i="678"/>
  <c r="K21" i="678"/>
  <c r="K22" i="678"/>
  <c r="K23" i="678"/>
  <c r="K24" i="678"/>
  <c r="K25" i="678"/>
  <c r="K26" i="678"/>
  <c r="K27" i="678"/>
  <c r="K28" i="678"/>
  <c r="K29" i="678"/>
  <c r="K30" i="678"/>
  <c r="K31" i="678"/>
  <c r="K32" i="678"/>
  <c r="M34" i="678"/>
  <c r="M35" i="678"/>
  <c r="M36" i="678"/>
  <c r="U36" i="678"/>
  <c r="U37" i="678" l="1"/>
  <c r="V37" i="678"/>
  <c r="AK37" i="678" s="1"/>
  <c r="AI11" i="677" l="1"/>
  <c r="AJ13" i="677" s="1"/>
  <c r="S11" i="677"/>
  <c r="T13" i="677" s="1"/>
  <c r="AU37" i="677"/>
  <c r="AS37" i="677"/>
  <c r="AT36" i="677"/>
  <c r="AJ36" i="677"/>
  <c r="X36" i="677"/>
  <c r="T36" i="677"/>
  <c r="L36" i="677"/>
  <c r="K36" i="677" s="1"/>
  <c r="H36" i="677"/>
  <c r="E36" i="677"/>
  <c r="AT35" i="677"/>
  <c r="AJ35" i="677"/>
  <c r="X35" i="677"/>
  <c r="T35" i="677"/>
  <c r="L35" i="677"/>
  <c r="K35" i="677" s="1"/>
  <c r="H35" i="677"/>
  <c r="E35" i="677"/>
  <c r="AZ34" i="677"/>
  <c r="AJ34" i="677"/>
  <c r="X34" i="677"/>
  <c r="T34" i="677"/>
  <c r="L34" i="677"/>
  <c r="K34" i="677" s="1"/>
  <c r="H34" i="677"/>
  <c r="E34" i="677"/>
  <c r="AJ33" i="677"/>
  <c r="X33" i="677"/>
  <c r="T33" i="677"/>
  <c r="L33" i="677"/>
  <c r="M33" i="677" s="1"/>
  <c r="H33" i="677"/>
  <c r="E33" i="677"/>
  <c r="AJ32" i="677"/>
  <c r="X32" i="677"/>
  <c r="T32" i="677"/>
  <c r="L32" i="677"/>
  <c r="M32" i="677" s="1"/>
  <c r="H32" i="677"/>
  <c r="E32" i="677"/>
  <c r="AT31" i="677"/>
  <c r="AJ31" i="677"/>
  <c r="X31" i="677"/>
  <c r="T31" i="677"/>
  <c r="L31" i="677"/>
  <c r="M31" i="677" s="1"/>
  <c r="H31" i="677"/>
  <c r="E31" i="677"/>
  <c r="AT30" i="677"/>
  <c r="AJ30" i="677"/>
  <c r="X30" i="677"/>
  <c r="T30" i="677"/>
  <c r="L30" i="677"/>
  <c r="M30" i="677" s="1"/>
  <c r="H30" i="677"/>
  <c r="E30" i="677"/>
  <c r="AT29" i="677"/>
  <c r="AJ29" i="677"/>
  <c r="X29" i="677"/>
  <c r="T29" i="677"/>
  <c r="L29" i="677"/>
  <c r="M29" i="677" s="1"/>
  <c r="H29" i="677"/>
  <c r="E29" i="677"/>
  <c r="AT28" i="677"/>
  <c r="AJ28" i="677"/>
  <c r="X28" i="677"/>
  <c r="T28" i="677"/>
  <c r="L28" i="677"/>
  <c r="M28" i="677" s="1"/>
  <c r="H28" i="677"/>
  <c r="E28" i="677"/>
  <c r="AT27" i="677"/>
  <c r="AJ27" i="677"/>
  <c r="X27" i="677"/>
  <c r="T27" i="677"/>
  <c r="L27" i="677"/>
  <c r="M27" i="677" s="1"/>
  <c r="H27" i="677"/>
  <c r="E27" i="677"/>
  <c r="AT26" i="677"/>
  <c r="AJ26" i="677"/>
  <c r="X26" i="677"/>
  <c r="T26" i="677"/>
  <c r="L26" i="677"/>
  <c r="M26" i="677" s="1"/>
  <c r="H26" i="677"/>
  <c r="E26" i="677"/>
  <c r="AT25" i="677"/>
  <c r="AJ25" i="677"/>
  <c r="X25" i="677"/>
  <c r="T25" i="677"/>
  <c r="L25" i="677"/>
  <c r="M25" i="677" s="1"/>
  <c r="H25" i="677"/>
  <c r="E25" i="677"/>
  <c r="AT24" i="677"/>
  <c r="AJ24" i="677"/>
  <c r="X24" i="677"/>
  <c r="T24" i="677"/>
  <c r="L24" i="677"/>
  <c r="M24" i="677" s="1"/>
  <c r="H24" i="677"/>
  <c r="E24" i="677"/>
  <c r="AT23" i="677"/>
  <c r="AJ23" i="677"/>
  <c r="X23" i="677"/>
  <c r="T23" i="677"/>
  <c r="L23" i="677"/>
  <c r="M23" i="677" s="1"/>
  <c r="H23" i="677"/>
  <c r="E23" i="677"/>
  <c r="AT22" i="677"/>
  <c r="AJ22" i="677"/>
  <c r="X22" i="677"/>
  <c r="T22" i="677"/>
  <c r="L22" i="677"/>
  <c r="M22" i="677" s="1"/>
  <c r="H22" i="677"/>
  <c r="E22" i="677"/>
  <c r="AT21" i="677"/>
  <c r="AJ21" i="677"/>
  <c r="X21" i="677"/>
  <c r="T21" i="677"/>
  <c r="L21" i="677"/>
  <c r="M21" i="677" s="1"/>
  <c r="H21" i="677"/>
  <c r="E21" i="677"/>
  <c r="AT20" i="677"/>
  <c r="AJ20" i="677"/>
  <c r="X20" i="677"/>
  <c r="T20" i="677"/>
  <c r="L20" i="677"/>
  <c r="M20" i="677" s="1"/>
  <c r="H20" i="677"/>
  <c r="E20" i="677"/>
  <c r="AT19" i="677"/>
  <c r="AJ19" i="677"/>
  <c r="X19" i="677"/>
  <c r="T19" i="677"/>
  <c r="L19" i="677"/>
  <c r="M19" i="677" s="1"/>
  <c r="H19" i="677"/>
  <c r="E19" i="677"/>
  <c r="AT18" i="677"/>
  <c r="AJ18" i="677"/>
  <c r="X18" i="677"/>
  <c r="T18" i="677"/>
  <c r="L18" i="677"/>
  <c r="M18" i="677" s="1"/>
  <c r="H18" i="677"/>
  <c r="E18" i="677"/>
  <c r="AT17" i="677"/>
  <c r="AJ17" i="677"/>
  <c r="X17" i="677"/>
  <c r="T17" i="677"/>
  <c r="L17" i="677"/>
  <c r="M17" i="677" s="1"/>
  <c r="H17" i="677"/>
  <c r="E17" i="677"/>
  <c r="AT16" i="677"/>
  <c r="AJ16" i="677"/>
  <c r="X16" i="677"/>
  <c r="T16" i="677"/>
  <c r="L16" i="677"/>
  <c r="M16" i="677" s="1"/>
  <c r="H16" i="677"/>
  <c r="E16" i="677"/>
  <c r="AT15" i="677"/>
  <c r="AJ15" i="677"/>
  <c r="X15" i="677"/>
  <c r="T15" i="677"/>
  <c r="L15" i="677"/>
  <c r="M15" i="677" s="1"/>
  <c r="H15" i="677"/>
  <c r="E15" i="677"/>
  <c r="AT14" i="677"/>
  <c r="AJ14" i="677"/>
  <c r="X14" i="677"/>
  <c r="T14" i="677"/>
  <c r="L14" i="677"/>
  <c r="M14" i="677" s="1"/>
  <c r="H14" i="677"/>
  <c r="E14" i="677"/>
  <c r="AT13" i="677"/>
  <c r="X13" i="677"/>
  <c r="L13" i="677"/>
  <c r="M13" i="677" s="1"/>
  <c r="H13" i="677"/>
  <c r="E13" i="677"/>
  <c r="AI8" i="677"/>
  <c r="K18" i="677" l="1"/>
  <c r="K27" i="677"/>
  <c r="K28" i="677"/>
  <c r="K29" i="677"/>
  <c r="V16" i="677"/>
  <c r="V17" i="677"/>
  <c r="AK17" i="677" s="1"/>
  <c r="V18" i="677"/>
  <c r="K21" i="677"/>
  <c r="K22" i="677"/>
  <c r="K23" i="677"/>
  <c r="V25" i="677"/>
  <c r="K31" i="677"/>
  <c r="K32" i="677"/>
  <c r="V15" i="677"/>
  <c r="V13" i="677"/>
  <c r="AK13" i="677" s="1"/>
  <c r="AT37" i="677"/>
  <c r="V20" i="677"/>
  <c r="V21" i="677"/>
  <c r="V22" i="677"/>
  <c r="AK22" i="677" s="1"/>
  <c r="V23" i="677"/>
  <c r="V24" i="677"/>
  <c r="V14" i="677"/>
  <c r="K16" i="677"/>
  <c r="V19" i="677"/>
  <c r="AK19" i="677" s="1"/>
  <c r="V26" i="677"/>
  <c r="V27" i="677"/>
  <c r="V28" i="677"/>
  <c r="V29" i="677"/>
  <c r="AK29" i="677" s="1"/>
  <c r="V34" i="677"/>
  <c r="AK34" i="677" s="1"/>
  <c r="V35" i="677"/>
  <c r="AK35" i="677" s="1"/>
  <c r="V36" i="677"/>
  <c r="AK36" i="677" s="1"/>
  <c r="K30" i="677"/>
  <c r="U33" i="677"/>
  <c r="V33" i="677"/>
  <c r="AK33" i="677" s="1"/>
  <c r="V30" i="677"/>
  <c r="V31" i="677"/>
  <c r="AK31" i="677" s="1"/>
  <c r="V32" i="677"/>
  <c r="AK32" i="677" s="1"/>
  <c r="U34" i="677"/>
  <c r="U35" i="677"/>
  <c r="U36" i="677"/>
  <c r="K26" i="677"/>
  <c r="K25" i="677"/>
  <c r="K24" i="677"/>
  <c r="K20" i="677"/>
  <c r="K19" i="677"/>
  <c r="K17" i="677"/>
  <c r="K15" i="677"/>
  <c r="K14" i="677"/>
  <c r="AJ37" i="677"/>
  <c r="K33" i="677"/>
  <c r="K13" i="677"/>
  <c r="AK14" i="677"/>
  <c r="AK15" i="677"/>
  <c r="AK16" i="677"/>
  <c r="AK18" i="677"/>
  <c r="AK20" i="677"/>
  <c r="AK21" i="677"/>
  <c r="AK23" i="677"/>
  <c r="AK24" i="677"/>
  <c r="AK25" i="677"/>
  <c r="AK26" i="677"/>
  <c r="AK27" i="677"/>
  <c r="AK30" i="677"/>
  <c r="U20" i="677"/>
  <c r="U21" i="677"/>
  <c r="U22" i="677"/>
  <c r="U23" i="677"/>
  <c r="U24" i="677"/>
  <c r="U25" i="677"/>
  <c r="U26" i="677"/>
  <c r="U27" i="677"/>
  <c r="U28" i="677"/>
  <c r="AK28" i="677"/>
  <c r="U29" i="677"/>
  <c r="U30" i="677"/>
  <c r="U31" i="677"/>
  <c r="U32" i="677"/>
  <c r="M34" i="677"/>
  <c r="M35" i="677"/>
  <c r="M36" i="677"/>
  <c r="T37" i="677"/>
  <c r="U13" i="677"/>
  <c r="U14" i="677"/>
  <c r="U15" i="677"/>
  <c r="U16" i="677"/>
  <c r="U17" i="677"/>
  <c r="U19" i="677"/>
  <c r="U18" i="677"/>
  <c r="V37" i="677" l="1"/>
  <c r="AK37" i="677" s="1"/>
  <c r="U37" i="677"/>
  <c r="E20" i="676" l="1"/>
  <c r="AI11" i="676"/>
  <c r="AI8" i="676" s="1"/>
  <c r="S11" i="676"/>
  <c r="AU37" i="676"/>
  <c r="AS37" i="676"/>
  <c r="AT36" i="676"/>
  <c r="AJ36" i="676"/>
  <c r="X36" i="676"/>
  <c r="T36" i="676"/>
  <c r="L36" i="676"/>
  <c r="K36" i="676" s="1"/>
  <c r="H36" i="676"/>
  <c r="E36" i="676"/>
  <c r="AT35" i="676"/>
  <c r="AJ35" i="676"/>
  <c r="X35" i="676"/>
  <c r="T35" i="676"/>
  <c r="L35" i="676"/>
  <c r="K35" i="676" s="1"/>
  <c r="H35" i="676"/>
  <c r="E35" i="676"/>
  <c r="AZ34" i="676"/>
  <c r="AJ34" i="676"/>
  <c r="X34" i="676"/>
  <c r="T34" i="676"/>
  <c r="L34" i="676"/>
  <c r="K34" i="676" s="1"/>
  <c r="H34" i="676"/>
  <c r="E34" i="676"/>
  <c r="AJ33" i="676"/>
  <c r="X33" i="676"/>
  <c r="T33" i="676"/>
  <c r="L33" i="676"/>
  <c r="M33" i="676" s="1"/>
  <c r="H33" i="676"/>
  <c r="E33" i="676"/>
  <c r="AJ32" i="676"/>
  <c r="X32" i="676"/>
  <c r="T32" i="676"/>
  <c r="L32" i="676"/>
  <c r="M32" i="676" s="1"/>
  <c r="H32" i="676"/>
  <c r="E32" i="676"/>
  <c r="AT31" i="676"/>
  <c r="AJ31" i="676"/>
  <c r="X31" i="676"/>
  <c r="T31" i="676"/>
  <c r="L31" i="676"/>
  <c r="M31" i="676" s="1"/>
  <c r="H31" i="676"/>
  <c r="E31" i="676"/>
  <c r="AT30" i="676"/>
  <c r="AJ30" i="676"/>
  <c r="X30" i="676"/>
  <c r="T30" i="676"/>
  <c r="L30" i="676"/>
  <c r="M30" i="676" s="1"/>
  <c r="H30" i="676"/>
  <c r="E30" i="676"/>
  <c r="AT29" i="676"/>
  <c r="AJ29" i="676"/>
  <c r="X29" i="676"/>
  <c r="T29" i="676"/>
  <c r="L29" i="676"/>
  <c r="M29" i="676" s="1"/>
  <c r="H29" i="676"/>
  <c r="E29" i="676"/>
  <c r="AT28" i="676"/>
  <c r="AJ28" i="676"/>
  <c r="X28" i="676"/>
  <c r="T28" i="676"/>
  <c r="L28" i="676"/>
  <c r="M28" i="676" s="1"/>
  <c r="H28" i="676"/>
  <c r="E28" i="676"/>
  <c r="AT27" i="676"/>
  <c r="AJ27" i="676"/>
  <c r="X27" i="676"/>
  <c r="T27" i="676"/>
  <c r="L27" i="676"/>
  <c r="M27" i="676" s="1"/>
  <c r="H27" i="676"/>
  <c r="E27" i="676"/>
  <c r="AT26" i="676"/>
  <c r="AJ26" i="676"/>
  <c r="X26" i="676"/>
  <c r="T26" i="676"/>
  <c r="L26" i="676"/>
  <c r="M26" i="676" s="1"/>
  <c r="H26" i="676"/>
  <c r="E26" i="676"/>
  <c r="AT25" i="676"/>
  <c r="AJ25" i="676"/>
  <c r="X25" i="676"/>
  <c r="T25" i="676"/>
  <c r="L25" i="676"/>
  <c r="M25" i="676" s="1"/>
  <c r="H25" i="676"/>
  <c r="E25" i="676"/>
  <c r="AT24" i="676"/>
  <c r="AJ24" i="676"/>
  <c r="X24" i="676"/>
  <c r="T24" i="676"/>
  <c r="L24" i="676"/>
  <c r="M24" i="676" s="1"/>
  <c r="H24" i="676"/>
  <c r="E24" i="676"/>
  <c r="AT23" i="676"/>
  <c r="AJ23" i="676"/>
  <c r="X23" i="676"/>
  <c r="T23" i="676"/>
  <c r="L23" i="676"/>
  <c r="M23" i="676" s="1"/>
  <c r="H23" i="676"/>
  <c r="E23" i="676"/>
  <c r="AT22" i="676"/>
  <c r="AJ22" i="676"/>
  <c r="X22" i="676"/>
  <c r="T22" i="676"/>
  <c r="L22" i="676"/>
  <c r="M22" i="676" s="1"/>
  <c r="H22" i="676"/>
  <c r="E22" i="676"/>
  <c r="AT21" i="676"/>
  <c r="AJ21" i="676"/>
  <c r="X21" i="676"/>
  <c r="T21" i="676"/>
  <c r="L21" i="676"/>
  <c r="M21" i="676" s="1"/>
  <c r="H21" i="676"/>
  <c r="E21" i="676"/>
  <c r="AT20" i="676"/>
  <c r="AJ20" i="676"/>
  <c r="X20" i="676"/>
  <c r="T20" i="676"/>
  <c r="L20" i="676"/>
  <c r="M20" i="676" s="1"/>
  <c r="H20" i="676"/>
  <c r="AT19" i="676"/>
  <c r="AJ19" i="676"/>
  <c r="X19" i="676"/>
  <c r="T19" i="676"/>
  <c r="L19" i="676"/>
  <c r="M19" i="676" s="1"/>
  <c r="H19" i="676"/>
  <c r="E19" i="676"/>
  <c r="AT18" i="676"/>
  <c r="AJ18" i="676"/>
  <c r="X18" i="676"/>
  <c r="T18" i="676"/>
  <c r="L18" i="676"/>
  <c r="M18" i="676" s="1"/>
  <c r="H18" i="676"/>
  <c r="E18" i="676"/>
  <c r="AT17" i="676"/>
  <c r="AJ17" i="676"/>
  <c r="X17" i="676"/>
  <c r="T17" i="676"/>
  <c r="L17" i="676"/>
  <c r="M17" i="676" s="1"/>
  <c r="H17" i="676"/>
  <c r="E17" i="676"/>
  <c r="AT16" i="676"/>
  <c r="AJ16" i="676"/>
  <c r="X16" i="676"/>
  <c r="T16" i="676"/>
  <c r="L16" i="676"/>
  <c r="M16" i="676" s="1"/>
  <c r="H16" i="676"/>
  <c r="E16" i="676"/>
  <c r="AT15" i="676"/>
  <c r="AJ15" i="676"/>
  <c r="X15" i="676"/>
  <c r="T15" i="676"/>
  <c r="L15" i="676"/>
  <c r="M15" i="676" s="1"/>
  <c r="H15" i="676"/>
  <c r="E15" i="676"/>
  <c r="AT14" i="676"/>
  <c r="AJ14" i="676"/>
  <c r="X14" i="676"/>
  <c r="T14" i="676"/>
  <c r="L14" i="676"/>
  <c r="M14" i="676" s="1"/>
  <c r="H14" i="676"/>
  <c r="E14" i="676"/>
  <c r="AT13" i="676"/>
  <c r="AJ13" i="676"/>
  <c r="X13" i="676"/>
  <c r="T13" i="676"/>
  <c r="L13" i="676"/>
  <c r="M13" i="676" s="1"/>
  <c r="H13" i="676"/>
  <c r="E13" i="676"/>
  <c r="E32" i="675"/>
  <c r="AI11" i="675"/>
  <c r="AJ13" i="675" s="1"/>
  <c r="S11" i="675"/>
  <c r="T13" i="675" s="1"/>
  <c r="AU37" i="675"/>
  <c r="AS37" i="675"/>
  <c r="AT36" i="675"/>
  <c r="AJ36" i="675"/>
  <c r="X36" i="675"/>
  <c r="T36" i="675"/>
  <c r="L36" i="675"/>
  <c r="K36" i="675" s="1"/>
  <c r="H36" i="675"/>
  <c r="E36" i="675"/>
  <c r="AT35" i="675"/>
  <c r="AJ35" i="675"/>
  <c r="X35" i="675"/>
  <c r="T35" i="675"/>
  <c r="L35" i="675"/>
  <c r="K35" i="675" s="1"/>
  <c r="H35" i="675"/>
  <c r="E35" i="675"/>
  <c r="AZ34" i="675"/>
  <c r="AJ34" i="675"/>
  <c r="X34" i="675"/>
  <c r="T34" i="675"/>
  <c r="L34" i="675"/>
  <c r="K34" i="675" s="1"/>
  <c r="H34" i="675"/>
  <c r="E34" i="675"/>
  <c r="AJ33" i="675"/>
  <c r="X33" i="675"/>
  <c r="T33" i="675"/>
  <c r="L33" i="675"/>
  <c r="M33" i="675" s="1"/>
  <c r="H33" i="675"/>
  <c r="E33" i="675"/>
  <c r="AJ32" i="675"/>
  <c r="X32" i="675"/>
  <c r="T32" i="675"/>
  <c r="L32" i="675"/>
  <c r="M32" i="675" s="1"/>
  <c r="H32" i="675"/>
  <c r="AT31" i="675"/>
  <c r="AJ31" i="675"/>
  <c r="X31" i="675"/>
  <c r="T31" i="675"/>
  <c r="L31" i="675"/>
  <c r="M31" i="675" s="1"/>
  <c r="H31" i="675"/>
  <c r="E31" i="675"/>
  <c r="AT30" i="675"/>
  <c r="AJ30" i="675"/>
  <c r="X30" i="675"/>
  <c r="T30" i="675"/>
  <c r="L30" i="675"/>
  <c r="M30" i="675" s="1"/>
  <c r="H30" i="675"/>
  <c r="E30" i="675"/>
  <c r="AT29" i="675"/>
  <c r="AJ29" i="675"/>
  <c r="X29" i="675"/>
  <c r="T29" i="675"/>
  <c r="L29" i="675"/>
  <c r="M29" i="675" s="1"/>
  <c r="H29" i="675"/>
  <c r="E29" i="675"/>
  <c r="AT28" i="675"/>
  <c r="AJ28" i="675"/>
  <c r="X28" i="675"/>
  <c r="T28" i="675"/>
  <c r="L28" i="675"/>
  <c r="M28" i="675" s="1"/>
  <c r="H28" i="675"/>
  <c r="E28" i="675"/>
  <c r="AT27" i="675"/>
  <c r="AJ27" i="675"/>
  <c r="X27" i="675"/>
  <c r="T27" i="675"/>
  <c r="L27" i="675"/>
  <c r="M27" i="675" s="1"/>
  <c r="H27" i="675"/>
  <c r="E27" i="675"/>
  <c r="AT26" i="675"/>
  <c r="AJ26" i="675"/>
  <c r="X26" i="675"/>
  <c r="T26" i="675"/>
  <c r="L26" i="675"/>
  <c r="M26" i="675" s="1"/>
  <c r="H26" i="675"/>
  <c r="E26" i="675"/>
  <c r="AT25" i="675"/>
  <c r="AJ25" i="675"/>
  <c r="X25" i="675"/>
  <c r="T25" i="675"/>
  <c r="L25" i="675"/>
  <c r="M25" i="675" s="1"/>
  <c r="H25" i="675"/>
  <c r="E25" i="675"/>
  <c r="AT24" i="675"/>
  <c r="AJ24" i="675"/>
  <c r="X24" i="675"/>
  <c r="T24" i="675"/>
  <c r="L24" i="675"/>
  <c r="M24" i="675" s="1"/>
  <c r="H24" i="675"/>
  <c r="E24" i="675"/>
  <c r="AT23" i="675"/>
  <c r="AJ23" i="675"/>
  <c r="X23" i="675"/>
  <c r="T23" i="675"/>
  <c r="L23" i="675"/>
  <c r="M23" i="675" s="1"/>
  <c r="H23" i="675"/>
  <c r="E23" i="675"/>
  <c r="AT22" i="675"/>
  <c r="AJ22" i="675"/>
  <c r="X22" i="675"/>
  <c r="T22" i="675"/>
  <c r="L22" i="675"/>
  <c r="M22" i="675" s="1"/>
  <c r="H22" i="675"/>
  <c r="E22" i="675"/>
  <c r="AT21" i="675"/>
  <c r="AJ21" i="675"/>
  <c r="X21" i="675"/>
  <c r="T21" i="675"/>
  <c r="L21" i="675"/>
  <c r="M21" i="675" s="1"/>
  <c r="H21" i="675"/>
  <c r="E21" i="675"/>
  <c r="AT20" i="675"/>
  <c r="AJ20" i="675"/>
  <c r="X20" i="675"/>
  <c r="T20" i="675"/>
  <c r="L20" i="675"/>
  <c r="M20" i="675" s="1"/>
  <c r="H20" i="675"/>
  <c r="E20" i="675"/>
  <c r="AT19" i="675"/>
  <c r="AJ19" i="675"/>
  <c r="X19" i="675"/>
  <c r="T19" i="675"/>
  <c r="L19" i="675"/>
  <c r="M19" i="675" s="1"/>
  <c r="H19" i="675"/>
  <c r="E19" i="675"/>
  <c r="AT18" i="675"/>
  <c r="AJ18" i="675"/>
  <c r="X18" i="675"/>
  <c r="T18" i="675"/>
  <c r="L18" i="675"/>
  <c r="M18" i="675" s="1"/>
  <c r="H18" i="675"/>
  <c r="E18" i="675"/>
  <c r="AT17" i="675"/>
  <c r="AJ17" i="675"/>
  <c r="X17" i="675"/>
  <c r="T17" i="675"/>
  <c r="L17" i="675"/>
  <c r="M17" i="675" s="1"/>
  <c r="H17" i="675"/>
  <c r="E17" i="675"/>
  <c r="AT16" i="675"/>
  <c r="AJ16" i="675"/>
  <c r="X16" i="675"/>
  <c r="T16" i="675"/>
  <c r="L16" i="675"/>
  <c r="M16" i="675" s="1"/>
  <c r="H16" i="675"/>
  <c r="E16" i="675"/>
  <c r="AT15" i="675"/>
  <c r="AJ15" i="675"/>
  <c r="X15" i="675"/>
  <c r="T15" i="675"/>
  <c r="L15" i="675"/>
  <c r="M15" i="675" s="1"/>
  <c r="H15" i="675"/>
  <c r="E15" i="675"/>
  <c r="AT14" i="675"/>
  <c r="AJ14" i="675"/>
  <c r="X14" i="675"/>
  <c r="T14" i="675"/>
  <c r="L14" i="675"/>
  <c r="M14" i="675" s="1"/>
  <c r="H14" i="675"/>
  <c r="E14" i="675"/>
  <c r="AT13" i="675"/>
  <c r="X13" i="675"/>
  <c r="L13" i="675"/>
  <c r="M13" i="675" s="1"/>
  <c r="H13" i="675"/>
  <c r="E13" i="675"/>
  <c r="E34" i="674"/>
  <c r="H21" i="674"/>
  <c r="AT37" i="676" l="1"/>
  <c r="V17" i="675"/>
  <c r="V21" i="675"/>
  <c r="AK21" i="675" s="1"/>
  <c r="V25" i="675"/>
  <c r="V29" i="675"/>
  <c r="AK29" i="675" s="1"/>
  <c r="V32" i="675"/>
  <c r="U34" i="675"/>
  <c r="V13" i="675"/>
  <c r="AK13" i="675" s="1"/>
  <c r="V16" i="676"/>
  <c r="V23" i="676"/>
  <c r="V27" i="676"/>
  <c r="AK27" i="676" s="1"/>
  <c r="V31" i="676"/>
  <c r="V16" i="675"/>
  <c r="AK16" i="675" s="1"/>
  <c r="V20" i="675"/>
  <c r="V24" i="675"/>
  <c r="AK24" i="675" s="1"/>
  <c r="V28" i="675"/>
  <c r="V15" i="676"/>
  <c r="V19" i="676"/>
  <c r="V22" i="676"/>
  <c r="AK22" i="676" s="1"/>
  <c r="V26" i="676"/>
  <c r="V30" i="676"/>
  <c r="AK30" i="676" s="1"/>
  <c r="V33" i="676"/>
  <c r="V36" i="676"/>
  <c r="AK36" i="676" s="1"/>
  <c r="V15" i="675"/>
  <c r="V19" i="675"/>
  <c r="AK19" i="675" s="1"/>
  <c r="V23" i="675"/>
  <c r="V27" i="675"/>
  <c r="AK27" i="675" s="1"/>
  <c r="V31" i="675"/>
  <c r="AK31" i="675" s="1"/>
  <c r="V33" i="675"/>
  <c r="AK33" i="675" s="1"/>
  <c r="U36" i="675"/>
  <c r="V14" i="676"/>
  <c r="AK14" i="676" s="1"/>
  <c r="V18" i="676"/>
  <c r="V21" i="676"/>
  <c r="V25" i="676"/>
  <c r="AK25" i="676" s="1"/>
  <c r="V29" i="676"/>
  <c r="AK29" i="676" s="1"/>
  <c r="V35" i="676"/>
  <c r="AK35" i="676" s="1"/>
  <c r="AT37" i="675"/>
  <c r="V14" i="675"/>
  <c r="V18" i="675"/>
  <c r="AK18" i="675" s="1"/>
  <c r="V22" i="675"/>
  <c r="V26" i="675"/>
  <c r="V30" i="675"/>
  <c r="U35" i="675"/>
  <c r="V13" i="676"/>
  <c r="AK13" i="676" s="1"/>
  <c r="V17" i="676"/>
  <c r="AK17" i="676" s="1"/>
  <c r="V20" i="676"/>
  <c r="AK20" i="676" s="1"/>
  <c r="V24" i="676"/>
  <c r="AK24" i="676" s="1"/>
  <c r="V28" i="676"/>
  <c r="V32" i="676"/>
  <c r="AK32" i="676" s="1"/>
  <c r="U34" i="676"/>
  <c r="U33" i="676"/>
  <c r="AK23" i="676"/>
  <c r="AK19" i="676"/>
  <c r="V36" i="675"/>
  <c r="AK36" i="675" s="1"/>
  <c r="AK33" i="676"/>
  <c r="AJ37" i="676"/>
  <c r="AK16" i="676"/>
  <c r="V34" i="676"/>
  <c r="AK34" i="676" s="1"/>
  <c r="K33" i="676"/>
  <c r="AK18" i="676"/>
  <c r="AK26" i="676"/>
  <c r="AK21" i="676"/>
  <c r="AK15" i="676"/>
  <c r="AK31" i="676"/>
  <c r="K13" i="676"/>
  <c r="U13" i="676"/>
  <c r="K14" i="676"/>
  <c r="U14" i="676"/>
  <c r="K15" i="676"/>
  <c r="U15" i="676"/>
  <c r="K16" i="676"/>
  <c r="U16" i="676"/>
  <c r="K17" i="676"/>
  <c r="U17" i="676"/>
  <c r="K18" i="676"/>
  <c r="U18" i="676"/>
  <c r="K19" i="676"/>
  <c r="U19" i="676"/>
  <c r="K20" i="676"/>
  <c r="U20" i="676"/>
  <c r="K21" i="676"/>
  <c r="U21" i="676"/>
  <c r="K22" i="676"/>
  <c r="U22" i="676"/>
  <c r="K23" i="676"/>
  <c r="U23" i="676"/>
  <c r="K24" i="676"/>
  <c r="U24" i="676"/>
  <c r="K25" i="676"/>
  <c r="U25" i="676"/>
  <c r="K26" i="676"/>
  <c r="U26" i="676"/>
  <c r="K27" i="676"/>
  <c r="U27" i="676"/>
  <c r="K28" i="676"/>
  <c r="U28" i="676"/>
  <c r="AK28" i="676"/>
  <c r="K29" i="676"/>
  <c r="U29" i="676"/>
  <c r="K30" i="676"/>
  <c r="U30" i="676"/>
  <c r="K31" i="676"/>
  <c r="U31" i="676"/>
  <c r="K32" i="676"/>
  <c r="U32" i="676"/>
  <c r="M34" i="676"/>
  <c r="M35" i="676"/>
  <c r="M36" i="676"/>
  <c r="T37" i="676"/>
  <c r="U35" i="676"/>
  <c r="U36" i="676"/>
  <c r="V35" i="675"/>
  <c r="AK35" i="675" s="1"/>
  <c r="V34" i="675"/>
  <c r="AK34" i="675" s="1"/>
  <c r="K33" i="675"/>
  <c r="AK30" i="675"/>
  <c r="AK26" i="675"/>
  <c r="AK22" i="675"/>
  <c r="AJ37" i="675"/>
  <c r="AI8" i="675"/>
  <c r="AK15" i="675"/>
  <c r="AK23" i="675"/>
  <c r="U33" i="675"/>
  <c r="AK14" i="675"/>
  <c r="AK17" i="675"/>
  <c r="AK25" i="675"/>
  <c r="AK20" i="675"/>
  <c r="AK32" i="675"/>
  <c r="K13" i="675"/>
  <c r="U13" i="675"/>
  <c r="K14" i="675"/>
  <c r="U14" i="675"/>
  <c r="K15" i="675"/>
  <c r="U15" i="675"/>
  <c r="K16" i="675"/>
  <c r="U16" i="675"/>
  <c r="K17" i="675"/>
  <c r="U17" i="675"/>
  <c r="K18" i="675"/>
  <c r="U18" i="675"/>
  <c r="K19" i="675"/>
  <c r="U19" i="675"/>
  <c r="K20" i="675"/>
  <c r="U20" i="675"/>
  <c r="K21" i="675"/>
  <c r="U21" i="675"/>
  <c r="K22" i="675"/>
  <c r="U22" i="675"/>
  <c r="K23" i="675"/>
  <c r="U23" i="675"/>
  <c r="K24" i="675"/>
  <c r="U24" i="675"/>
  <c r="K25" i="675"/>
  <c r="U25" i="675"/>
  <c r="K26" i="675"/>
  <c r="U26" i="675"/>
  <c r="K27" i="675"/>
  <c r="U27" i="675"/>
  <c r="K28" i="675"/>
  <c r="U28" i="675"/>
  <c r="AK28" i="675"/>
  <c r="K29" i="675"/>
  <c r="U29" i="675"/>
  <c r="K30" i="675"/>
  <c r="U30" i="675"/>
  <c r="K31" i="675"/>
  <c r="U31" i="675"/>
  <c r="K32" i="675"/>
  <c r="U32" i="675"/>
  <c r="M34" i="675"/>
  <c r="M35" i="675"/>
  <c r="M36" i="675"/>
  <c r="T37" i="675"/>
  <c r="V37" i="676" l="1"/>
  <c r="AK37" i="676" s="1"/>
  <c r="U37" i="676"/>
  <c r="V37" i="675"/>
  <c r="AK37" i="675" s="1"/>
  <c r="U37" i="675"/>
  <c r="AI11" i="674" l="1"/>
  <c r="AJ13" i="674" s="1"/>
  <c r="S11" i="674"/>
  <c r="AU37" i="674"/>
  <c r="AS37" i="674"/>
  <c r="AT36" i="674"/>
  <c r="AJ36" i="674"/>
  <c r="X36" i="674"/>
  <c r="T36" i="674"/>
  <c r="L36" i="674"/>
  <c r="K36" i="674" s="1"/>
  <c r="H36" i="674"/>
  <c r="E36" i="674"/>
  <c r="AT35" i="674"/>
  <c r="AJ35" i="674"/>
  <c r="X35" i="674"/>
  <c r="T35" i="674"/>
  <c r="L35" i="674"/>
  <c r="K35" i="674" s="1"/>
  <c r="H35" i="674"/>
  <c r="E35" i="674"/>
  <c r="AZ34" i="674"/>
  <c r="AJ34" i="674"/>
  <c r="X34" i="674"/>
  <c r="T34" i="674"/>
  <c r="L34" i="674"/>
  <c r="K34" i="674" s="1"/>
  <c r="H34" i="674"/>
  <c r="AJ33" i="674"/>
  <c r="X33" i="674"/>
  <c r="T33" i="674"/>
  <c r="L33" i="674"/>
  <c r="M33" i="674" s="1"/>
  <c r="H33" i="674"/>
  <c r="E33" i="674"/>
  <c r="AJ32" i="674"/>
  <c r="X32" i="674"/>
  <c r="T32" i="674"/>
  <c r="L32" i="674"/>
  <c r="M32" i="674" s="1"/>
  <c r="H32" i="674"/>
  <c r="E32" i="674"/>
  <c r="AT31" i="674"/>
  <c r="AJ31" i="674"/>
  <c r="X31" i="674"/>
  <c r="T31" i="674"/>
  <c r="L31" i="674"/>
  <c r="M31" i="674" s="1"/>
  <c r="H31" i="674"/>
  <c r="E31" i="674"/>
  <c r="AT30" i="674"/>
  <c r="AJ30" i="674"/>
  <c r="X30" i="674"/>
  <c r="T30" i="674"/>
  <c r="L30" i="674"/>
  <c r="M30" i="674" s="1"/>
  <c r="H30" i="674"/>
  <c r="E30" i="674"/>
  <c r="AT29" i="674"/>
  <c r="AJ29" i="674"/>
  <c r="X29" i="674"/>
  <c r="T29" i="674"/>
  <c r="L29" i="674"/>
  <c r="M29" i="674" s="1"/>
  <c r="H29" i="674"/>
  <c r="E29" i="674"/>
  <c r="AT28" i="674"/>
  <c r="AJ28" i="674"/>
  <c r="X28" i="674"/>
  <c r="T28" i="674"/>
  <c r="L28" i="674"/>
  <c r="M28" i="674" s="1"/>
  <c r="H28" i="674"/>
  <c r="E28" i="674"/>
  <c r="AT27" i="674"/>
  <c r="AJ27" i="674"/>
  <c r="X27" i="674"/>
  <c r="T27" i="674"/>
  <c r="L27" i="674"/>
  <c r="M27" i="674" s="1"/>
  <c r="H27" i="674"/>
  <c r="E27" i="674"/>
  <c r="AT26" i="674"/>
  <c r="AJ26" i="674"/>
  <c r="X26" i="674"/>
  <c r="T26" i="674"/>
  <c r="L26" i="674"/>
  <c r="M26" i="674" s="1"/>
  <c r="H26" i="674"/>
  <c r="E26" i="674"/>
  <c r="AT25" i="674"/>
  <c r="AJ25" i="674"/>
  <c r="X25" i="674"/>
  <c r="T25" i="674"/>
  <c r="L25" i="674"/>
  <c r="M25" i="674" s="1"/>
  <c r="H25" i="674"/>
  <c r="E25" i="674"/>
  <c r="AT24" i="674"/>
  <c r="AJ24" i="674"/>
  <c r="X24" i="674"/>
  <c r="T24" i="674"/>
  <c r="L24" i="674"/>
  <c r="M24" i="674" s="1"/>
  <c r="H24" i="674"/>
  <c r="E24" i="674"/>
  <c r="AT23" i="674"/>
  <c r="AJ23" i="674"/>
  <c r="X23" i="674"/>
  <c r="T23" i="674"/>
  <c r="L23" i="674"/>
  <c r="M23" i="674" s="1"/>
  <c r="H23" i="674"/>
  <c r="E23" i="674"/>
  <c r="AT22" i="674"/>
  <c r="AJ22" i="674"/>
  <c r="X22" i="674"/>
  <c r="T22" i="674"/>
  <c r="L22" i="674"/>
  <c r="M22" i="674" s="1"/>
  <c r="H22" i="674"/>
  <c r="E22" i="674"/>
  <c r="AT21" i="674"/>
  <c r="AJ21" i="674"/>
  <c r="X21" i="674"/>
  <c r="T21" i="674"/>
  <c r="L21" i="674"/>
  <c r="M21" i="674" s="1"/>
  <c r="E21" i="674"/>
  <c r="AT20" i="674"/>
  <c r="AJ20" i="674"/>
  <c r="X20" i="674"/>
  <c r="T20" i="674"/>
  <c r="L20" i="674"/>
  <c r="M20" i="674" s="1"/>
  <c r="H20" i="674"/>
  <c r="E20" i="674"/>
  <c r="AT19" i="674"/>
  <c r="AJ19" i="674"/>
  <c r="X19" i="674"/>
  <c r="T19" i="674"/>
  <c r="L19" i="674"/>
  <c r="M19" i="674" s="1"/>
  <c r="H19" i="674"/>
  <c r="E19" i="674"/>
  <c r="AT18" i="674"/>
  <c r="AJ18" i="674"/>
  <c r="X18" i="674"/>
  <c r="T18" i="674"/>
  <c r="L18" i="674"/>
  <c r="M18" i="674" s="1"/>
  <c r="H18" i="674"/>
  <c r="E18" i="674"/>
  <c r="AT17" i="674"/>
  <c r="AJ17" i="674"/>
  <c r="X17" i="674"/>
  <c r="T17" i="674"/>
  <c r="L17" i="674"/>
  <c r="M17" i="674" s="1"/>
  <c r="H17" i="674"/>
  <c r="E17" i="674"/>
  <c r="AT16" i="674"/>
  <c r="AJ16" i="674"/>
  <c r="X16" i="674"/>
  <c r="T16" i="674"/>
  <c r="L16" i="674"/>
  <c r="M16" i="674" s="1"/>
  <c r="H16" i="674"/>
  <c r="E16" i="674"/>
  <c r="AT15" i="674"/>
  <c r="AJ15" i="674"/>
  <c r="X15" i="674"/>
  <c r="T15" i="674"/>
  <c r="L15" i="674"/>
  <c r="M15" i="674" s="1"/>
  <c r="H15" i="674"/>
  <c r="E15" i="674"/>
  <c r="AT14" i="674"/>
  <c r="AJ14" i="674"/>
  <c r="X14" i="674"/>
  <c r="T14" i="674"/>
  <c r="L14" i="674"/>
  <c r="M14" i="674" s="1"/>
  <c r="H14" i="674"/>
  <c r="E14" i="674"/>
  <c r="AT13" i="674"/>
  <c r="X13" i="674"/>
  <c r="T13" i="674"/>
  <c r="L13" i="674"/>
  <c r="M13" i="674" s="1"/>
  <c r="H13" i="674"/>
  <c r="E13" i="674"/>
  <c r="AI8" i="674"/>
  <c r="K16" i="674" l="1"/>
  <c r="K14" i="674"/>
  <c r="K25" i="674"/>
  <c r="AT37" i="674"/>
  <c r="V19" i="674"/>
  <c r="V23" i="674"/>
  <c r="AK23" i="674" s="1"/>
  <c r="V30" i="674"/>
  <c r="AK30" i="674" s="1"/>
  <c r="U35" i="674"/>
  <c r="V17" i="674"/>
  <c r="V18" i="674"/>
  <c r="V21" i="674"/>
  <c r="V22" i="674"/>
  <c r="V27" i="674"/>
  <c r="V28" i="674"/>
  <c r="AK28" i="674" s="1"/>
  <c r="V29" i="674"/>
  <c r="U34" i="674"/>
  <c r="V15" i="674"/>
  <c r="V16" i="674"/>
  <c r="V26" i="674"/>
  <c r="V32" i="674"/>
  <c r="U13" i="674"/>
  <c r="V14" i="674"/>
  <c r="AK14" i="674" s="1"/>
  <c r="K18" i="674"/>
  <c r="V20" i="674"/>
  <c r="AK20" i="674" s="1"/>
  <c r="K22" i="674"/>
  <c r="V24" i="674"/>
  <c r="AK24" i="674" s="1"/>
  <c r="V25" i="674"/>
  <c r="K28" i="674"/>
  <c r="K29" i="674"/>
  <c r="V31" i="674"/>
  <c r="AK31" i="674" s="1"/>
  <c r="U36" i="674"/>
  <c r="V33" i="674"/>
  <c r="AK33" i="674" s="1"/>
  <c r="K33" i="674"/>
  <c r="U33" i="674"/>
  <c r="K32" i="674"/>
  <c r="K31" i="674"/>
  <c r="K30" i="674"/>
  <c r="K27" i="674"/>
  <c r="K26" i="674"/>
  <c r="K24" i="674"/>
  <c r="K23" i="674"/>
  <c r="K21" i="674"/>
  <c r="K20" i="674"/>
  <c r="K19" i="674"/>
  <c r="K17" i="674"/>
  <c r="AJ37" i="674"/>
  <c r="K15" i="674"/>
  <c r="K13" i="674"/>
  <c r="V34" i="674"/>
  <c r="AK34" i="674" s="1"/>
  <c r="V35" i="674"/>
  <c r="AK35" i="674" s="1"/>
  <c r="V36" i="674"/>
  <c r="AK36" i="674" s="1"/>
  <c r="AK15" i="674"/>
  <c r="AK16" i="674"/>
  <c r="AK17" i="674"/>
  <c r="AK18" i="674"/>
  <c r="AK19" i="674"/>
  <c r="AK21" i="674"/>
  <c r="AK22" i="674"/>
  <c r="AK25" i="674"/>
  <c r="AK26" i="674"/>
  <c r="AK27" i="674"/>
  <c r="AK29" i="674"/>
  <c r="AK32" i="674"/>
  <c r="U15" i="674"/>
  <c r="U16" i="674"/>
  <c r="U18" i="674"/>
  <c r="U19" i="674"/>
  <c r="U20" i="674"/>
  <c r="U21" i="674"/>
  <c r="U22" i="674"/>
  <c r="U23" i="674"/>
  <c r="U24" i="674"/>
  <c r="U25" i="674"/>
  <c r="U26" i="674"/>
  <c r="U27" i="674"/>
  <c r="U28" i="674"/>
  <c r="U29" i="674"/>
  <c r="U30" i="674"/>
  <c r="U31" i="674"/>
  <c r="U32" i="674"/>
  <c r="M34" i="674"/>
  <c r="M35" i="674"/>
  <c r="M36" i="674"/>
  <c r="T37" i="674"/>
  <c r="V13" i="674"/>
  <c r="AK13" i="674" s="1"/>
  <c r="U14" i="674"/>
  <c r="U17" i="674"/>
  <c r="V37" i="674" l="1"/>
  <c r="AK37" i="674" s="1"/>
  <c r="U37" i="674"/>
  <c r="AI11" i="673" l="1"/>
  <c r="AI8" i="673" s="1"/>
  <c r="S11" i="673"/>
  <c r="AU37" i="673"/>
  <c r="AS37" i="673"/>
  <c r="AT36" i="673"/>
  <c r="AJ36" i="673"/>
  <c r="X36" i="673"/>
  <c r="T36" i="673"/>
  <c r="L36" i="673"/>
  <c r="K36" i="673" s="1"/>
  <c r="H36" i="673"/>
  <c r="E36" i="673"/>
  <c r="AT35" i="673"/>
  <c r="AJ35" i="673"/>
  <c r="X35" i="673"/>
  <c r="T35" i="673"/>
  <c r="L35" i="673"/>
  <c r="K35" i="673" s="1"/>
  <c r="H35" i="673"/>
  <c r="E35" i="673"/>
  <c r="AZ34" i="673"/>
  <c r="AJ34" i="673"/>
  <c r="X34" i="673"/>
  <c r="T34" i="673"/>
  <c r="L34" i="673"/>
  <c r="K34" i="673" s="1"/>
  <c r="H34" i="673"/>
  <c r="E34" i="673"/>
  <c r="AJ33" i="673"/>
  <c r="X33" i="673"/>
  <c r="T33" i="673"/>
  <c r="L33" i="673"/>
  <c r="M33" i="673" s="1"/>
  <c r="H33" i="673"/>
  <c r="E33" i="673"/>
  <c r="AJ32" i="673"/>
  <c r="X32" i="673"/>
  <c r="T32" i="673"/>
  <c r="L32" i="673"/>
  <c r="M32" i="673" s="1"/>
  <c r="H32" i="673"/>
  <c r="E32" i="673"/>
  <c r="AT31" i="673"/>
  <c r="AJ31" i="673"/>
  <c r="X31" i="673"/>
  <c r="T31" i="673"/>
  <c r="L31" i="673"/>
  <c r="M31" i="673" s="1"/>
  <c r="H31" i="673"/>
  <c r="E31" i="673"/>
  <c r="AT30" i="673"/>
  <c r="AJ30" i="673"/>
  <c r="X30" i="673"/>
  <c r="T30" i="673"/>
  <c r="L30" i="673"/>
  <c r="M30" i="673" s="1"/>
  <c r="H30" i="673"/>
  <c r="E30" i="673"/>
  <c r="AT29" i="673"/>
  <c r="AJ29" i="673"/>
  <c r="X29" i="673"/>
  <c r="T29" i="673"/>
  <c r="L29" i="673"/>
  <c r="M29" i="673" s="1"/>
  <c r="H29" i="673"/>
  <c r="E29" i="673"/>
  <c r="AT28" i="673"/>
  <c r="AJ28" i="673"/>
  <c r="X28" i="673"/>
  <c r="T28" i="673"/>
  <c r="L28" i="673"/>
  <c r="M28" i="673" s="1"/>
  <c r="H28" i="673"/>
  <c r="E28" i="673"/>
  <c r="AT27" i="673"/>
  <c r="AJ27" i="673"/>
  <c r="X27" i="673"/>
  <c r="T27" i="673"/>
  <c r="L27" i="673"/>
  <c r="M27" i="673" s="1"/>
  <c r="H27" i="673"/>
  <c r="E27" i="673"/>
  <c r="AT26" i="673"/>
  <c r="AJ26" i="673"/>
  <c r="X26" i="673"/>
  <c r="T26" i="673"/>
  <c r="L26" i="673"/>
  <c r="M26" i="673" s="1"/>
  <c r="H26" i="673"/>
  <c r="E26" i="673"/>
  <c r="AT25" i="673"/>
  <c r="AJ25" i="673"/>
  <c r="X25" i="673"/>
  <c r="T25" i="673"/>
  <c r="L25" i="673"/>
  <c r="M25" i="673" s="1"/>
  <c r="H25" i="673"/>
  <c r="E25" i="673"/>
  <c r="AT24" i="673"/>
  <c r="AJ24" i="673"/>
  <c r="X24" i="673"/>
  <c r="T24" i="673"/>
  <c r="L24" i="673"/>
  <c r="M24" i="673" s="1"/>
  <c r="H24" i="673"/>
  <c r="E24" i="673"/>
  <c r="AT23" i="673"/>
  <c r="AJ23" i="673"/>
  <c r="X23" i="673"/>
  <c r="T23" i="673"/>
  <c r="L23" i="673"/>
  <c r="M23" i="673" s="1"/>
  <c r="H23" i="673"/>
  <c r="E23" i="673"/>
  <c r="AT22" i="673"/>
  <c r="AJ22" i="673"/>
  <c r="X22" i="673"/>
  <c r="T22" i="673"/>
  <c r="L22" i="673"/>
  <c r="M22" i="673" s="1"/>
  <c r="H22" i="673"/>
  <c r="E22" i="673"/>
  <c r="AT21" i="673"/>
  <c r="AJ21" i="673"/>
  <c r="X21" i="673"/>
  <c r="T21" i="673"/>
  <c r="L21" i="673"/>
  <c r="M21" i="673" s="1"/>
  <c r="H21" i="673"/>
  <c r="E21" i="673"/>
  <c r="AT20" i="673"/>
  <c r="AJ20" i="673"/>
  <c r="X20" i="673"/>
  <c r="T20" i="673"/>
  <c r="L20" i="673"/>
  <c r="M20" i="673" s="1"/>
  <c r="H20" i="673"/>
  <c r="E20" i="673"/>
  <c r="AT19" i="673"/>
  <c r="AJ19" i="673"/>
  <c r="X19" i="673"/>
  <c r="T19" i="673"/>
  <c r="L19" i="673"/>
  <c r="M19" i="673" s="1"/>
  <c r="H19" i="673"/>
  <c r="E19" i="673"/>
  <c r="AT18" i="673"/>
  <c r="AJ18" i="673"/>
  <c r="X18" i="673"/>
  <c r="T18" i="673"/>
  <c r="L18" i="673"/>
  <c r="M18" i="673" s="1"/>
  <c r="H18" i="673"/>
  <c r="E18" i="673"/>
  <c r="AT17" i="673"/>
  <c r="AJ17" i="673"/>
  <c r="X17" i="673"/>
  <c r="T17" i="673"/>
  <c r="L17" i="673"/>
  <c r="M17" i="673" s="1"/>
  <c r="H17" i="673"/>
  <c r="E17" i="673"/>
  <c r="AT16" i="673"/>
  <c r="AJ16" i="673"/>
  <c r="X16" i="673"/>
  <c r="T16" i="673"/>
  <c r="L16" i="673"/>
  <c r="M16" i="673" s="1"/>
  <c r="H16" i="673"/>
  <c r="E16" i="673"/>
  <c r="AT15" i="673"/>
  <c r="AJ15" i="673"/>
  <c r="X15" i="673"/>
  <c r="T15" i="673"/>
  <c r="L15" i="673"/>
  <c r="M15" i="673" s="1"/>
  <c r="H15" i="673"/>
  <c r="E15" i="673"/>
  <c r="AT14" i="673"/>
  <c r="AJ14" i="673"/>
  <c r="X14" i="673"/>
  <c r="T14" i="673"/>
  <c r="L14" i="673"/>
  <c r="M14" i="673" s="1"/>
  <c r="H14" i="673"/>
  <c r="E14" i="673"/>
  <c r="AT13" i="673"/>
  <c r="X13" i="673"/>
  <c r="T13" i="673"/>
  <c r="L13" i="673"/>
  <c r="M13" i="673" s="1"/>
  <c r="H13" i="673"/>
  <c r="E13" i="673"/>
  <c r="AT37" i="673" l="1"/>
  <c r="U16" i="673"/>
  <c r="U20" i="673"/>
  <c r="U24" i="673"/>
  <c r="U28" i="673"/>
  <c r="U32" i="673"/>
  <c r="V34" i="673"/>
  <c r="AK34" i="673" s="1"/>
  <c r="U15" i="673"/>
  <c r="U19" i="673"/>
  <c r="U23" i="673"/>
  <c r="U27" i="673"/>
  <c r="U31" i="673"/>
  <c r="U14" i="673"/>
  <c r="U18" i="673"/>
  <c r="U22" i="673"/>
  <c r="U26" i="673"/>
  <c r="U30" i="673"/>
  <c r="V33" i="673"/>
  <c r="AK33" i="673" s="1"/>
  <c r="U36" i="673"/>
  <c r="U17" i="673"/>
  <c r="U21" i="673"/>
  <c r="U25" i="673"/>
  <c r="U29" i="673"/>
  <c r="V35" i="673"/>
  <c r="AK35" i="673" s="1"/>
  <c r="K33" i="673"/>
  <c r="V14" i="673"/>
  <c r="AK14" i="673" s="1"/>
  <c r="V15" i="673"/>
  <c r="V16" i="673"/>
  <c r="AK16" i="673" s="1"/>
  <c r="V17" i="673"/>
  <c r="AK17" i="673" s="1"/>
  <c r="V18" i="673"/>
  <c r="AK18" i="673" s="1"/>
  <c r="V19" i="673"/>
  <c r="AK19" i="673" s="1"/>
  <c r="V20" i="673"/>
  <c r="V21" i="673"/>
  <c r="V22" i="673"/>
  <c r="V23" i="673"/>
  <c r="AK23" i="673" s="1"/>
  <c r="V24" i="673"/>
  <c r="AK24" i="673" s="1"/>
  <c r="V25" i="673"/>
  <c r="AK25" i="673" s="1"/>
  <c r="V26" i="673"/>
  <c r="AK26" i="673" s="1"/>
  <c r="V27" i="673"/>
  <c r="AK27" i="673" s="1"/>
  <c r="V28" i="673"/>
  <c r="AK28" i="673" s="1"/>
  <c r="V29" i="673"/>
  <c r="AK29" i="673" s="1"/>
  <c r="V30" i="673"/>
  <c r="AK30" i="673" s="1"/>
  <c r="V31" i="673"/>
  <c r="AK31" i="673" s="1"/>
  <c r="V32" i="673"/>
  <c r="AK32" i="673" s="1"/>
  <c r="U33" i="673"/>
  <c r="T37" i="673"/>
  <c r="AK15" i="673"/>
  <c r="AK20" i="673"/>
  <c r="AK21" i="673"/>
  <c r="AK22" i="673"/>
  <c r="V13" i="673"/>
  <c r="AJ13" i="673"/>
  <c r="V36" i="673"/>
  <c r="AK36" i="673" s="1"/>
  <c r="K13" i="673"/>
  <c r="U13" i="673"/>
  <c r="K14" i="673"/>
  <c r="K15" i="673"/>
  <c r="K16" i="673"/>
  <c r="K17" i="673"/>
  <c r="K18" i="673"/>
  <c r="K19" i="673"/>
  <c r="K20" i="673"/>
  <c r="K21" i="673"/>
  <c r="K22" i="673"/>
  <c r="K23" i="673"/>
  <c r="K24" i="673"/>
  <c r="K25" i="673"/>
  <c r="K26" i="673"/>
  <c r="K27" i="673"/>
  <c r="K28" i="673"/>
  <c r="K29" i="673"/>
  <c r="K30" i="673"/>
  <c r="K31" i="673"/>
  <c r="K32" i="673"/>
  <c r="M34" i="673"/>
  <c r="M35" i="673"/>
  <c r="M36" i="673"/>
  <c r="U34" i="673"/>
  <c r="U35" i="673"/>
  <c r="AI11" i="672"/>
  <c r="AI8" i="672" s="1"/>
  <c r="S11" i="672"/>
  <c r="AU37" i="672"/>
  <c r="AS37" i="672"/>
  <c r="AT36" i="672"/>
  <c r="AJ36" i="672"/>
  <c r="X36" i="672"/>
  <c r="T36" i="672"/>
  <c r="L36" i="672"/>
  <c r="K36" i="672" s="1"/>
  <c r="H36" i="672"/>
  <c r="E36" i="672"/>
  <c r="AT35" i="672"/>
  <c r="AJ35" i="672"/>
  <c r="X35" i="672"/>
  <c r="T35" i="672"/>
  <c r="L35" i="672"/>
  <c r="K35" i="672" s="1"/>
  <c r="H35" i="672"/>
  <c r="E35" i="672"/>
  <c r="AZ34" i="672"/>
  <c r="AJ34" i="672"/>
  <c r="X34" i="672"/>
  <c r="T34" i="672"/>
  <c r="L34" i="672"/>
  <c r="K34" i="672" s="1"/>
  <c r="H34" i="672"/>
  <c r="E34" i="672"/>
  <c r="AJ33" i="672"/>
  <c r="X33" i="672"/>
  <c r="T33" i="672"/>
  <c r="L33" i="672"/>
  <c r="K33" i="672" s="1"/>
  <c r="H33" i="672"/>
  <c r="E33" i="672"/>
  <c r="AJ32" i="672"/>
  <c r="X32" i="672"/>
  <c r="T32" i="672"/>
  <c r="L32" i="672"/>
  <c r="M32" i="672" s="1"/>
  <c r="H32" i="672"/>
  <c r="E32" i="672"/>
  <c r="AT31" i="672"/>
  <c r="AJ31" i="672"/>
  <c r="X31" i="672"/>
  <c r="T31" i="672"/>
  <c r="L31" i="672"/>
  <c r="M31" i="672" s="1"/>
  <c r="H31" i="672"/>
  <c r="E31" i="672"/>
  <c r="AT30" i="672"/>
  <c r="AJ30" i="672"/>
  <c r="X30" i="672"/>
  <c r="T30" i="672"/>
  <c r="L30" i="672"/>
  <c r="M30" i="672" s="1"/>
  <c r="H30" i="672"/>
  <c r="E30" i="672"/>
  <c r="AT29" i="672"/>
  <c r="AJ29" i="672"/>
  <c r="X29" i="672"/>
  <c r="T29" i="672"/>
  <c r="L29" i="672"/>
  <c r="M29" i="672" s="1"/>
  <c r="H29" i="672"/>
  <c r="E29" i="672"/>
  <c r="AT28" i="672"/>
  <c r="AJ28" i="672"/>
  <c r="X28" i="672"/>
  <c r="T28" i="672"/>
  <c r="L28" i="672"/>
  <c r="M28" i="672" s="1"/>
  <c r="H28" i="672"/>
  <c r="E28" i="672"/>
  <c r="AT27" i="672"/>
  <c r="AJ27" i="672"/>
  <c r="X27" i="672"/>
  <c r="T27" i="672"/>
  <c r="L27" i="672"/>
  <c r="M27" i="672" s="1"/>
  <c r="H27" i="672"/>
  <c r="E27" i="672"/>
  <c r="AT26" i="672"/>
  <c r="AJ26" i="672"/>
  <c r="X26" i="672"/>
  <c r="T26" i="672"/>
  <c r="L26" i="672"/>
  <c r="M26" i="672" s="1"/>
  <c r="H26" i="672"/>
  <c r="E26" i="672"/>
  <c r="AT25" i="672"/>
  <c r="AJ25" i="672"/>
  <c r="X25" i="672"/>
  <c r="T25" i="672"/>
  <c r="L25" i="672"/>
  <c r="M25" i="672" s="1"/>
  <c r="H25" i="672"/>
  <c r="E25" i="672"/>
  <c r="AT24" i="672"/>
  <c r="AJ24" i="672"/>
  <c r="X24" i="672"/>
  <c r="T24" i="672"/>
  <c r="L24" i="672"/>
  <c r="M24" i="672" s="1"/>
  <c r="H24" i="672"/>
  <c r="E24" i="672"/>
  <c r="AT23" i="672"/>
  <c r="AJ23" i="672"/>
  <c r="X23" i="672"/>
  <c r="T23" i="672"/>
  <c r="L23" i="672"/>
  <c r="M23" i="672" s="1"/>
  <c r="H23" i="672"/>
  <c r="E23" i="672"/>
  <c r="AT22" i="672"/>
  <c r="AJ22" i="672"/>
  <c r="X22" i="672"/>
  <c r="T22" i="672"/>
  <c r="L22" i="672"/>
  <c r="M22" i="672" s="1"/>
  <c r="H22" i="672"/>
  <c r="E22" i="672"/>
  <c r="AT21" i="672"/>
  <c r="AJ21" i="672"/>
  <c r="X21" i="672"/>
  <c r="T21" i="672"/>
  <c r="L21" i="672"/>
  <c r="M21" i="672" s="1"/>
  <c r="H21" i="672"/>
  <c r="E21" i="672"/>
  <c r="AT20" i="672"/>
  <c r="AJ20" i="672"/>
  <c r="X20" i="672"/>
  <c r="T20" i="672"/>
  <c r="L20" i="672"/>
  <c r="M20" i="672" s="1"/>
  <c r="H20" i="672"/>
  <c r="E20" i="672"/>
  <c r="AT19" i="672"/>
  <c r="AJ19" i="672"/>
  <c r="X19" i="672"/>
  <c r="T19" i="672"/>
  <c r="L19" i="672"/>
  <c r="M19" i="672" s="1"/>
  <c r="H19" i="672"/>
  <c r="E19" i="672"/>
  <c r="AT18" i="672"/>
  <c r="AJ18" i="672"/>
  <c r="X18" i="672"/>
  <c r="T18" i="672"/>
  <c r="L18" i="672"/>
  <c r="M18" i="672" s="1"/>
  <c r="H18" i="672"/>
  <c r="E18" i="672"/>
  <c r="AT17" i="672"/>
  <c r="AJ17" i="672"/>
  <c r="X17" i="672"/>
  <c r="T17" i="672"/>
  <c r="L17" i="672"/>
  <c r="M17" i="672" s="1"/>
  <c r="H17" i="672"/>
  <c r="E17" i="672"/>
  <c r="AT16" i="672"/>
  <c r="AJ16" i="672"/>
  <c r="X16" i="672"/>
  <c r="T16" i="672"/>
  <c r="L16" i="672"/>
  <c r="M16" i="672" s="1"/>
  <c r="H16" i="672"/>
  <c r="E16" i="672"/>
  <c r="AT15" i="672"/>
  <c r="AJ15" i="672"/>
  <c r="X15" i="672"/>
  <c r="T15" i="672"/>
  <c r="L15" i="672"/>
  <c r="M15" i="672" s="1"/>
  <c r="H15" i="672"/>
  <c r="E15" i="672"/>
  <c r="AT14" i="672"/>
  <c r="AJ14" i="672"/>
  <c r="X14" i="672"/>
  <c r="T14" i="672"/>
  <c r="L14" i="672"/>
  <c r="M14" i="672" s="1"/>
  <c r="H14" i="672"/>
  <c r="E14" i="672"/>
  <c r="AT13" i="672"/>
  <c r="X13" i="672"/>
  <c r="T13" i="672"/>
  <c r="L13" i="672"/>
  <c r="M13" i="672" s="1"/>
  <c r="H13" i="672"/>
  <c r="E13" i="672"/>
  <c r="E23" i="671"/>
  <c r="E21" i="671"/>
  <c r="AT37" i="672" l="1"/>
  <c r="U14" i="672"/>
  <c r="U18" i="672"/>
  <c r="U22" i="672"/>
  <c r="U26" i="672"/>
  <c r="U30" i="672"/>
  <c r="U33" i="672"/>
  <c r="U36" i="672"/>
  <c r="U17" i="672"/>
  <c r="U21" i="672"/>
  <c r="U25" i="672"/>
  <c r="U29" i="672"/>
  <c r="U35" i="672"/>
  <c r="U16" i="672"/>
  <c r="U20" i="672"/>
  <c r="U24" i="672"/>
  <c r="U28" i="672"/>
  <c r="U32" i="672"/>
  <c r="V34" i="672"/>
  <c r="AK34" i="672" s="1"/>
  <c r="U15" i="672"/>
  <c r="U19" i="672"/>
  <c r="U23" i="672"/>
  <c r="U27" i="672"/>
  <c r="U31" i="672"/>
  <c r="V37" i="673"/>
  <c r="U37" i="673"/>
  <c r="AJ37" i="673"/>
  <c r="AK13" i="673"/>
  <c r="M33" i="672"/>
  <c r="V32" i="672"/>
  <c r="AK32" i="672" s="1"/>
  <c r="V31" i="672"/>
  <c r="AK31" i="672" s="1"/>
  <c r="V30" i="672"/>
  <c r="AK30" i="672" s="1"/>
  <c r="V29" i="672"/>
  <c r="AK29" i="672" s="1"/>
  <c r="V28" i="672"/>
  <c r="AK28" i="672" s="1"/>
  <c r="V27" i="672"/>
  <c r="V26" i="672"/>
  <c r="V25" i="672"/>
  <c r="AK25" i="672" s="1"/>
  <c r="V24" i="672"/>
  <c r="AK24" i="672" s="1"/>
  <c r="V23" i="672"/>
  <c r="AK23" i="672" s="1"/>
  <c r="V22" i="672"/>
  <c r="V21" i="672"/>
  <c r="AK21" i="672" s="1"/>
  <c r="V20" i="672"/>
  <c r="AK20" i="672" s="1"/>
  <c r="V19" i="672"/>
  <c r="AK19" i="672" s="1"/>
  <c r="V18" i="672"/>
  <c r="AK18" i="672" s="1"/>
  <c r="V17" i="672"/>
  <c r="AK17" i="672" s="1"/>
  <c r="V16" i="672"/>
  <c r="AK16" i="672" s="1"/>
  <c r="V15" i="672"/>
  <c r="AK15" i="672" s="1"/>
  <c r="T37" i="672"/>
  <c r="AK22" i="672"/>
  <c r="AK26" i="672"/>
  <c r="AK27" i="672"/>
  <c r="V14" i="672"/>
  <c r="AK14" i="672" s="1"/>
  <c r="V13" i="672"/>
  <c r="AJ13" i="672"/>
  <c r="V35" i="672"/>
  <c r="AK35" i="672" s="1"/>
  <c r="V36" i="672"/>
  <c r="AK36" i="672" s="1"/>
  <c r="K13" i="672"/>
  <c r="U13" i="672"/>
  <c r="K14" i="672"/>
  <c r="K15" i="672"/>
  <c r="K16" i="672"/>
  <c r="K17" i="672"/>
  <c r="K18" i="672"/>
  <c r="K19" i="672"/>
  <c r="K20" i="672"/>
  <c r="K21" i="672"/>
  <c r="K22" i="672"/>
  <c r="K23" i="672"/>
  <c r="K24" i="672"/>
  <c r="K25" i="672"/>
  <c r="K26" i="672"/>
  <c r="K27" i="672"/>
  <c r="K28" i="672"/>
  <c r="K29" i="672"/>
  <c r="K30" i="672"/>
  <c r="K31" i="672"/>
  <c r="K32" i="672"/>
  <c r="V33" i="672"/>
  <c r="AK33" i="672" s="1"/>
  <c r="M34" i="672"/>
  <c r="M35" i="672"/>
  <c r="M36" i="672"/>
  <c r="U34" i="672"/>
  <c r="AI11" i="671"/>
  <c r="AI8" i="671" s="1"/>
  <c r="S11" i="671"/>
  <c r="T13" i="671" s="1"/>
  <c r="AU37" i="671"/>
  <c r="AS37" i="671"/>
  <c r="AT36" i="671"/>
  <c r="AJ36" i="671"/>
  <c r="X36" i="671"/>
  <c r="T36" i="671"/>
  <c r="L36" i="671"/>
  <c r="M36" i="671" s="1"/>
  <c r="K36" i="671"/>
  <c r="H36" i="671"/>
  <c r="E36" i="671"/>
  <c r="AT35" i="671"/>
  <c r="AJ35" i="671"/>
  <c r="X35" i="671"/>
  <c r="T35" i="671"/>
  <c r="L35" i="671"/>
  <c r="M35" i="671" s="1"/>
  <c r="H35" i="671"/>
  <c r="E35" i="671"/>
  <c r="AZ34" i="671"/>
  <c r="AJ34" i="671"/>
  <c r="X34" i="671"/>
  <c r="T34" i="671"/>
  <c r="L34" i="671"/>
  <c r="M34" i="671" s="1"/>
  <c r="H34" i="671"/>
  <c r="E34" i="671"/>
  <c r="AJ33" i="671"/>
  <c r="X33" i="671"/>
  <c r="T33" i="671"/>
  <c r="L33" i="671"/>
  <c r="K33" i="671" s="1"/>
  <c r="H33" i="671"/>
  <c r="E33" i="671"/>
  <c r="AJ32" i="671"/>
  <c r="X32" i="671"/>
  <c r="T32" i="671"/>
  <c r="L32" i="671"/>
  <c r="M32" i="671" s="1"/>
  <c r="H32" i="671"/>
  <c r="E32" i="671"/>
  <c r="AT31" i="671"/>
  <c r="AJ31" i="671"/>
  <c r="X31" i="671"/>
  <c r="T31" i="671"/>
  <c r="L31" i="671"/>
  <c r="M31" i="671" s="1"/>
  <c r="H31" i="671"/>
  <c r="E31" i="671"/>
  <c r="AT30" i="671"/>
  <c r="AJ30" i="671"/>
  <c r="X30" i="671"/>
  <c r="T30" i="671"/>
  <c r="L30" i="671"/>
  <c r="M30" i="671" s="1"/>
  <c r="H30" i="671"/>
  <c r="E30" i="671"/>
  <c r="AT29" i="671"/>
  <c r="AJ29" i="671"/>
  <c r="X29" i="671"/>
  <c r="T29" i="671"/>
  <c r="L29" i="671"/>
  <c r="M29" i="671" s="1"/>
  <c r="H29" i="671"/>
  <c r="E29" i="671"/>
  <c r="AT28" i="671"/>
  <c r="AJ28" i="671"/>
  <c r="X28" i="671"/>
  <c r="T28" i="671"/>
  <c r="L28" i="671"/>
  <c r="M28" i="671" s="1"/>
  <c r="H28" i="671"/>
  <c r="E28" i="671"/>
  <c r="AT27" i="671"/>
  <c r="AJ27" i="671"/>
  <c r="X27" i="671"/>
  <c r="T27" i="671"/>
  <c r="L27" i="671"/>
  <c r="M27" i="671" s="1"/>
  <c r="H27" i="671"/>
  <c r="E27" i="671"/>
  <c r="AT26" i="671"/>
  <c r="AJ26" i="671"/>
  <c r="X26" i="671"/>
  <c r="T26" i="671"/>
  <c r="L26" i="671"/>
  <c r="M26" i="671" s="1"/>
  <c r="H26" i="671"/>
  <c r="E26" i="671"/>
  <c r="AT25" i="671"/>
  <c r="AJ25" i="671"/>
  <c r="X25" i="671"/>
  <c r="T25" i="671"/>
  <c r="L25" i="671"/>
  <c r="M25" i="671" s="1"/>
  <c r="H25" i="671"/>
  <c r="E25" i="671"/>
  <c r="AT24" i="671"/>
  <c r="AJ24" i="671"/>
  <c r="X24" i="671"/>
  <c r="T24" i="671"/>
  <c r="L24" i="671"/>
  <c r="M24" i="671" s="1"/>
  <c r="H24" i="671"/>
  <c r="E24" i="671"/>
  <c r="AT23" i="671"/>
  <c r="AJ23" i="671"/>
  <c r="X23" i="671"/>
  <c r="T23" i="671"/>
  <c r="L23" i="671"/>
  <c r="M23" i="671" s="1"/>
  <c r="H23" i="671"/>
  <c r="AT22" i="671"/>
  <c r="AJ22" i="671"/>
  <c r="X22" i="671"/>
  <c r="T22" i="671"/>
  <c r="L22" i="671"/>
  <c r="M22" i="671" s="1"/>
  <c r="H22" i="671"/>
  <c r="E22" i="671"/>
  <c r="AT21" i="671"/>
  <c r="AJ21" i="671"/>
  <c r="X21" i="671"/>
  <c r="T21" i="671"/>
  <c r="L21" i="671"/>
  <c r="M21" i="671" s="1"/>
  <c r="H21" i="671"/>
  <c r="AT20" i="671"/>
  <c r="AJ20" i="671"/>
  <c r="X20" i="671"/>
  <c r="T20" i="671"/>
  <c r="L20" i="671"/>
  <c r="M20" i="671" s="1"/>
  <c r="H20" i="671"/>
  <c r="E20" i="671"/>
  <c r="AT19" i="671"/>
  <c r="AJ19" i="671"/>
  <c r="X19" i="671"/>
  <c r="T19" i="671"/>
  <c r="L19" i="671"/>
  <c r="M19" i="671" s="1"/>
  <c r="H19" i="671"/>
  <c r="E19" i="671"/>
  <c r="AT18" i="671"/>
  <c r="AJ18" i="671"/>
  <c r="X18" i="671"/>
  <c r="T18" i="671"/>
  <c r="L18" i="671"/>
  <c r="K18" i="671" s="1"/>
  <c r="H18" i="671"/>
  <c r="E18" i="671"/>
  <c r="AT17" i="671"/>
  <c r="AJ17" i="671"/>
  <c r="X17" i="671"/>
  <c r="T17" i="671"/>
  <c r="L17" i="671"/>
  <c r="K17" i="671" s="1"/>
  <c r="H17" i="671"/>
  <c r="E17" i="671"/>
  <c r="AT16" i="671"/>
  <c r="AJ16" i="671"/>
  <c r="X16" i="671"/>
  <c r="T16" i="671"/>
  <c r="L16" i="671"/>
  <c r="K16" i="671" s="1"/>
  <c r="H16" i="671"/>
  <c r="E16" i="671"/>
  <c r="AT15" i="671"/>
  <c r="AJ15" i="671"/>
  <c r="X15" i="671"/>
  <c r="T15" i="671"/>
  <c r="L15" i="671"/>
  <c r="M15" i="671" s="1"/>
  <c r="H15" i="671"/>
  <c r="E15" i="671"/>
  <c r="AT14" i="671"/>
  <c r="AJ14" i="671"/>
  <c r="X14" i="671"/>
  <c r="T14" i="671"/>
  <c r="L14" i="671"/>
  <c r="M14" i="671" s="1"/>
  <c r="H14" i="671"/>
  <c r="E14" i="671"/>
  <c r="AT13" i="671"/>
  <c r="X13" i="671"/>
  <c r="L13" i="671"/>
  <c r="M13" i="671" s="1"/>
  <c r="H13" i="671"/>
  <c r="E13" i="671"/>
  <c r="K34" i="671" l="1"/>
  <c r="U16" i="671"/>
  <c r="U20" i="671"/>
  <c r="U26" i="671"/>
  <c r="U30" i="671"/>
  <c r="U33" i="671"/>
  <c r="U15" i="671"/>
  <c r="U19" i="671"/>
  <c r="U22" i="671"/>
  <c r="U25" i="671"/>
  <c r="U29" i="671"/>
  <c r="U14" i="671"/>
  <c r="U18" i="671"/>
  <c r="U21" i="671"/>
  <c r="U24" i="671"/>
  <c r="U28" i="671"/>
  <c r="U32" i="671"/>
  <c r="V35" i="671"/>
  <c r="AK35" i="671" s="1"/>
  <c r="V36" i="671"/>
  <c r="AT37" i="671"/>
  <c r="U17" i="671"/>
  <c r="U23" i="671"/>
  <c r="U27" i="671"/>
  <c r="U31" i="671"/>
  <c r="V34" i="671"/>
  <c r="AK37" i="673"/>
  <c r="V37" i="672"/>
  <c r="U37" i="672"/>
  <c r="K35" i="671"/>
  <c r="AK13" i="672"/>
  <c r="AJ37" i="672"/>
  <c r="V15" i="671"/>
  <c r="AK15" i="671" s="1"/>
  <c r="V16" i="671"/>
  <c r="AK16" i="671" s="1"/>
  <c r="V17" i="671"/>
  <c r="AK17" i="671" s="1"/>
  <c r="V18" i="671"/>
  <c r="AK18" i="671" s="1"/>
  <c r="V19" i="671"/>
  <c r="AK19" i="671" s="1"/>
  <c r="V20" i="671"/>
  <c r="AK20" i="671" s="1"/>
  <c r="V21" i="671"/>
  <c r="AK21" i="671" s="1"/>
  <c r="V22" i="671"/>
  <c r="AK22" i="671" s="1"/>
  <c r="V23" i="671"/>
  <c r="AK23" i="671" s="1"/>
  <c r="V24" i="671"/>
  <c r="AK24" i="671" s="1"/>
  <c r="V25" i="671"/>
  <c r="AK25" i="671" s="1"/>
  <c r="V26" i="671"/>
  <c r="AK26" i="671" s="1"/>
  <c r="V27" i="671"/>
  <c r="AK27" i="671" s="1"/>
  <c r="V28" i="671"/>
  <c r="AK28" i="671" s="1"/>
  <c r="V29" i="671"/>
  <c r="AK29" i="671" s="1"/>
  <c r="V30" i="671"/>
  <c r="AK30" i="671" s="1"/>
  <c r="V31" i="671"/>
  <c r="AK31" i="671" s="1"/>
  <c r="V32" i="671"/>
  <c r="AK32" i="671" s="1"/>
  <c r="V14" i="671"/>
  <c r="AK14" i="671" s="1"/>
  <c r="T37" i="671"/>
  <c r="V13" i="671"/>
  <c r="M33" i="671"/>
  <c r="AK34" i="671"/>
  <c r="AK36" i="671"/>
  <c r="M16" i="671"/>
  <c r="M17" i="671"/>
  <c r="M18" i="671"/>
  <c r="AJ13" i="671"/>
  <c r="K13" i="671"/>
  <c r="U13" i="671"/>
  <c r="K14" i="671"/>
  <c r="K15" i="671"/>
  <c r="K19" i="671"/>
  <c r="K20" i="671"/>
  <c r="K21" i="671"/>
  <c r="K22" i="671"/>
  <c r="K23" i="671"/>
  <c r="K24" i="671"/>
  <c r="K25" i="671"/>
  <c r="K26" i="671"/>
  <c r="K27" i="671"/>
  <c r="K28" i="671"/>
  <c r="K29" i="671"/>
  <c r="K30" i="671"/>
  <c r="K31" i="671"/>
  <c r="K32" i="671"/>
  <c r="V33" i="671"/>
  <c r="AK33" i="671" s="1"/>
  <c r="U34" i="671"/>
  <c r="U35" i="671"/>
  <c r="U36" i="671"/>
  <c r="H24" i="670"/>
  <c r="AK37" i="672" l="1"/>
  <c r="V37" i="671"/>
  <c r="U37" i="671"/>
  <c r="AJ37" i="671"/>
  <c r="AK13" i="671"/>
  <c r="AK37" i="671" l="1"/>
  <c r="AI11" i="670"/>
  <c r="S11" i="670"/>
  <c r="AU37" i="670"/>
  <c r="AS37" i="670"/>
  <c r="AT36" i="670"/>
  <c r="AJ36" i="670"/>
  <c r="X36" i="670"/>
  <c r="T36" i="670"/>
  <c r="L36" i="670"/>
  <c r="M36" i="670" s="1"/>
  <c r="H36" i="670"/>
  <c r="E36" i="670"/>
  <c r="AT35" i="670"/>
  <c r="AJ35" i="670"/>
  <c r="X35" i="670"/>
  <c r="T35" i="670"/>
  <c r="L35" i="670"/>
  <c r="M35" i="670" s="1"/>
  <c r="H35" i="670"/>
  <c r="E35" i="670"/>
  <c r="AZ34" i="670"/>
  <c r="AJ34" i="670"/>
  <c r="X34" i="670"/>
  <c r="T34" i="670"/>
  <c r="L34" i="670"/>
  <c r="M34" i="670" s="1"/>
  <c r="H34" i="670"/>
  <c r="E34" i="670"/>
  <c r="AJ33" i="670"/>
  <c r="X33" i="670"/>
  <c r="T33" i="670"/>
  <c r="L33" i="670"/>
  <c r="M33" i="670" s="1"/>
  <c r="H33" i="670"/>
  <c r="E33" i="670"/>
  <c r="AJ32" i="670"/>
  <c r="X32" i="670"/>
  <c r="T32" i="670"/>
  <c r="L32" i="670"/>
  <c r="M32" i="670" s="1"/>
  <c r="H32" i="670"/>
  <c r="E32" i="670"/>
  <c r="AT31" i="670"/>
  <c r="AJ31" i="670"/>
  <c r="X31" i="670"/>
  <c r="T31" i="670"/>
  <c r="L31" i="670"/>
  <c r="M31" i="670" s="1"/>
  <c r="H31" i="670"/>
  <c r="E31" i="670"/>
  <c r="AT30" i="670"/>
  <c r="AJ30" i="670"/>
  <c r="X30" i="670"/>
  <c r="T30" i="670"/>
  <c r="L30" i="670"/>
  <c r="M30" i="670" s="1"/>
  <c r="H30" i="670"/>
  <c r="E30" i="670"/>
  <c r="AT29" i="670"/>
  <c r="AJ29" i="670"/>
  <c r="X29" i="670"/>
  <c r="T29" i="670"/>
  <c r="L29" i="670"/>
  <c r="M29" i="670" s="1"/>
  <c r="H29" i="670"/>
  <c r="E29" i="670"/>
  <c r="AT28" i="670"/>
  <c r="AJ28" i="670"/>
  <c r="X28" i="670"/>
  <c r="T28" i="670"/>
  <c r="L28" i="670"/>
  <c r="M28" i="670" s="1"/>
  <c r="H28" i="670"/>
  <c r="E28" i="670"/>
  <c r="AT27" i="670"/>
  <c r="AJ27" i="670"/>
  <c r="X27" i="670"/>
  <c r="T27" i="670"/>
  <c r="L27" i="670"/>
  <c r="M27" i="670" s="1"/>
  <c r="H27" i="670"/>
  <c r="E27" i="670"/>
  <c r="AT26" i="670"/>
  <c r="AJ26" i="670"/>
  <c r="X26" i="670"/>
  <c r="T26" i="670"/>
  <c r="L26" i="670"/>
  <c r="M26" i="670" s="1"/>
  <c r="H26" i="670"/>
  <c r="E26" i="670"/>
  <c r="AT25" i="670"/>
  <c r="AJ25" i="670"/>
  <c r="X25" i="670"/>
  <c r="T25" i="670"/>
  <c r="L25" i="670"/>
  <c r="M25" i="670" s="1"/>
  <c r="H25" i="670"/>
  <c r="E25" i="670"/>
  <c r="AT24" i="670"/>
  <c r="AJ24" i="670"/>
  <c r="X24" i="670"/>
  <c r="T24" i="670"/>
  <c r="L24" i="670"/>
  <c r="M24" i="670" s="1"/>
  <c r="E24" i="670"/>
  <c r="AT23" i="670"/>
  <c r="AJ23" i="670"/>
  <c r="X23" i="670"/>
  <c r="T23" i="670"/>
  <c r="L23" i="670"/>
  <c r="M23" i="670" s="1"/>
  <c r="H23" i="670"/>
  <c r="E23" i="670"/>
  <c r="AT22" i="670"/>
  <c r="AJ22" i="670"/>
  <c r="X22" i="670"/>
  <c r="T22" i="670"/>
  <c r="L22" i="670"/>
  <c r="M22" i="670" s="1"/>
  <c r="H22" i="670"/>
  <c r="E22" i="670"/>
  <c r="AT21" i="670"/>
  <c r="AJ21" i="670"/>
  <c r="X21" i="670"/>
  <c r="T21" i="670"/>
  <c r="L21" i="670"/>
  <c r="M21" i="670" s="1"/>
  <c r="H21" i="670"/>
  <c r="E21" i="670"/>
  <c r="AT20" i="670"/>
  <c r="AJ20" i="670"/>
  <c r="X20" i="670"/>
  <c r="T20" i="670"/>
  <c r="L20" i="670"/>
  <c r="M20" i="670" s="1"/>
  <c r="H20" i="670"/>
  <c r="E20" i="670"/>
  <c r="AT19" i="670"/>
  <c r="AJ19" i="670"/>
  <c r="X19" i="670"/>
  <c r="T19" i="670"/>
  <c r="L19" i="670"/>
  <c r="M19" i="670" s="1"/>
  <c r="H19" i="670"/>
  <c r="E19" i="670"/>
  <c r="AT18" i="670"/>
  <c r="AJ18" i="670"/>
  <c r="X18" i="670"/>
  <c r="T18" i="670"/>
  <c r="L18" i="670"/>
  <c r="M18" i="670" s="1"/>
  <c r="H18" i="670"/>
  <c r="E18" i="670"/>
  <c r="AT17" i="670"/>
  <c r="AJ17" i="670"/>
  <c r="X17" i="670"/>
  <c r="T17" i="670"/>
  <c r="L17" i="670"/>
  <c r="M17" i="670" s="1"/>
  <c r="H17" i="670"/>
  <c r="E17" i="670"/>
  <c r="AT16" i="670"/>
  <c r="AJ16" i="670"/>
  <c r="X16" i="670"/>
  <c r="T16" i="670"/>
  <c r="L16" i="670"/>
  <c r="M16" i="670" s="1"/>
  <c r="H16" i="670"/>
  <c r="E16" i="670"/>
  <c r="AT15" i="670"/>
  <c r="AJ15" i="670"/>
  <c r="X15" i="670"/>
  <c r="T15" i="670"/>
  <c r="L15" i="670"/>
  <c r="M15" i="670" s="1"/>
  <c r="H15" i="670"/>
  <c r="E15" i="670"/>
  <c r="AT14" i="670"/>
  <c r="AJ14" i="670"/>
  <c r="X14" i="670"/>
  <c r="T14" i="670"/>
  <c r="L14" i="670"/>
  <c r="M14" i="670" s="1"/>
  <c r="H14" i="670"/>
  <c r="E14" i="670"/>
  <c r="AT13" i="670"/>
  <c r="X13" i="670"/>
  <c r="T13" i="670"/>
  <c r="L13" i="670"/>
  <c r="K13" i="670" s="1"/>
  <c r="H13" i="670"/>
  <c r="E13" i="670"/>
  <c r="AI8" i="670"/>
  <c r="K36" i="670" l="1"/>
  <c r="AT37" i="670"/>
  <c r="K35" i="670"/>
  <c r="U15" i="670"/>
  <c r="U19" i="670"/>
  <c r="U23" i="670"/>
  <c r="U26" i="670"/>
  <c r="U30" i="670"/>
  <c r="V35" i="670"/>
  <c r="V36" i="670"/>
  <c r="U18" i="670"/>
  <c r="U22" i="670"/>
  <c r="U25" i="670"/>
  <c r="U29" i="670"/>
  <c r="U33" i="670"/>
  <c r="U14" i="670"/>
  <c r="U17" i="670"/>
  <c r="U21" i="670"/>
  <c r="U24" i="670"/>
  <c r="U28" i="670"/>
  <c r="U32" i="670"/>
  <c r="U16" i="670"/>
  <c r="U20" i="670"/>
  <c r="U27" i="670"/>
  <c r="U31" i="670"/>
  <c r="K33" i="670"/>
  <c r="V34" i="670"/>
  <c r="AK34" i="670" s="1"/>
  <c r="K34" i="670"/>
  <c r="V32" i="670"/>
  <c r="AK32" i="670" s="1"/>
  <c r="V31" i="670"/>
  <c r="AK31" i="670" s="1"/>
  <c r="V30" i="670"/>
  <c r="AK30" i="670" s="1"/>
  <c r="V29" i="670"/>
  <c r="AK29" i="670" s="1"/>
  <c r="V28" i="670"/>
  <c r="V27" i="670"/>
  <c r="AK27" i="670" s="1"/>
  <c r="V26" i="670"/>
  <c r="AK26" i="670" s="1"/>
  <c r="V25" i="670"/>
  <c r="AK25" i="670" s="1"/>
  <c r="V24" i="670"/>
  <c r="AK24" i="670" s="1"/>
  <c r="V23" i="670"/>
  <c r="AK23" i="670" s="1"/>
  <c r="V22" i="670"/>
  <c r="AK22" i="670" s="1"/>
  <c r="V21" i="670"/>
  <c r="AK21" i="670" s="1"/>
  <c r="V20" i="670"/>
  <c r="AK20" i="670" s="1"/>
  <c r="V19" i="670"/>
  <c r="AK19" i="670" s="1"/>
  <c r="V18" i="670"/>
  <c r="AK18" i="670" s="1"/>
  <c r="V17" i="670"/>
  <c r="AK17" i="670" s="1"/>
  <c r="V16" i="670"/>
  <c r="AK16" i="670" s="1"/>
  <c r="V15" i="670"/>
  <c r="AK15" i="670" s="1"/>
  <c r="V14" i="670"/>
  <c r="AK14" i="670" s="1"/>
  <c r="T37" i="670"/>
  <c r="V13" i="670"/>
  <c r="AK35" i="670"/>
  <c r="AK36" i="670"/>
  <c r="M13" i="670"/>
  <c r="AJ13" i="670"/>
  <c r="U13" i="670"/>
  <c r="K14" i="670"/>
  <c r="K15" i="670"/>
  <c r="K16" i="670"/>
  <c r="K17" i="670"/>
  <c r="K18" i="670"/>
  <c r="K19" i="670"/>
  <c r="K20" i="670"/>
  <c r="K21" i="670"/>
  <c r="K22" i="670"/>
  <c r="K23" i="670"/>
  <c r="K24" i="670"/>
  <c r="K25" i="670"/>
  <c r="K26" i="670"/>
  <c r="K27" i="670"/>
  <c r="K28" i="670"/>
  <c r="AK28" i="670"/>
  <c r="K29" i="670"/>
  <c r="K30" i="670"/>
  <c r="K31" i="670"/>
  <c r="K32" i="670"/>
  <c r="V33" i="670"/>
  <c r="AK33" i="670" s="1"/>
  <c r="U34" i="670"/>
  <c r="U35" i="670"/>
  <c r="U36" i="670"/>
  <c r="U37" i="670" l="1"/>
  <c r="V37" i="670"/>
  <c r="AJ37" i="670"/>
  <c r="AK13" i="670"/>
  <c r="AK37" i="670" l="1"/>
  <c r="AI11" i="669" l="1"/>
  <c r="AJ13" i="669" s="1"/>
  <c r="S11" i="669"/>
  <c r="T13" i="669" s="1"/>
  <c r="AU37" i="669"/>
  <c r="AS37" i="669"/>
  <c r="AT36" i="669"/>
  <c r="AJ36" i="669"/>
  <c r="X36" i="669"/>
  <c r="T36" i="669"/>
  <c r="L36" i="669"/>
  <c r="M36" i="669" s="1"/>
  <c r="H36" i="669"/>
  <c r="E36" i="669"/>
  <c r="AT35" i="669"/>
  <c r="AJ35" i="669"/>
  <c r="X35" i="669"/>
  <c r="T35" i="669"/>
  <c r="L35" i="669"/>
  <c r="M35" i="669" s="1"/>
  <c r="H35" i="669"/>
  <c r="E35" i="669"/>
  <c r="AZ34" i="669"/>
  <c r="AJ34" i="669"/>
  <c r="X34" i="669"/>
  <c r="T34" i="669"/>
  <c r="L34" i="669"/>
  <c r="M34" i="669" s="1"/>
  <c r="H34" i="669"/>
  <c r="E34" i="669"/>
  <c r="AJ33" i="669"/>
  <c r="X33" i="669"/>
  <c r="T33" i="669"/>
  <c r="L33" i="669"/>
  <c r="K33" i="669" s="1"/>
  <c r="H33" i="669"/>
  <c r="E33" i="669"/>
  <c r="AJ32" i="669"/>
  <c r="X32" i="669"/>
  <c r="T32" i="669"/>
  <c r="L32" i="669"/>
  <c r="M32" i="669" s="1"/>
  <c r="H32" i="669"/>
  <c r="E32" i="669"/>
  <c r="AT31" i="669"/>
  <c r="AJ31" i="669"/>
  <c r="X31" i="669"/>
  <c r="T31" i="669"/>
  <c r="L31" i="669"/>
  <c r="M31" i="669" s="1"/>
  <c r="H31" i="669"/>
  <c r="E31" i="669"/>
  <c r="AT30" i="669"/>
  <c r="AJ30" i="669"/>
  <c r="X30" i="669"/>
  <c r="T30" i="669"/>
  <c r="L30" i="669"/>
  <c r="M30" i="669" s="1"/>
  <c r="H30" i="669"/>
  <c r="E30" i="669"/>
  <c r="AT29" i="669"/>
  <c r="AJ29" i="669"/>
  <c r="X29" i="669"/>
  <c r="T29" i="669"/>
  <c r="L29" i="669"/>
  <c r="M29" i="669" s="1"/>
  <c r="H29" i="669"/>
  <c r="E29" i="669"/>
  <c r="AT28" i="669"/>
  <c r="AJ28" i="669"/>
  <c r="X28" i="669"/>
  <c r="T28" i="669"/>
  <c r="L28" i="669"/>
  <c r="M28" i="669" s="1"/>
  <c r="H28" i="669"/>
  <c r="E28" i="669"/>
  <c r="AT27" i="669"/>
  <c r="AJ27" i="669"/>
  <c r="X27" i="669"/>
  <c r="T27" i="669"/>
  <c r="L27" i="669"/>
  <c r="M27" i="669" s="1"/>
  <c r="H27" i="669"/>
  <c r="E27" i="669"/>
  <c r="AT26" i="669"/>
  <c r="AJ26" i="669"/>
  <c r="X26" i="669"/>
  <c r="T26" i="669"/>
  <c r="L26" i="669"/>
  <c r="M26" i="669" s="1"/>
  <c r="H26" i="669"/>
  <c r="E26" i="669"/>
  <c r="AT25" i="669"/>
  <c r="AJ25" i="669"/>
  <c r="X25" i="669"/>
  <c r="T25" i="669"/>
  <c r="L25" i="669"/>
  <c r="M25" i="669" s="1"/>
  <c r="H25" i="669"/>
  <c r="E25" i="669"/>
  <c r="AT24" i="669"/>
  <c r="AJ24" i="669"/>
  <c r="X24" i="669"/>
  <c r="T24" i="669"/>
  <c r="L24" i="669"/>
  <c r="M24" i="669" s="1"/>
  <c r="H24" i="669"/>
  <c r="E24" i="669"/>
  <c r="AT23" i="669"/>
  <c r="AJ23" i="669"/>
  <c r="X23" i="669"/>
  <c r="T23" i="669"/>
  <c r="L23" i="669"/>
  <c r="M23" i="669" s="1"/>
  <c r="H23" i="669"/>
  <c r="E23" i="669"/>
  <c r="AT22" i="669"/>
  <c r="AJ22" i="669"/>
  <c r="X22" i="669"/>
  <c r="T22" i="669"/>
  <c r="L22" i="669"/>
  <c r="M22" i="669" s="1"/>
  <c r="H22" i="669"/>
  <c r="E22" i="669"/>
  <c r="AT21" i="669"/>
  <c r="AJ21" i="669"/>
  <c r="X21" i="669"/>
  <c r="T21" i="669"/>
  <c r="L21" i="669"/>
  <c r="M21" i="669" s="1"/>
  <c r="H21" i="669"/>
  <c r="E21" i="669"/>
  <c r="AT20" i="669"/>
  <c r="AJ20" i="669"/>
  <c r="X20" i="669"/>
  <c r="T20" i="669"/>
  <c r="L20" i="669"/>
  <c r="M20" i="669" s="1"/>
  <c r="H20" i="669"/>
  <c r="E20" i="669"/>
  <c r="AT19" i="669"/>
  <c r="AJ19" i="669"/>
  <c r="X19" i="669"/>
  <c r="T19" i="669"/>
  <c r="L19" i="669"/>
  <c r="M19" i="669" s="1"/>
  <c r="H19" i="669"/>
  <c r="E19" i="669"/>
  <c r="AT18" i="669"/>
  <c r="AJ18" i="669"/>
  <c r="X18" i="669"/>
  <c r="T18" i="669"/>
  <c r="L18" i="669"/>
  <c r="M18" i="669" s="1"/>
  <c r="H18" i="669"/>
  <c r="E18" i="669"/>
  <c r="AT17" i="669"/>
  <c r="AJ17" i="669"/>
  <c r="X17" i="669"/>
  <c r="T17" i="669"/>
  <c r="L17" i="669"/>
  <c r="M17" i="669" s="1"/>
  <c r="H17" i="669"/>
  <c r="E17" i="669"/>
  <c r="AT16" i="669"/>
  <c r="AJ16" i="669"/>
  <c r="X16" i="669"/>
  <c r="T16" i="669"/>
  <c r="L16" i="669"/>
  <c r="M16" i="669" s="1"/>
  <c r="H16" i="669"/>
  <c r="E16" i="669"/>
  <c r="AT15" i="669"/>
  <c r="AJ15" i="669"/>
  <c r="X15" i="669"/>
  <c r="T15" i="669"/>
  <c r="L15" i="669"/>
  <c r="M15" i="669" s="1"/>
  <c r="H15" i="669"/>
  <c r="E15" i="669"/>
  <c r="AT14" i="669"/>
  <c r="AJ14" i="669"/>
  <c r="X14" i="669"/>
  <c r="T14" i="669"/>
  <c r="L14" i="669"/>
  <c r="M14" i="669" s="1"/>
  <c r="H14" i="669"/>
  <c r="E14" i="669"/>
  <c r="AT13" i="669"/>
  <c r="X13" i="669"/>
  <c r="L13" i="669"/>
  <c r="M13" i="669" s="1"/>
  <c r="H13" i="669"/>
  <c r="E13" i="669"/>
  <c r="H25" i="668"/>
  <c r="E21" i="668"/>
  <c r="AT37" i="669" l="1"/>
  <c r="K36" i="669"/>
  <c r="U15" i="669"/>
  <c r="U19" i="669"/>
  <c r="U23" i="669"/>
  <c r="U27" i="669"/>
  <c r="U14" i="669"/>
  <c r="U18" i="669"/>
  <c r="U22" i="669"/>
  <c r="U26" i="669"/>
  <c r="U17" i="669"/>
  <c r="U21" i="669"/>
  <c r="U25" i="669"/>
  <c r="K34" i="669"/>
  <c r="U16" i="669"/>
  <c r="U20" i="669"/>
  <c r="U24" i="669"/>
  <c r="U28" i="669"/>
  <c r="U36" i="669"/>
  <c r="K35" i="669"/>
  <c r="U35" i="669"/>
  <c r="U34" i="669"/>
  <c r="V33" i="669"/>
  <c r="AK33" i="669" s="1"/>
  <c r="U32" i="669"/>
  <c r="U29" i="669"/>
  <c r="U31" i="669"/>
  <c r="U30" i="669"/>
  <c r="V15" i="669"/>
  <c r="AK15" i="669" s="1"/>
  <c r="V16" i="669"/>
  <c r="AK16" i="669" s="1"/>
  <c r="V17" i="669"/>
  <c r="AK17" i="669" s="1"/>
  <c r="V18" i="669"/>
  <c r="AK18" i="669" s="1"/>
  <c r="V19" i="669"/>
  <c r="AK19" i="669" s="1"/>
  <c r="V20" i="669"/>
  <c r="AK20" i="669" s="1"/>
  <c r="V21" i="669"/>
  <c r="AK21" i="669" s="1"/>
  <c r="V22" i="669"/>
  <c r="AK22" i="669" s="1"/>
  <c r="V23" i="669"/>
  <c r="AK23" i="669" s="1"/>
  <c r="V24" i="669"/>
  <c r="AK24" i="669" s="1"/>
  <c r="V25" i="669"/>
  <c r="AK25" i="669" s="1"/>
  <c r="V26" i="669"/>
  <c r="AK26" i="669" s="1"/>
  <c r="V27" i="669"/>
  <c r="AK27" i="669" s="1"/>
  <c r="V28" i="669"/>
  <c r="AK28" i="669" s="1"/>
  <c r="V29" i="669"/>
  <c r="AK29" i="669" s="1"/>
  <c r="V30" i="669"/>
  <c r="AK30" i="669" s="1"/>
  <c r="V31" i="669"/>
  <c r="AK31" i="669" s="1"/>
  <c r="V32" i="669"/>
  <c r="AK32" i="669" s="1"/>
  <c r="V14" i="669"/>
  <c r="AK14" i="669" s="1"/>
  <c r="T37" i="669"/>
  <c r="V13" i="669"/>
  <c r="AK13" i="669" s="1"/>
  <c r="M33" i="669"/>
  <c r="AJ37" i="669"/>
  <c r="AI8" i="669"/>
  <c r="U33" i="669"/>
  <c r="V34" i="669"/>
  <c r="AK34" i="669" s="1"/>
  <c r="V35" i="669"/>
  <c r="AK35" i="669" s="1"/>
  <c r="V36" i="669"/>
  <c r="AK36" i="669" s="1"/>
  <c r="K13" i="669"/>
  <c r="U13" i="669"/>
  <c r="K14" i="669"/>
  <c r="K15" i="669"/>
  <c r="K16" i="669"/>
  <c r="K17" i="669"/>
  <c r="K18" i="669"/>
  <c r="K19" i="669"/>
  <c r="K20" i="669"/>
  <c r="K21" i="669"/>
  <c r="K22" i="669"/>
  <c r="K23" i="669"/>
  <c r="K24" i="669"/>
  <c r="K25" i="669"/>
  <c r="K26" i="669"/>
  <c r="K27" i="669"/>
  <c r="K28" i="669"/>
  <c r="K29" i="669"/>
  <c r="K30" i="669"/>
  <c r="K31" i="669"/>
  <c r="K32" i="669"/>
  <c r="V37" i="669" l="1"/>
  <c r="AK37" i="669" s="1"/>
  <c r="U37" i="669"/>
  <c r="E19" i="668" l="1"/>
  <c r="AI11" i="668" l="1"/>
  <c r="AJ13" i="668" s="1"/>
  <c r="S11" i="668"/>
  <c r="T13" i="668" s="1"/>
  <c r="AU37" i="668"/>
  <c r="AS37" i="668"/>
  <c r="AT36" i="668"/>
  <c r="AJ36" i="668"/>
  <c r="X36" i="668"/>
  <c r="T36" i="668"/>
  <c r="L36" i="668"/>
  <c r="K36" i="668" s="1"/>
  <c r="H36" i="668"/>
  <c r="E36" i="668"/>
  <c r="AT35" i="668"/>
  <c r="AJ35" i="668"/>
  <c r="X35" i="668"/>
  <c r="T35" i="668"/>
  <c r="L35" i="668"/>
  <c r="K35" i="668" s="1"/>
  <c r="H35" i="668"/>
  <c r="E35" i="668"/>
  <c r="AZ34" i="668"/>
  <c r="AJ34" i="668"/>
  <c r="X34" i="668"/>
  <c r="T34" i="668"/>
  <c r="L34" i="668"/>
  <c r="M34" i="668" s="1"/>
  <c r="H34" i="668"/>
  <c r="E34" i="668"/>
  <c r="AJ33" i="668"/>
  <c r="X33" i="668"/>
  <c r="T33" i="668"/>
  <c r="L33" i="668"/>
  <c r="K33" i="668" s="1"/>
  <c r="H33" i="668"/>
  <c r="E33" i="668"/>
  <c r="AJ32" i="668"/>
  <c r="X32" i="668"/>
  <c r="T32" i="668"/>
  <c r="L32" i="668"/>
  <c r="M32" i="668" s="1"/>
  <c r="H32" i="668"/>
  <c r="E32" i="668"/>
  <c r="AT31" i="668"/>
  <c r="AJ31" i="668"/>
  <c r="X31" i="668"/>
  <c r="T31" i="668"/>
  <c r="L31" i="668"/>
  <c r="M31" i="668" s="1"/>
  <c r="H31" i="668"/>
  <c r="E31" i="668"/>
  <c r="AT30" i="668"/>
  <c r="AJ30" i="668"/>
  <c r="X30" i="668"/>
  <c r="T30" i="668"/>
  <c r="L30" i="668"/>
  <c r="M30" i="668" s="1"/>
  <c r="H30" i="668"/>
  <c r="E30" i="668"/>
  <c r="AT29" i="668"/>
  <c r="AJ29" i="668"/>
  <c r="X29" i="668"/>
  <c r="T29" i="668"/>
  <c r="L29" i="668"/>
  <c r="M29" i="668" s="1"/>
  <c r="H29" i="668"/>
  <c r="E29" i="668"/>
  <c r="AT28" i="668"/>
  <c r="AJ28" i="668"/>
  <c r="X28" i="668"/>
  <c r="T28" i="668"/>
  <c r="L28" i="668"/>
  <c r="M28" i="668" s="1"/>
  <c r="H28" i="668"/>
  <c r="E28" i="668"/>
  <c r="AT27" i="668"/>
  <c r="AJ27" i="668"/>
  <c r="X27" i="668"/>
  <c r="T27" i="668"/>
  <c r="L27" i="668"/>
  <c r="M27" i="668" s="1"/>
  <c r="H27" i="668"/>
  <c r="E27" i="668"/>
  <c r="AT26" i="668"/>
  <c r="AJ26" i="668"/>
  <c r="X26" i="668"/>
  <c r="T26" i="668"/>
  <c r="L26" i="668"/>
  <c r="M26" i="668" s="1"/>
  <c r="H26" i="668"/>
  <c r="E26" i="668"/>
  <c r="AT25" i="668"/>
  <c r="AJ25" i="668"/>
  <c r="X25" i="668"/>
  <c r="T25" i="668"/>
  <c r="L25" i="668"/>
  <c r="M25" i="668" s="1"/>
  <c r="E25" i="668"/>
  <c r="AT24" i="668"/>
  <c r="AJ24" i="668"/>
  <c r="X24" i="668"/>
  <c r="T24" i="668"/>
  <c r="L24" i="668"/>
  <c r="M24" i="668" s="1"/>
  <c r="H24" i="668"/>
  <c r="E24" i="668"/>
  <c r="AT23" i="668"/>
  <c r="AJ23" i="668"/>
  <c r="X23" i="668"/>
  <c r="T23" i="668"/>
  <c r="L23" i="668"/>
  <c r="M23" i="668" s="1"/>
  <c r="H23" i="668"/>
  <c r="E23" i="668"/>
  <c r="AT22" i="668"/>
  <c r="AJ22" i="668"/>
  <c r="X22" i="668"/>
  <c r="T22" i="668"/>
  <c r="L22" i="668"/>
  <c r="M22" i="668" s="1"/>
  <c r="H22" i="668"/>
  <c r="E22" i="668"/>
  <c r="AT21" i="668"/>
  <c r="AJ21" i="668"/>
  <c r="X21" i="668"/>
  <c r="T21" i="668"/>
  <c r="L21" i="668"/>
  <c r="M21" i="668" s="1"/>
  <c r="H21" i="668"/>
  <c r="AT20" i="668"/>
  <c r="AJ20" i="668"/>
  <c r="X20" i="668"/>
  <c r="T20" i="668"/>
  <c r="L20" i="668"/>
  <c r="M20" i="668" s="1"/>
  <c r="H20" i="668"/>
  <c r="E20" i="668"/>
  <c r="AT19" i="668"/>
  <c r="AJ19" i="668"/>
  <c r="X19" i="668"/>
  <c r="T19" i="668"/>
  <c r="L19" i="668"/>
  <c r="M19" i="668" s="1"/>
  <c r="H19" i="668"/>
  <c r="AT18" i="668"/>
  <c r="AJ18" i="668"/>
  <c r="X18" i="668"/>
  <c r="T18" i="668"/>
  <c r="L18" i="668"/>
  <c r="M18" i="668" s="1"/>
  <c r="H18" i="668"/>
  <c r="E18" i="668"/>
  <c r="AT17" i="668"/>
  <c r="AJ17" i="668"/>
  <c r="X17" i="668"/>
  <c r="T17" i="668"/>
  <c r="L17" i="668"/>
  <c r="M17" i="668" s="1"/>
  <c r="H17" i="668"/>
  <c r="E17" i="668"/>
  <c r="AT16" i="668"/>
  <c r="AJ16" i="668"/>
  <c r="X16" i="668"/>
  <c r="T16" i="668"/>
  <c r="L16" i="668"/>
  <c r="M16" i="668" s="1"/>
  <c r="H16" i="668"/>
  <c r="E16" i="668"/>
  <c r="AT15" i="668"/>
  <c r="AJ15" i="668"/>
  <c r="X15" i="668"/>
  <c r="T15" i="668"/>
  <c r="L15" i="668"/>
  <c r="M15" i="668" s="1"/>
  <c r="H15" i="668"/>
  <c r="E15" i="668"/>
  <c r="AT14" i="668"/>
  <c r="AJ14" i="668"/>
  <c r="X14" i="668"/>
  <c r="T14" i="668"/>
  <c r="L14" i="668"/>
  <c r="M14" i="668" s="1"/>
  <c r="H14" i="668"/>
  <c r="E14" i="668"/>
  <c r="AT13" i="668"/>
  <c r="X13" i="668"/>
  <c r="L13" i="668"/>
  <c r="M13" i="668" s="1"/>
  <c r="H13" i="668"/>
  <c r="E13" i="668"/>
  <c r="U17" i="668" l="1"/>
  <c r="U20" i="668"/>
  <c r="U23" i="668"/>
  <c r="U26" i="668"/>
  <c r="U30" i="668"/>
  <c r="U33" i="668"/>
  <c r="U19" i="668"/>
  <c r="U22" i="668"/>
  <c r="U25" i="668"/>
  <c r="V29" i="668"/>
  <c r="AK29" i="668" s="1"/>
  <c r="V35" i="668"/>
  <c r="M36" i="668"/>
  <c r="U16" i="668"/>
  <c r="U15" i="668"/>
  <c r="U21" i="668"/>
  <c r="U28" i="668"/>
  <c r="U32" i="668"/>
  <c r="V34" i="668"/>
  <c r="V36" i="668"/>
  <c r="AT37" i="668"/>
  <c r="U14" i="668"/>
  <c r="U18" i="668"/>
  <c r="U24" i="668"/>
  <c r="V27" i="668"/>
  <c r="AK27" i="668" s="1"/>
  <c r="M35" i="668"/>
  <c r="V31" i="668"/>
  <c r="AK31" i="668" s="1"/>
  <c r="U31" i="668"/>
  <c r="V30" i="668"/>
  <c r="AK30" i="668" s="1"/>
  <c r="V15" i="668"/>
  <c r="AK15" i="668" s="1"/>
  <c r="V17" i="668"/>
  <c r="AK17" i="668" s="1"/>
  <c r="V19" i="668"/>
  <c r="AK19" i="668" s="1"/>
  <c r="V20" i="668"/>
  <c r="AK20" i="668" s="1"/>
  <c r="V21" i="668"/>
  <c r="AK21" i="668" s="1"/>
  <c r="V22" i="668"/>
  <c r="AK22" i="668" s="1"/>
  <c r="V24" i="668"/>
  <c r="AK24" i="668" s="1"/>
  <c r="V25" i="668"/>
  <c r="AK25" i="668" s="1"/>
  <c r="V26" i="668"/>
  <c r="AK26" i="668" s="1"/>
  <c r="U27" i="668"/>
  <c r="V14" i="668"/>
  <c r="AK14" i="668" s="1"/>
  <c r="V16" i="668"/>
  <c r="AK16" i="668" s="1"/>
  <c r="V18" i="668"/>
  <c r="AK18" i="668" s="1"/>
  <c r="V23" i="668"/>
  <c r="AK23" i="668" s="1"/>
  <c r="V28" i="668"/>
  <c r="AK28" i="668" s="1"/>
  <c r="U29" i="668"/>
  <c r="V32" i="668"/>
  <c r="AK32" i="668" s="1"/>
  <c r="AK34" i="668"/>
  <c r="T37" i="668"/>
  <c r="V13" i="668"/>
  <c r="AK13" i="668" s="1"/>
  <c r="K34" i="668"/>
  <c r="M33" i="668"/>
  <c r="AJ37" i="668"/>
  <c r="AK35" i="668"/>
  <c r="AK36" i="668"/>
  <c r="K13" i="668"/>
  <c r="U13" i="668"/>
  <c r="K14" i="668"/>
  <c r="K15" i="668"/>
  <c r="K16" i="668"/>
  <c r="K17" i="668"/>
  <c r="K18" i="668"/>
  <c r="K19" i="668"/>
  <c r="K20" i="668"/>
  <c r="K21" i="668"/>
  <c r="K22" i="668"/>
  <c r="K23" i="668"/>
  <c r="K24" i="668"/>
  <c r="K25" i="668"/>
  <c r="K26" i="668"/>
  <c r="K27" i="668"/>
  <c r="K28" i="668"/>
  <c r="K29" i="668"/>
  <c r="K30" i="668"/>
  <c r="K31" i="668"/>
  <c r="K32" i="668"/>
  <c r="V33" i="668"/>
  <c r="AK33" i="668" s="1"/>
  <c r="U34" i="668"/>
  <c r="U35" i="668"/>
  <c r="U36" i="668"/>
  <c r="AI8" i="668"/>
  <c r="V37" i="668" l="1"/>
  <c r="AK37" i="668" s="1"/>
  <c r="U37" i="668"/>
  <c r="AI11" i="667" l="1"/>
  <c r="S11" i="667"/>
  <c r="AJ13" i="667" l="1"/>
  <c r="AU37" i="667"/>
  <c r="AS37" i="667"/>
  <c r="AT36" i="667"/>
  <c r="AJ36" i="667"/>
  <c r="X36" i="667"/>
  <c r="T36" i="667"/>
  <c r="L36" i="667"/>
  <c r="K36" i="667" s="1"/>
  <c r="H36" i="667"/>
  <c r="E36" i="667"/>
  <c r="AT35" i="667"/>
  <c r="AJ35" i="667"/>
  <c r="X35" i="667"/>
  <c r="T35" i="667"/>
  <c r="L35" i="667"/>
  <c r="M35" i="667" s="1"/>
  <c r="H35" i="667"/>
  <c r="E35" i="667"/>
  <c r="AZ34" i="667"/>
  <c r="AJ34" i="667"/>
  <c r="X34" i="667"/>
  <c r="T34" i="667"/>
  <c r="L34" i="667"/>
  <c r="K34" i="667" s="1"/>
  <c r="H34" i="667"/>
  <c r="E34" i="667"/>
  <c r="AJ33" i="667"/>
  <c r="X33" i="667"/>
  <c r="T33" i="667"/>
  <c r="L33" i="667"/>
  <c r="K33" i="667" s="1"/>
  <c r="H33" i="667"/>
  <c r="E33" i="667"/>
  <c r="AJ32" i="667"/>
  <c r="X32" i="667"/>
  <c r="T32" i="667"/>
  <c r="L32" i="667"/>
  <c r="M32" i="667" s="1"/>
  <c r="H32" i="667"/>
  <c r="E32" i="667"/>
  <c r="AT31" i="667"/>
  <c r="AJ31" i="667"/>
  <c r="X31" i="667"/>
  <c r="T31" i="667"/>
  <c r="L31" i="667"/>
  <c r="M31" i="667" s="1"/>
  <c r="H31" i="667"/>
  <c r="E31" i="667"/>
  <c r="AT30" i="667"/>
  <c r="AJ30" i="667"/>
  <c r="X30" i="667"/>
  <c r="T30" i="667"/>
  <c r="L30" i="667"/>
  <c r="M30" i="667" s="1"/>
  <c r="H30" i="667"/>
  <c r="E30" i="667"/>
  <c r="AT29" i="667"/>
  <c r="AJ29" i="667"/>
  <c r="X29" i="667"/>
  <c r="T29" i="667"/>
  <c r="L29" i="667"/>
  <c r="M29" i="667" s="1"/>
  <c r="H29" i="667"/>
  <c r="E29" i="667"/>
  <c r="AT28" i="667"/>
  <c r="AJ28" i="667"/>
  <c r="X28" i="667"/>
  <c r="T28" i="667"/>
  <c r="L28" i="667"/>
  <c r="M28" i="667" s="1"/>
  <c r="H28" i="667"/>
  <c r="E28" i="667"/>
  <c r="AT27" i="667"/>
  <c r="AJ27" i="667"/>
  <c r="X27" i="667"/>
  <c r="T27" i="667"/>
  <c r="L27" i="667"/>
  <c r="M27" i="667" s="1"/>
  <c r="H27" i="667"/>
  <c r="E27" i="667"/>
  <c r="AT26" i="667"/>
  <c r="AJ26" i="667"/>
  <c r="X26" i="667"/>
  <c r="T26" i="667"/>
  <c r="L26" i="667"/>
  <c r="M26" i="667" s="1"/>
  <c r="H26" i="667"/>
  <c r="E26" i="667"/>
  <c r="AT25" i="667"/>
  <c r="AJ25" i="667"/>
  <c r="X25" i="667"/>
  <c r="T25" i="667"/>
  <c r="L25" i="667"/>
  <c r="M25" i="667" s="1"/>
  <c r="H25" i="667"/>
  <c r="E25" i="667"/>
  <c r="AT24" i="667"/>
  <c r="AJ24" i="667"/>
  <c r="X24" i="667"/>
  <c r="T24" i="667"/>
  <c r="L24" i="667"/>
  <c r="M24" i="667" s="1"/>
  <c r="H24" i="667"/>
  <c r="E24" i="667"/>
  <c r="AT23" i="667"/>
  <c r="AJ23" i="667"/>
  <c r="X23" i="667"/>
  <c r="T23" i="667"/>
  <c r="L23" i="667"/>
  <c r="M23" i="667" s="1"/>
  <c r="H23" i="667"/>
  <c r="E23" i="667"/>
  <c r="AT22" i="667"/>
  <c r="AJ22" i="667"/>
  <c r="X22" i="667"/>
  <c r="T22" i="667"/>
  <c r="L22" i="667"/>
  <c r="M22" i="667" s="1"/>
  <c r="H22" i="667"/>
  <c r="E22" i="667"/>
  <c r="AT21" i="667"/>
  <c r="AJ21" i="667"/>
  <c r="X21" i="667"/>
  <c r="T21" i="667"/>
  <c r="L21" i="667"/>
  <c r="M21" i="667" s="1"/>
  <c r="H21" i="667"/>
  <c r="E21" i="667"/>
  <c r="AT20" i="667"/>
  <c r="AJ20" i="667"/>
  <c r="X20" i="667"/>
  <c r="T20" i="667"/>
  <c r="L20" i="667"/>
  <c r="M20" i="667" s="1"/>
  <c r="H20" i="667"/>
  <c r="E20" i="667"/>
  <c r="AT19" i="667"/>
  <c r="AJ19" i="667"/>
  <c r="X19" i="667"/>
  <c r="T19" i="667"/>
  <c r="L19" i="667"/>
  <c r="M19" i="667" s="1"/>
  <c r="H19" i="667"/>
  <c r="E19" i="667"/>
  <c r="AT18" i="667"/>
  <c r="AJ18" i="667"/>
  <c r="X18" i="667"/>
  <c r="T18" i="667"/>
  <c r="L18" i="667"/>
  <c r="M18" i="667" s="1"/>
  <c r="H18" i="667"/>
  <c r="E18" i="667"/>
  <c r="AT17" i="667"/>
  <c r="AJ17" i="667"/>
  <c r="X17" i="667"/>
  <c r="T17" i="667"/>
  <c r="L17" i="667"/>
  <c r="M17" i="667" s="1"/>
  <c r="H17" i="667"/>
  <c r="E17" i="667"/>
  <c r="AT16" i="667"/>
  <c r="AJ16" i="667"/>
  <c r="X16" i="667"/>
  <c r="T16" i="667"/>
  <c r="L16" i="667"/>
  <c r="M16" i="667" s="1"/>
  <c r="H16" i="667"/>
  <c r="E16" i="667"/>
  <c r="AT15" i="667"/>
  <c r="AJ15" i="667"/>
  <c r="X15" i="667"/>
  <c r="T15" i="667"/>
  <c r="L15" i="667"/>
  <c r="M15" i="667" s="1"/>
  <c r="H15" i="667"/>
  <c r="E15" i="667"/>
  <c r="AT14" i="667"/>
  <c r="AJ14" i="667"/>
  <c r="X14" i="667"/>
  <c r="T14" i="667"/>
  <c r="L14" i="667"/>
  <c r="M14" i="667" s="1"/>
  <c r="H14" i="667"/>
  <c r="E14" i="667"/>
  <c r="AT13" i="667"/>
  <c r="X13" i="667"/>
  <c r="L13" i="667"/>
  <c r="M13" i="667" s="1"/>
  <c r="H13" i="667"/>
  <c r="E13" i="667"/>
  <c r="T13" i="667"/>
  <c r="K18" i="667" l="1"/>
  <c r="K19" i="667"/>
  <c r="AT37" i="667"/>
  <c r="K15" i="667"/>
  <c r="M36" i="667"/>
  <c r="V36" i="667"/>
  <c r="AK36" i="667" s="1"/>
  <c r="K35" i="667"/>
  <c r="V35" i="667"/>
  <c r="AK35" i="667" s="1"/>
  <c r="M34" i="667"/>
  <c r="V34" i="667"/>
  <c r="AK34" i="667" s="1"/>
  <c r="U33" i="667"/>
  <c r="K32" i="667"/>
  <c r="V32" i="667"/>
  <c r="AK32" i="667" s="1"/>
  <c r="K31" i="667"/>
  <c r="U31" i="667"/>
  <c r="V31" i="667"/>
  <c r="AK31" i="667" s="1"/>
  <c r="K30" i="667"/>
  <c r="V30" i="667"/>
  <c r="AK30" i="667" s="1"/>
  <c r="U29" i="667"/>
  <c r="K28" i="667"/>
  <c r="U28" i="667"/>
  <c r="K27" i="667"/>
  <c r="V27" i="667"/>
  <c r="AK27" i="667" s="1"/>
  <c r="U26" i="667"/>
  <c r="U25" i="667"/>
  <c r="K24" i="667"/>
  <c r="U24" i="667"/>
  <c r="V23" i="667"/>
  <c r="AK23" i="667" s="1"/>
  <c r="K22" i="667"/>
  <c r="V22" i="667"/>
  <c r="AK22" i="667" s="1"/>
  <c r="V21" i="667"/>
  <c r="AK21" i="667" s="1"/>
  <c r="U20" i="667"/>
  <c r="U19" i="667"/>
  <c r="V18" i="667"/>
  <c r="U17" i="667"/>
  <c r="K16" i="667"/>
  <c r="U16" i="667"/>
  <c r="U15" i="667"/>
  <c r="K14" i="667"/>
  <c r="V14" i="667"/>
  <c r="AK14" i="667" s="1"/>
  <c r="K13" i="667"/>
  <c r="AK18" i="667"/>
  <c r="V17" i="667"/>
  <c r="AK17" i="667" s="1"/>
  <c r="V20" i="667"/>
  <c r="AK20" i="667" s="1"/>
  <c r="U22" i="667"/>
  <c r="V28" i="667"/>
  <c r="AK28" i="667" s="1"/>
  <c r="U30" i="667"/>
  <c r="V25" i="667"/>
  <c r="AK25" i="667" s="1"/>
  <c r="U27" i="667"/>
  <c r="U21" i="667"/>
  <c r="V16" i="667"/>
  <c r="AK16" i="667" s="1"/>
  <c r="U18" i="667"/>
  <c r="V19" i="667"/>
  <c r="AK19" i="667" s="1"/>
  <c r="U23" i="667"/>
  <c r="V24" i="667"/>
  <c r="AK24" i="667" s="1"/>
  <c r="V26" i="667"/>
  <c r="AK26" i="667" s="1"/>
  <c r="V29" i="667"/>
  <c r="AK29" i="667" s="1"/>
  <c r="U32" i="667"/>
  <c r="V15" i="667"/>
  <c r="AK15" i="667" s="1"/>
  <c r="V33" i="667"/>
  <c r="AK33" i="667" s="1"/>
  <c r="U14" i="667"/>
  <c r="K20" i="667"/>
  <c r="K23" i="667"/>
  <c r="K26" i="667"/>
  <c r="K17" i="667"/>
  <c r="K21" i="667"/>
  <c r="K25" i="667"/>
  <c r="K29" i="667"/>
  <c r="V13" i="667"/>
  <c r="AK13" i="667" s="1"/>
  <c r="U13" i="667"/>
  <c r="T37" i="667"/>
  <c r="AJ37" i="667"/>
  <c r="M33" i="667"/>
  <c r="U34" i="667"/>
  <c r="U35" i="667"/>
  <c r="U36" i="667"/>
  <c r="AI8" i="667"/>
  <c r="E21" i="666"/>
  <c r="V37" i="667" l="1"/>
  <c r="AK37" i="667" s="1"/>
  <c r="U37" i="667"/>
  <c r="AI11" i="666" l="1"/>
  <c r="S11" i="666"/>
  <c r="H14" i="666" l="1"/>
  <c r="H15" i="666"/>
  <c r="H16" i="666"/>
  <c r="H17" i="666"/>
  <c r="H18" i="666"/>
  <c r="H19" i="666"/>
  <c r="H20" i="666"/>
  <c r="H21" i="666"/>
  <c r="H22" i="666"/>
  <c r="H23" i="666"/>
  <c r="H24" i="666"/>
  <c r="H25" i="666"/>
  <c r="H26" i="666"/>
  <c r="H27" i="666"/>
  <c r="H28" i="666"/>
  <c r="H29" i="666"/>
  <c r="H30" i="666"/>
  <c r="H31" i="666"/>
  <c r="H32" i="666"/>
  <c r="H33" i="666"/>
  <c r="H34" i="666"/>
  <c r="H35" i="666"/>
  <c r="H36" i="666"/>
  <c r="AJ13" i="666" l="1"/>
  <c r="AU37" i="666"/>
  <c r="AS37" i="666"/>
  <c r="AT36" i="666"/>
  <c r="AJ36" i="666"/>
  <c r="X36" i="666"/>
  <c r="T36" i="666"/>
  <c r="L36" i="666"/>
  <c r="K36" i="666" s="1"/>
  <c r="E36" i="666"/>
  <c r="AT35" i="666"/>
  <c r="AJ35" i="666"/>
  <c r="X35" i="666"/>
  <c r="T35" i="666"/>
  <c r="L35" i="666"/>
  <c r="K35" i="666" s="1"/>
  <c r="E35" i="666"/>
  <c r="AZ34" i="666"/>
  <c r="AJ34" i="666"/>
  <c r="X34" i="666"/>
  <c r="T34" i="666"/>
  <c r="L34" i="666"/>
  <c r="K34" i="666" s="1"/>
  <c r="E34" i="666"/>
  <c r="AJ33" i="666"/>
  <c r="X33" i="666"/>
  <c r="T33" i="666"/>
  <c r="L33" i="666"/>
  <c r="M33" i="666" s="1"/>
  <c r="E33" i="666"/>
  <c r="AJ32" i="666"/>
  <c r="X32" i="666"/>
  <c r="T32" i="666"/>
  <c r="L32" i="666"/>
  <c r="M32" i="666" s="1"/>
  <c r="E32" i="666"/>
  <c r="AT31" i="666"/>
  <c r="AJ31" i="666"/>
  <c r="X31" i="666"/>
  <c r="T31" i="666"/>
  <c r="L31" i="666"/>
  <c r="M31" i="666" s="1"/>
  <c r="E31" i="666"/>
  <c r="AT30" i="666"/>
  <c r="AJ30" i="666"/>
  <c r="X30" i="666"/>
  <c r="T30" i="666"/>
  <c r="L30" i="666"/>
  <c r="M30" i="666" s="1"/>
  <c r="E30" i="666"/>
  <c r="AT29" i="666"/>
  <c r="AJ29" i="666"/>
  <c r="X29" i="666"/>
  <c r="T29" i="666"/>
  <c r="L29" i="666"/>
  <c r="M29" i="666" s="1"/>
  <c r="E29" i="666"/>
  <c r="AT28" i="666"/>
  <c r="AJ28" i="666"/>
  <c r="X28" i="666"/>
  <c r="T28" i="666"/>
  <c r="L28" i="666"/>
  <c r="M28" i="666" s="1"/>
  <c r="E28" i="666"/>
  <c r="AT27" i="666"/>
  <c r="AJ27" i="666"/>
  <c r="X27" i="666"/>
  <c r="T27" i="666"/>
  <c r="L27" i="666"/>
  <c r="M27" i="666" s="1"/>
  <c r="E27" i="666"/>
  <c r="AT26" i="666"/>
  <c r="AJ26" i="666"/>
  <c r="X26" i="666"/>
  <c r="T26" i="666"/>
  <c r="L26" i="666"/>
  <c r="M26" i="666" s="1"/>
  <c r="E26" i="666"/>
  <c r="AT25" i="666"/>
  <c r="AJ25" i="666"/>
  <c r="X25" i="666"/>
  <c r="T25" i="666"/>
  <c r="L25" i="666"/>
  <c r="M25" i="666" s="1"/>
  <c r="E25" i="666"/>
  <c r="AT24" i="666"/>
  <c r="AJ24" i="666"/>
  <c r="X24" i="666"/>
  <c r="T24" i="666"/>
  <c r="L24" i="666"/>
  <c r="M24" i="666" s="1"/>
  <c r="E24" i="666"/>
  <c r="AT23" i="666"/>
  <c r="AJ23" i="666"/>
  <c r="X23" i="666"/>
  <c r="T23" i="666"/>
  <c r="L23" i="666"/>
  <c r="M23" i="666" s="1"/>
  <c r="E23" i="666"/>
  <c r="AT22" i="666"/>
  <c r="AJ22" i="666"/>
  <c r="X22" i="666"/>
  <c r="T22" i="666"/>
  <c r="L22" i="666"/>
  <c r="M22" i="666" s="1"/>
  <c r="E22" i="666"/>
  <c r="AT21" i="666"/>
  <c r="AJ21" i="666"/>
  <c r="X21" i="666"/>
  <c r="T21" i="666"/>
  <c r="L21" i="666"/>
  <c r="M21" i="666" s="1"/>
  <c r="AT20" i="666"/>
  <c r="AJ20" i="666"/>
  <c r="X20" i="666"/>
  <c r="T20" i="666"/>
  <c r="L20" i="666"/>
  <c r="M20" i="666" s="1"/>
  <c r="E20" i="666"/>
  <c r="AT19" i="666"/>
  <c r="AJ19" i="666"/>
  <c r="X19" i="666"/>
  <c r="T19" i="666"/>
  <c r="L19" i="666"/>
  <c r="M19" i="666" s="1"/>
  <c r="E19" i="666"/>
  <c r="AT18" i="666"/>
  <c r="AJ18" i="666"/>
  <c r="X18" i="666"/>
  <c r="T18" i="666"/>
  <c r="L18" i="666"/>
  <c r="M18" i="666" s="1"/>
  <c r="E18" i="666"/>
  <c r="AT17" i="666"/>
  <c r="AJ17" i="666"/>
  <c r="X17" i="666"/>
  <c r="T17" i="666"/>
  <c r="L17" i="666"/>
  <c r="M17" i="666" s="1"/>
  <c r="E17" i="666"/>
  <c r="AT16" i="666"/>
  <c r="AJ16" i="666"/>
  <c r="X16" i="666"/>
  <c r="T16" i="666"/>
  <c r="L16" i="666"/>
  <c r="K16" i="666" s="1"/>
  <c r="E16" i="666"/>
  <c r="AT15" i="666"/>
  <c r="AJ15" i="666"/>
  <c r="X15" i="666"/>
  <c r="T15" i="666"/>
  <c r="L15" i="666"/>
  <c r="M15" i="666" s="1"/>
  <c r="E15" i="666"/>
  <c r="AT14" i="666"/>
  <c r="AJ14" i="666"/>
  <c r="X14" i="666"/>
  <c r="T14" i="666"/>
  <c r="L14" i="666"/>
  <c r="K14" i="666" s="1"/>
  <c r="E14" i="666"/>
  <c r="AT13" i="666"/>
  <c r="X13" i="666"/>
  <c r="L13" i="666"/>
  <c r="K13" i="666" s="1"/>
  <c r="H13" i="666"/>
  <c r="E13" i="666"/>
  <c r="T13" i="666"/>
  <c r="V36" i="666" l="1"/>
  <c r="AK36" i="666" s="1"/>
  <c r="V35" i="666"/>
  <c r="AK35" i="666" s="1"/>
  <c r="U34" i="666"/>
  <c r="V33" i="666"/>
  <c r="AK33" i="666" s="1"/>
  <c r="V32" i="666"/>
  <c r="V31" i="666"/>
  <c r="AK31" i="666" s="1"/>
  <c r="V30" i="666"/>
  <c r="AK30" i="666" s="1"/>
  <c r="V29" i="666"/>
  <c r="AK29" i="666" s="1"/>
  <c r="V28" i="666"/>
  <c r="AK28" i="666" s="1"/>
  <c r="V27" i="666"/>
  <c r="AK27" i="666" s="1"/>
  <c r="V26" i="666"/>
  <c r="V25" i="666"/>
  <c r="AK25" i="666" s="1"/>
  <c r="V24" i="666"/>
  <c r="AK24" i="666" s="1"/>
  <c r="V23" i="666"/>
  <c r="AK23" i="666" s="1"/>
  <c r="V22" i="666"/>
  <c r="AK22" i="666" s="1"/>
  <c r="V21" i="666"/>
  <c r="AK21" i="666" s="1"/>
  <c r="V20" i="666"/>
  <c r="AK20" i="666" s="1"/>
  <c r="V19" i="666"/>
  <c r="AK19" i="666" s="1"/>
  <c r="V18" i="666"/>
  <c r="AK18" i="666" s="1"/>
  <c r="V17" i="666"/>
  <c r="V16" i="666"/>
  <c r="AK16" i="666" s="1"/>
  <c r="V15" i="666"/>
  <c r="AK15" i="666" s="1"/>
  <c r="U14" i="666"/>
  <c r="AT37" i="666"/>
  <c r="M16" i="666"/>
  <c r="U15" i="666"/>
  <c r="V14" i="666"/>
  <c r="AK14" i="666" s="1"/>
  <c r="AK17" i="666"/>
  <c r="U16" i="666"/>
  <c r="U33" i="666"/>
  <c r="AK32" i="666"/>
  <c r="V34" i="666"/>
  <c r="AK34" i="666" s="1"/>
  <c r="K15" i="666"/>
  <c r="K33" i="666"/>
  <c r="V13" i="666"/>
  <c r="AK13" i="666" s="1"/>
  <c r="U13" i="666"/>
  <c r="T37" i="666"/>
  <c r="AJ37" i="666"/>
  <c r="AK26" i="666"/>
  <c r="M13" i="666"/>
  <c r="M14" i="666"/>
  <c r="K17" i="666"/>
  <c r="U17" i="666"/>
  <c r="K18" i="666"/>
  <c r="U18" i="666"/>
  <c r="K19" i="666"/>
  <c r="U19" i="666"/>
  <c r="K20" i="666"/>
  <c r="U20" i="666"/>
  <c r="K21" i="666"/>
  <c r="U21" i="666"/>
  <c r="K22" i="666"/>
  <c r="U22" i="666"/>
  <c r="K23" i="666"/>
  <c r="U23" i="666"/>
  <c r="K24" i="666"/>
  <c r="U24" i="666"/>
  <c r="K25" i="666"/>
  <c r="U25" i="666"/>
  <c r="K26" i="666"/>
  <c r="U26" i="666"/>
  <c r="K27" i="666"/>
  <c r="U27" i="666"/>
  <c r="K28" i="666"/>
  <c r="U28" i="666"/>
  <c r="K29" i="666"/>
  <c r="U29" i="666"/>
  <c r="K30" i="666"/>
  <c r="U30" i="666"/>
  <c r="K31" i="666"/>
  <c r="U31" i="666"/>
  <c r="K32" i="666"/>
  <c r="U32" i="666"/>
  <c r="M34" i="666"/>
  <c r="M35" i="666"/>
  <c r="M36" i="666"/>
  <c r="AI8" i="666"/>
  <c r="U35" i="666"/>
  <c r="U36" i="666"/>
  <c r="V37" i="666" l="1"/>
  <c r="AK37" i="666" s="1"/>
  <c r="U37" i="666"/>
</calcChain>
</file>

<file path=xl/sharedStrings.xml><?xml version="1.0" encoding="utf-8"?>
<sst xmlns="http://schemas.openxmlformats.org/spreadsheetml/2006/main" count="13769" uniqueCount="326">
  <si>
    <t>ENGINEER / OPERATOR ON DUTY</t>
  </si>
  <si>
    <t>BDOM DAILY OPERATION REPORT</t>
  </si>
  <si>
    <t>6am - 2pm</t>
  </si>
  <si>
    <t>WATER NETWORK</t>
  </si>
  <si>
    <t>2pm - 10pm</t>
  </si>
  <si>
    <t>10pm - 6am</t>
  </si>
  <si>
    <t xml:space="preserve">LOCATION: </t>
  </si>
  <si>
    <t>Villamor Pump Station and Reservoir</t>
  </si>
  <si>
    <t>DATE</t>
  </si>
  <si>
    <t>UNIT</t>
  </si>
  <si>
    <t>OPERATIONAL STATUS</t>
  </si>
  <si>
    <t>Min</t>
  </si>
  <si>
    <t>Target</t>
  </si>
  <si>
    <t>Max</t>
  </si>
  <si>
    <t>Suction Line  (900mm)</t>
  </si>
  <si>
    <t>Discharge Line  (1600mm)</t>
  </si>
  <si>
    <t>Reservoir MIN/MAX (m)</t>
  </si>
  <si>
    <t>Operational Pumps</t>
  </si>
  <si>
    <t>Green</t>
  </si>
  <si>
    <t>Orange</t>
  </si>
  <si>
    <t>RED</t>
  </si>
  <si>
    <t>MIN SPEED (RPM)</t>
  </si>
  <si>
    <t>MULTIPLIER</t>
  </si>
  <si>
    <t>Totalizer KWHR</t>
  </si>
  <si>
    <t>Max KwHr</t>
  </si>
  <si>
    <t>Max KwHr/ML</t>
  </si>
  <si>
    <t>VALVE SETTING</t>
  </si>
  <si>
    <t>RESERVOIR REFILL</t>
  </si>
  <si>
    <t>Res. Chl.</t>
  </si>
  <si>
    <t>m of H2O</t>
  </si>
  <si>
    <t>MLD</t>
  </si>
  <si>
    <t>m3</t>
  </si>
  <si>
    <t>ML</t>
  </si>
  <si>
    <t>1.3m - 10m</t>
  </si>
  <si>
    <t>3B+2S</t>
  </si>
  <si>
    <t>&gt;0 to &lt;1185</t>
  </si>
  <si>
    <t>0% - 100%</t>
  </si>
  <si>
    <t>0.3 - 1.5</t>
  </si>
  <si>
    <t>PLANT STATUS</t>
  </si>
  <si>
    <t>Time</t>
  </si>
  <si>
    <t>Suction</t>
  </si>
  <si>
    <t>Discharge</t>
  </si>
  <si>
    <t>Plant Status</t>
  </si>
  <si>
    <t xml:space="preserve">Pressure Requirement </t>
  </si>
  <si>
    <t>Change in Pressure Setting / Requirement</t>
  </si>
  <si>
    <t>Instructed By:</t>
  </si>
  <si>
    <t>i2o pressure</t>
  </si>
  <si>
    <t>Suction Flow Rate</t>
  </si>
  <si>
    <t>Discharge  Flow Rate</t>
  </si>
  <si>
    <t>Total Production</t>
  </si>
  <si>
    <t>Hourly Production (1600mm)</t>
  </si>
  <si>
    <t>Reservoir Level A</t>
  </si>
  <si>
    <t>Reservoir Level B</t>
  </si>
  <si>
    <t>No of units in operation</t>
  </si>
  <si>
    <t>Motor Speed  (RPM)</t>
  </si>
  <si>
    <t>Power Consumption Meralco rdg</t>
  </si>
  <si>
    <t>Power Consumption ATS rdg (KWHr)</t>
  </si>
  <si>
    <t>Hourly Energy Consumption (KWHr)</t>
  </si>
  <si>
    <r>
      <t xml:space="preserve">Hourly KWHr per Production
</t>
    </r>
    <r>
      <rPr>
        <b/>
        <sz val="9"/>
        <rFont val="Calibri"/>
        <family val="2"/>
        <scheme val="minor"/>
      </rPr>
      <t>KWHr/ML</t>
    </r>
  </si>
  <si>
    <t>MOV 1 SP1</t>
  </si>
  <si>
    <t>MOV 2 SP2</t>
  </si>
  <si>
    <t>MOV 3 BP1</t>
  </si>
  <si>
    <t>MOV 4 BP2</t>
  </si>
  <si>
    <t>MOV 5 BP3</t>
  </si>
  <si>
    <t>Reservoir      Inlet        XCVI</t>
  </si>
  <si>
    <t>Totalizer Reading</t>
  </si>
  <si>
    <t>Reservoir  Hourly Refill         XCV4</t>
  </si>
  <si>
    <t>Chlorine Residual</t>
  </si>
  <si>
    <t>Hourly Remarks</t>
  </si>
  <si>
    <t>Details</t>
  </si>
  <si>
    <t>Code</t>
  </si>
  <si>
    <t>SOUTH BOOSTER OPERATION OPERATORS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</si>
  <si>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</si>
  <si>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</si>
  <si>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</si>
  <si>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</si>
  <si>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</si>
  <si>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</si>
  <si>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</si>
  <si>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</si>
  <si>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</si>
  <si>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</si>
  <si>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</si>
  <si>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</si>
  <si>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DVO</t>
  </si>
  <si>
    <t>mg /l</t>
  </si>
  <si>
    <t>Automatic - i2O</t>
  </si>
  <si>
    <t>AI</t>
  </si>
  <si>
    <t>Automatic - Pressure Setting</t>
  </si>
  <si>
    <t>A.ONG</t>
  </si>
  <si>
    <t>N/A</t>
  </si>
  <si>
    <t>AP</t>
  </si>
  <si>
    <t>Manual Operation</t>
  </si>
  <si>
    <t>MO</t>
  </si>
  <si>
    <t>Scheduled Shutdown</t>
  </si>
  <si>
    <t>SS</t>
  </si>
  <si>
    <t>Start Up Error</t>
  </si>
  <si>
    <t>SU</t>
  </si>
  <si>
    <t>Shutdown Error</t>
  </si>
  <si>
    <t>SE</t>
  </si>
  <si>
    <t xml:space="preserve">A ONG </t>
  </si>
  <si>
    <t>Error - General</t>
  </si>
  <si>
    <t>E</t>
  </si>
  <si>
    <t>Power Interruption</t>
  </si>
  <si>
    <t>PI</t>
  </si>
  <si>
    <t>Water Interruption</t>
  </si>
  <si>
    <t>WI</t>
  </si>
  <si>
    <t>Equipment Maintenance</t>
  </si>
  <si>
    <t>EM</t>
  </si>
  <si>
    <t>UNITS</t>
  </si>
  <si>
    <t>PRESSURE</t>
  </si>
  <si>
    <t>Atmospheric Pressure</t>
  </si>
  <si>
    <t>bar</t>
  </si>
  <si>
    <t>atm</t>
  </si>
  <si>
    <t>kPA</t>
  </si>
  <si>
    <t>Convert Pressure (Enter Unit and Value)</t>
  </si>
  <si>
    <t>A ONG</t>
  </si>
  <si>
    <t>FLOW</t>
  </si>
  <si>
    <t>TOTAL</t>
  </si>
  <si>
    <r>
      <t>m</t>
    </r>
    <r>
      <rPr>
        <vertAlign val="superscript"/>
        <sz val="9"/>
        <color theme="1"/>
        <rFont val="Calibri"/>
        <family val="2"/>
        <scheme val="minor"/>
      </rPr>
      <t>3</t>
    </r>
    <r>
      <rPr>
        <sz val="9"/>
        <color theme="1"/>
        <rFont val="Calibri"/>
        <family val="2"/>
        <scheme val="minor"/>
      </rPr>
      <t>/hr</t>
    </r>
  </si>
  <si>
    <t>NOTABLE REMARKS FOR THE DAY :</t>
  </si>
  <si>
    <t>Liter/sec</t>
  </si>
  <si>
    <t xml:space="preserve"> </t>
  </si>
  <si>
    <t>XCV2- INCREASE OPENING  @ 12:01 AM (80%)</t>
  </si>
  <si>
    <t>MOV 6 BP4</t>
  </si>
  <si>
    <t>Additional 3psi to normal target discharge pressure as request OF Engr. Edmundo Llagas Jr  (SPM)</t>
  </si>
  <si>
    <t>Normal operation schedule</t>
  </si>
  <si>
    <t>Gauge Reading</t>
  </si>
  <si>
    <t>Target Discharge Pressure set to 83 psi @ 12:01 am as per request of Engr. FRANCES MORLA (SPM-South)</t>
  </si>
  <si>
    <t>Additional 3 psi to target discharge pressure from 12:01 AM to 5:01 AM as per request of Engr. Frances Morla (SPM-South), due to shifting of WSR and Posadas Influence area.</t>
  </si>
  <si>
    <t>TARGET DISCHARGE PRESSURE SET TO  83 PSI @ 12:01 AM TO 3:01 AM AS PER SCHEDULE</t>
  </si>
  <si>
    <t>Change operation advise as per Sir. Alvin Cruz effective SEPTEMBER 7, 2016 target pressure for 12:01 MN to 3:01 AM will be changed from 75 psi to 83 psi only. This was requested by Sir. GIGI effective until further notice.</t>
  </si>
  <si>
    <t>PAUL G. LABIAN / REY PROVIDENCIA</t>
  </si>
  <si>
    <t>ARMAN R. RAYALA II / REY PROVIDENCIA</t>
  </si>
  <si>
    <t>REY PROVIDENCIA / PAUL G. LABIAN</t>
  </si>
  <si>
    <t>PAUL G. LABIAN / ARMAN R. RAYALA II</t>
  </si>
  <si>
    <t>FLOW METER DEFFECTIVE AS OF JULY 18, 2017</t>
  </si>
  <si>
    <t>RESERVOIR REFILL TOTALIZER READING DEFFECTIVE AS OF JULY 18, 2017</t>
  </si>
  <si>
    <t>PAUL G. LABIAN / FIDEL A. RAMOS</t>
  </si>
  <si>
    <t>3B</t>
  </si>
  <si>
    <t>PAUL G.  LABIAN / GEORGE O. HERNANDEZ</t>
  </si>
  <si>
    <t>REY L. PROVIDENCIA / ARMAN R. RAYALA II</t>
  </si>
  <si>
    <t>REY L. PROVIDENCIA / GEORGE O. HERNANDEZ</t>
  </si>
  <si>
    <t>PAUL G. LABIAN / JONEL LLAGUNO</t>
  </si>
  <si>
    <t>ARMAN R. RAYALA II / FIDEL A. RAMOS</t>
  </si>
  <si>
    <t>FIDEL RAMOS / JONEL LLAGUNO</t>
  </si>
  <si>
    <t>GEORGE O. HERNANDEZ / ARMAN R. RAYALA II</t>
  </si>
  <si>
    <t>A.RAYALA II /J. LLAGUNO</t>
  </si>
  <si>
    <t>FIDEL RAMOS / ARMAN R. RAYALA II</t>
  </si>
  <si>
    <t>PAUL G. LABIAN / DYAN ELVIN CAPIÑA</t>
  </si>
  <si>
    <t>R.PROVIDENCIA/J. LLAGUNO</t>
  </si>
  <si>
    <t>R.PROVIDENCIA / DYAN ELVIN CAPIÑA</t>
  </si>
  <si>
    <t>GEORGE O. HERNANDEZ / PAUL G. LABIAN</t>
  </si>
  <si>
    <t>GEORGE HERNANDEZ / DYAN ELVIN CAPIÑA</t>
  </si>
  <si>
    <t>GEORGE HERNANDEZ / JONEL LLAGUNO</t>
  </si>
  <si>
    <t>REY PROVIDENCIA / FIDEL RAMOS</t>
  </si>
  <si>
    <t>GEORGE O. HERNANDEZ / FIDEL A. RAMOS</t>
  </si>
  <si>
    <t>ARMAN R. RAYALA II / DYAN ELVIN A. CAPIÑA</t>
  </si>
  <si>
    <t>FIDEL RAMOS / DYAN ELVIN CAPIÑA</t>
  </si>
  <si>
    <t>R.PROVIDENCIA  / J. LLAGUNO</t>
  </si>
  <si>
    <t>-</t>
  </si>
  <si>
    <t>JONEL V. LLAGUNO / PAUL G. LABIAN</t>
  </si>
  <si>
    <t>DEF</t>
  </si>
  <si>
    <t>TARGET DISCHARGE PRESSURE SET TO  83 PSI @ 3:01 AM TO 5:01 AM AS PER SCHEDULE</t>
  </si>
  <si>
    <t>TARGET DISCHARGE PRESSURE SET TO  83 PSI @ 5:01 AM TO 6:01 AM AS PER SCHEDULE</t>
  </si>
  <si>
    <t>XCV2 - CLOSED @ 4:36 AM WATER ELEVATION (9.5 M)</t>
  </si>
  <si>
    <t>TARGET DISCHARGE PRESSURE SET TO  83 PSI @ 6:01 AM TO 12:01 PM AS PER SCHEDULE</t>
  </si>
  <si>
    <t>SP1 - STARTED @ 7:16 AM TO MEET 83 PSI TARGET DISCHARGE PRESSURE</t>
  </si>
  <si>
    <t>3B+1S</t>
  </si>
  <si>
    <t>MR. ERNESTO MONSON AND SOUTH MAINTENANCE TEAM ARRIVE @ 8:26 AM TO CONDUCT MONTHLY PREVENTIVE  MAINTENANCE OF BOOSTER PUMP AND MOTOR.</t>
  </si>
  <si>
    <t>Additional 3 psi to target discharge pressure from 12:01 PM to 5:01 PM ( JULY 1, 2018) as per request of Engr. Frances Morla (SPM-South), due to shifting of WSR and Posadas Influence area.</t>
  </si>
  <si>
    <t>TARGET DISCHARGE PRESSURE SET TO  81 PSI @ 12:01 PM TO 5:01 PM AS PER SCHEDULE</t>
  </si>
  <si>
    <t>TARGET DISCHARGE PRESSURE SET TO  78 PSI @ 5:01 PM TO 7:01 PM AS PER SCHEDULE</t>
  </si>
  <si>
    <t>TARGET DISCHARGE PRESSURE SET TO  76 PSI @ 7:01 PM TO 8:01 PM AS PER SCHEDULE</t>
  </si>
  <si>
    <t>TARGET DISCHARGE PRESSURE SET TO  83 PSI @ 8:01 PM TO 10:01 PM AS PER SCHEDULE</t>
  </si>
  <si>
    <t>SP1 - STOPPED @ 10:00 PM DUE TO PARAMETER CAPACITY OF 1.4 ELEVATION LEVEL</t>
  </si>
  <si>
    <t>TARGET DISCHARGE PRESSURE SET TO 83PSI @ 10:01 PM TO 12:01 AM AS PER SCHEDULE</t>
  </si>
  <si>
    <t>XCV2 -OPENED @ 10:01 PM (30%)</t>
  </si>
  <si>
    <t>XCV2 - CLOSED @ 4:46 AM WATER ELEVATION (9.5 M)</t>
  </si>
  <si>
    <t>SP2 - STARTED @ 6:00 AM TO MEET 83 PSI TARGET DISCHARGE PRESSURE</t>
  </si>
  <si>
    <t>Additional 3 psi to target discharge pressure from 12:01 PM to 5:01 PM ( JULY 2, 2018) as per request of Engr. Frances Morla (SPM-South), due to shifting of WSR and Posadas Influence area.</t>
  </si>
  <si>
    <t>3b+1s</t>
  </si>
  <si>
    <t>SP2 - STOPPED @ 10:00 PM DUE TO PARAMETER CAPACITY OF 1.4 ELEVATION LEVEL</t>
  </si>
  <si>
    <t>XCV2 - CLOSED @ 3:06 AM WATER ELEVATION (9.5 M)</t>
  </si>
  <si>
    <t>SP1 - STARTED @ 6:00 AM TO MEET 83 PSI TARGET DISCHARGE PRESSURE</t>
  </si>
  <si>
    <t>Additional 3 psi to target discharge pressure from 12:01 PM to 5:01 PM ( JULY 3, 2018) as per request of Engr. Frances Morla (SPM-South), due to shifting of WSR and Posadas Influence area.</t>
  </si>
  <si>
    <t>XCV2 - CLOSED @ 4:26 AM WATER ELEVATION (9.5 M)</t>
  </si>
  <si>
    <t>BP4 STOPPED @ 4:30 AM DUE TO SHIFTING OF PUMP</t>
  </si>
  <si>
    <t>BP3 STARTED @ 4:30 AM DUE TO SHIFTING OF PUMP</t>
  </si>
  <si>
    <t>BP3 STOPPED @ 8:40 AM DUE THE BEARING OF PUMP 3 NEED TO REPLACE.</t>
  </si>
  <si>
    <t>BP4 STARTED @ 8:41 AM TO MEET 83 PSI TARGET DISCHARGE PRESSURE.</t>
  </si>
  <si>
    <t>Additional 3 psi to target discharge pressure from 12:01 PM to 5:01 PM ( JULY 4, 2018) as per request of Engr. Frances Morla (SPM-South), due to shifting of WSR and Posadas Influence area.</t>
  </si>
  <si>
    <t xml:space="preserve">            </t>
  </si>
  <si>
    <t>XCV2 - CLOSED @ 4:08 AM WATER ELEVATION (9.5 M)</t>
  </si>
  <si>
    <t>Additional 3 psi to target discharge pressure from 12:01 PM to 5:01 PM ( JULY 5, 2018) as per request of Engr. Frances Morla (SPM-South), due to shifting of WSR and Posadas Influence area.</t>
  </si>
  <si>
    <t>MAINTEANANCE TEAM LEAD BY ENGR ADRIAN ECHON ARRIVE @ 2:45PM FOR FULL OUT AT BREARING BP3</t>
  </si>
  <si>
    <t>XCV2 - CLOSED @ 4:40 AM WATER ELEVATION (9.5 M)</t>
  </si>
  <si>
    <t>Additional 3 psi to target discharge pressure from 12:01 PM to 5:01 PM ( JULY 6, 2018) as per request of Engr. Frances Morla (SPM-South), due to shifting of WSR and Posadas Influence area.</t>
  </si>
  <si>
    <t>SP2 - STOPPED @ 9:00 PM DUE TO PARAMETER CAPACITY OF 1.4 ELEVATION LEVEL</t>
  </si>
  <si>
    <t>XCV2 - CLOSED @ 4:18 AM WATER ELEVATION (9.5 M)</t>
  </si>
  <si>
    <t>SP1 - STARTED @ 7:00 AM TO MEET 83 PSI TARGET DISCHARGE PRESSURE</t>
  </si>
  <si>
    <t>MR. ERNESTO MONZON AND SOUTH MAINTENANCE TEAM ARRIVE @ 10:40 AM TO CONDUCT WARM UP EXSERCISE OF GENSET 1 AND 2 WITHOUT LOAD FOR 5 MINUTES.</t>
  </si>
  <si>
    <t>Additional 3 psi to target discharge pressure from 12:01 PM to 5:01 PM ( JULY 7, 2018) as per request of Engr. Frances Morla (SPM-South), due to shifting of WSR and Posadas Influence area.</t>
  </si>
  <si>
    <t>XCV2 - CLOSED @ 3:08 AM WATER ELEVATION (9.5 M)</t>
  </si>
  <si>
    <t>SP2 - STARTED @ 8:00 AM TO MEET 83 PSI TARGET DISCHARGE PRESSURE</t>
  </si>
  <si>
    <t>Additional 3 psi to target discharge pressure from 12:01 PM to 5:01 PM ( JULY 8, 2018) as per request of Engr. Frances Morla (SPM-South), due to shifting of WSR and Posadas Influence area.</t>
  </si>
  <si>
    <t>XCV2 - CLOSED @ 3:30 AM WATER ELEVATION (9.5 M)</t>
  </si>
  <si>
    <t>Additional 3 psi to target discharge pressure from 12:01 PM to 5:01 PM ( JULY 9, 2018) as per request of Engr. Frances Morla (SPM-South), due to shifting of WSR and Posadas Influence area.</t>
  </si>
  <si>
    <t>SP1 - STOPPED @ 10:00 PM DUE TO PARAMETER CAPACITY OF 2.6 ELEVATION LEVEL</t>
  </si>
  <si>
    <t>XCV2 - CLOSED @ 3:49 AM WATER ELEVATION (9.5 M)</t>
  </si>
  <si>
    <t>Additional 3 psi to target discharge pressure from 12:01 PM to 5:01 PM ( JULY 10, 2018) as per request of Engr. Frances Morla (SPM-South), due to shifting of WSR and Posadas Influence area.</t>
  </si>
  <si>
    <t>XCV2 - CLOSED @ 4:00 AM WATER ELEVATION (9.5 M)</t>
  </si>
  <si>
    <t>Additional 3 psi to target discharge pressure from 12:01 PM to 5:01 PM ( JULY 11, 2018) as per request of Engr. Frances Morla (SPM-South), due to shifting of WSR and Posadas Influence area.</t>
  </si>
  <si>
    <t>SP1 - STOPPED @ 10:00 PM DUE TO PARAMETER CAPACITY OF 2.2 ELEVATION LEVEL</t>
  </si>
  <si>
    <t>XCV2 - CLOSED @ 3:00 AM WATER ELEVATION (9.5 M)</t>
  </si>
  <si>
    <t>Additional 3 psi to target discharge pressure from 12:01 PM to 5:01 PM ( JULY 12, 2018) as per request of Engr. Frances Morla (SPM-South), due to shifting of WSR and Posadas Influence area.</t>
  </si>
  <si>
    <t>1B</t>
  </si>
  <si>
    <t>XCV2- INCREASE OPENING  @ 1:01 AM (80%)</t>
  </si>
  <si>
    <t>PUMP 4 STARTED @ 12:30 AM</t>
  </si>
  <si>
    <t>PUMP 1 STARTED @ 2:00 AM</t>
  </si>
  <si>
    <t>PUMP 2 STARTED @ 2:05 AM</t>
  </si>
  <si>
    <t>XCV2 - CLOSED @ 4:48 AM WATER ELEVATION (9.5 M)</t>
  </si>
  <si>
    <t>Additional 3 psi to target discharge pressure from 12:01 PM to 5:01 PM ( JULY 13, 2018) as per request of Engr. Frances Morla (SPM-South), due to shifting of WSR and Posadas Influence area.</t>
  </si>
  <si>
    <t>SP2 - STOPPED @ 10:00 PM DUE TO PARAMETER CAPACITY OF 2.2 ELEVATION LEVEL</t>
  </si>
  <si>
    <t>XCV2 -OPENED @ 10:01 PM (20%)</t>
  </si>
  <si>
    <t>XCV2 - CLOSED @ 2:50 AM WATER ELEVATION (9.5 M)</t>
  </si>
  <si>
    <t>SP2 - STARTED @ 7:00 AM TO MEET 83 PSI TARGET DISCHARGE PRESSURE</t>
  </si>
  <si>
    <t>Additional 3 psi to target discharge pressure from 12:01 PM to 5:01 PM ( JULY 14, 2018) as per request of Engr. Frances Morla (SPM-South), due to shifting of WSR and Posadas Influence area.</t>
  </si>
  <si>
    <t>XCV2 - CLOSED @ 4:01 AM WATER ELEVATION (9.5 M)</t>
  </si>
  <si>
    <t>SP1 - STARTED @ 8:00 AM TO MEET 83 PSI TARGET DISCHARGE PRESSURE</t>
  </si>
  <si>
    <t>Additional 3 psi to target discharge pressure from 12:01 PM to 5:01 PM ( JULY 15, 2018) as per request of Engr. Frances Morla (SPM-South), due to shifting of WSR and Posadas Influence area.</t>
  </si>
  <si>
    <t>JONEL LLAGUNO / DYAN ELVIN CAPIÑA</t>
  </si>
  <si>
    <t>SP1 - STOPPED @ 10:00 PM DUE TO PARAMETER CAPACITY OF 2.9 ELEVATION LEVEL</t>
  </si>
  <si>
    <t>XCV2 - CLOSED @ 2:35 AM WATER ELEVATION (9.5 M)</t>
  </si>
  <si>
    <t>Additional 3 psi to target discharge pressure from 12:01 PM to 5:01 PM ( JULY 16, 2018) as per request of Engr. Frances Morla (SPM-South), due to shifting of WSR and Posadas Influence area.</t>
  </si>
  <si>
    <t>FIDEL RAMOS / GEORGE HERNANDEZ</t>
  </si>
  <si>
    <t>XCV2 - CLOSED @ 3:34 AM WATER ELEVATION (9.5 M)</t>
  </si>
  <si>
    <t>SP1 - STARTED @ 7:30 AM TO MEET 83 PSI TARGET DISCHARGE PRESSURE</t>
  </si>
  <si>
    <t>WATER SAMPLING / CENTRAL LAB. Res. Chl. 1.13 mg/l BY  MR. RALPH RAMOS ARRIVE @ 10:20 AM</t>
  </si>
  <si>
    <t>MR. RANDY EPINO OF  A&amp;I  ARRIVE @ 11:15 AM TO CONDUCT INSPECTION OF PLC CABINET FOR INSTRUCTED CABLING.</t>
  </si>
  <si>
    <t>Additional 3 psi to target discharge pressure from 12:01 PM to 5:01 PM ( JULY 17, 2018) as per request of Engr. Frances Morla (SPM-South), due to shifting of WSR and Posadas Influence area.</t>
  </si>
  <si>
    <t>5..3</t>
  </si>
  <si>
    <t>XCV2 - CLOSED @ 2:26 AM WATER ELEVATION (9.5 M)</t>
  </si>
  <si>
    <t>Additional 3 psi to target discharge pressure from 12:01 PM to 5:01 PM ( JULY 18, 2018) as per request of Engr. Frances Morla (SPM-South), due to shifting of WSR and Posadas Influence area.</t>
  </si>
  <si>
    <t>SP2 - STOPPED @ 10:00 PM DUE TO PARAMETER CAPACITY OF 1.3 ELEVATION LEVEL</t>
  </si>
  <si>
    <t>SP1 - STOPPED @ 10:00 PM DUE TO PARAMETER CAPACITY OF 1.3 ELEVATION LEVEL</t>
  </si>
  <si>
    <t>Additional 3 psi to target discharge pressure from 12:01 PM to 5:01 PM ( JULY 19, 2018) as per request of Engr. Frances Morla (SPM-South), due to shifting of WSR and Posadas Influence area.</t>
  </si>
  <si>
    <t>XCV2 - CLOSED @ 3:26 AM WATER ELEVATION (9.5 M)</t>
  </si>
  <si>
    <t>Additional 3 psi to target discharge pressure from 12:01 PM to 5:01 PM ( JULY 20, 2018) as per request of Engr. Frances Morla (SPM-South), due to shifting of WSR and Posadas Influence area.</t>
  </si>
  <si>
    <t>I.T. AND TEAM LEAD BY DON YABOT ARRIVE @ 3:57 PM FOR CHECK ESCADA MONITOR</t>
  </si>
  <si>
    <t>Additional 3 psi to target discharge pressure from 12:01 PM to 5:01 PM ( JULY 21, 2018) as per request of Engr. Frances Morla (SPM-South), due to shifting of WSR and Posadas Influence area.</t>
  </si>
  <si>
    <t>XCV2 - CLOSED @ 4:54 AM WATER ELEVATION (9.5 M)</t>
  </si>
  <si>
    <t>SP2 - STARTED @ 8:30 AM TO MEET 83 PSI TARGET DISCHARGE PRESSURE</t>
  </si>
  <si>
    <t>Additional 3 psi to target discharge pressure from 12:01 PM to 5:01 PM ( JULY 22, 2018) as per request of Engr. Frances Morla (SPM-South), due to shifting of WSR and Posadas Influence area.</t>
  </si>
  <si>
    <t>XCV2 - CLOSED @ 3:24 AM WATER ELEVATION (9.5 M)</t>
  </si>
  <si>
    <t>Additional 3 psi to target discharge pressure from 12:01 PM to 5:01 PM ( JULY 23, 2018) as per request of Engr. Frances Morla (SPM-South), due to shifting of WSR and Posadas Influence area.</t>
  </si>
  <si>
    <t>SP1 - STOPPED @ 10:00 PM DUE TO PARAMETER CAPACITY OF 1.9 ELEVATION LEVEL</t>
  </si>
  <si>
    <t>Additional 3 psi to target discharge pressure from 12:01 PM to 5:01 PM ( JULY 24, 2018) as per request of Engr. Frances Morla (SPM-South), due to shifting of WSR and Posadas Influence area.</t>
  </si>
  <si>
    <t>SP2 - STOPPED @ 10:00 PM DUE TO PARAMETER CAPACITY OF 1.6 ELEVATION LEVEL</t>
  </si>
  <si>
    <t>XCV2 - CLOSED @ 3:20 AM WATER ELEVATION (9.5 M)</t>
  </si>
  <si>
    <t>Additional 3 psi to target discharge pressure from 12:01 PM to 5:01 PM ( JULY 25, 2018) as per request of Engr. Frances Morla (SPM-South), due to shifting of WSR and Posadas Influence area.</t>
  </si>
  <si>
    <t>SP1 - STOPPED @ 10:00 PM DUE TO PARAMETER CAPACITY OF 1.8 ELEVATION LEVEL</t>
  </si>
  <si>
    <t>Additional 3 psi to target discharge pressure from 12:01 PM to 5:01 PM ( JULY 26, 2018) as per request of Engr. Frances Morla (SPM-South), due to shifting of WSR and Posadas Influence area.</t>
  </si>
  <si>
    <t>SP2 - STOPPED @ 10:00 PM DUE TO PARAMETER CAPACITY OF 1.9 ELEVATION LEVEL</t>
  </si>
  <si>
    <t>XCV2 - CLOSED @ 3:15 AM WATER ELEVATION (9.5 M)</t>
  </si>
  <si>
    <t>3b</t>
  </si>
  <si>
    <t>Additional 3 psi to target discharge pressure from 12:01 PM to 5:01 PM ( JULY 27, 2018) as per request of Engr. Frances Morla (SPM-South), due to shifting of WSR and Posadas Influence area.</t>
  </si>
  <si>
    <t>SP1 - STOPPED @ 10:00 PM DUE TO PARAMETER CAPACITY OF 2.0 ELEVATION LEVEL</t>
  </si>
  <si>
    <t>Additional 3 psi to target discharge pressure from 12:01 PM to 5:01 PM ( JULY 28, 2018) as per request of Engr. Frances Morla (SPM-South), due to shifting of WSR and Posadas Influence area.</t>
  </si>
  <si>
    <t>SP2 - STOPPED @ 8:00 PM DUE TO PARAMETER CAPACITY OF 2.0 ELEVATION LEVEL</t>
  </si>
  <si>
    <t>Additional 3 psi to target discharge pressure from 12:01 PM to 5:01 PM ( JULY 29, 2018) as per request of Engr. Frances Morla (SPM-South), due to shifting of WSR and Posadas Influence area.</t>
  </si>
  <si>
    <t>SP1 - STOPPED @ 10:00 PM DUE TO PARAMETER CAPACITY OF 1.7 ELEVATION LEVEL</t>
  </si>
  <si>
    <t>MR.GERRY BUNDA AND SOUTH MAINTENANCE TEAM ARRIVE @ 3:00 PM TO CONDUCT GENSET WARM UP 1 AND 2 FOR 5 MIN. AND PULL OUT EPK.</t>
  </si>
  <si>
    <t>MR. JIMMY DIOKNO OF SOUTH MAINTENANCE AND TEAM ARRIVE @ 12:40 AM TO CONDUCT DEWATERING OF CHAMBER @ BP3.</t>
  </si>
  <si>
    <t>XCV2 - CLOSED @ 3:10 AM WATER ELEVATION (9.5 M)</t>
  </si>
  <si>
    <t>Additional 3 psi to target discharge pressure from 12:01 PM to 5:01 PM ( JULY 30, 2018) as per request of Engr. Frances Morla (SPM-South), due to shifting of WSR and Posadas Influence area.</t>
  </si>
  <si>
    <t>SP2 - STOPPED @ 10:00 PM DUE TO PARAMETER CAPACITY OF 1.5 ELEVATION LEVEL</t>
  </si>
  <si>
    <t>XCV2 - CLOSED @ 3:50 AM WATER ELEVATION (9.5 M)</t>
  </si>
  <si>
    <t>Additional 3 psi to target discharge pressure from 12:01 PM to 5:01 PM ( JULY 31, 2018) as per request of Engr. Frances Morla (SPM-South), due to shifting of WSR and Posadas Influence area.</t>
  </si>
  <si>
    <t>a5</t>
  </si>
  <si>
    <t>a6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</si>
  <si>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</si>
  <si>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</si>
  <si>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</si>
  <si>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</si>
  <si>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</si>
  <si>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</si>
  <si>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</si>
  <si>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</si>
  <si>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</si>
  <si>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</si>
  <si>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</si>
  <si>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</si>
  <si>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</si>
  <si>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</si>
  <si>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a25</t>
  </si>
  <si>
    <t>a34</t>
  </si>
  <si>
    <t>a35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</si>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</sst>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m/d/yyyy;@"/>
    <numFmt numFmtId="165" formatCode="[$-3409]dddd\,\ mmmm\ dd\,\ yyyy;@"/>
    <numFmt numFmtId="166" formatCode="_(* #,##0_);_(* \(#,##0\);_(* &quot;-&quot;??_);_(@_)"/>
    <numFmt numFmtId="167" formatCode="0.0"/>
    <numFmt numFmtId="168" formatCode="#,##0.000_);\(#,##0.000\)"/>
    <numFmt numFmtId="169" formatCode="dd\-mmm\-yy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9"/>
      <color rgb="FFFF0000"/>
      <name val="Calibri"/>
      <family val="2"/>
      <scheme val="minor"/>
    </font>
    <font>
      <i/>
      <sz val="9"/>
      <color rgb="FFFF000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vertAlign val="superscript"/>
      <sz val="9"/>
      <color theme="1"/>
      <name val="Calibri"/>
      <family val="2"/>
      <scheme val="minor"/>
    </font>
    <font>
      <b/>
      <i/>
      <sz val="9"/>
      <color rgb="FFC00000"/>
      <name val="Calibri"/>
      <family val="2"/>
      <scheme val="minor"/>
    </font>
    <font>
      <sz val="10"/>
      <name val="Arial"/>
      <family val="2"/>
    </font>
    <font>
      <i/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0"/>
      <color rgb="FFC0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i/>
      <sz val="10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i/>
      <sz val="10"/>
      <color rgb="FF002060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8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i/>
      <sz val="10"/>
      <color theme="1" tint="4.9989318521683403E-2"/>
      <name val="Calibri"/>
      <family val="2"/>
      <scheme val="minor"/>
    </font>
    <font>
      <sz val="10"/>
      <name val="Cambria"/>
      <family val="1"/>
      <scheme val="major"/>
    </font>
  </fonts>
  <fills count="5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6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030A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6" fillId="0" borderId="0"/>
    <xf numFmtId="0" fontId="32" fillId="0" borderId="0" applyNumberFormat="0" applyFill="0" applyBorder="0" applyAlignment="0" applyProtection="0"/>
    <xf numFmtId="0" fontId="33" fillId="0" borderId="13" applyNumberFormat="0" applyFill="0" applyAlignment="0" applyProtection="0"/>
    <xf numFmtId="0" fontId="34" fillId="0" borderId="14" applyNumberFormat="0" applyFill="0" applyAlignment="0" applyProtection="0"/>
    <xf numFmtId="0" fontId="35" fillId="0" borderId="15" applyNumberFormat="0" applyFill="0" applyAlignment="0" applyProtection="0"/>
    <xf numFmtId="0" fontId="35" fillId="0" borderId="0" applyNumberFormat="0" applyFill="0" applyBorder="0" applyAlignment="0" applyProtection="0"/>
    <xf numFmtId="0" fontId="36" fillId="18" borderId="0" applyNumberFormat="0" applyBorder="0" applyAlignment="0" applyProtection="0"/>
    <xf numFmtId="0" fontId="37" fillId="19" borderId="0" applyNumberFormat="0" applyBorder="0" applyAlignment="0" applyProtection="0"/>
    <xf numFmtId="0" fontId="38" fillId="20" borderId="0" applyNumberFormat="0" applyBorder="0" applyAlignment="0" applyProtection="0"/>
    <xf numFmtId="0" fontId="39" fillId="21" borderId="16" applyNumberFormat="0" applyAlignment="0" applyProtection="0"/>
    <xf numFmtId="0" fontId="40" fillId="22" borderId="17" applyNumberFormat="0" applyAlignment="0" applyProtection="0"/>
    <xf numFmtId="0" fontId="41" fillId="22" borderId="16" applyNumberFormat="0" applyAlignment="0" applyProtection="0"/>
    <xf numFmtId="0" fontId="42" fillId="0" borderId="18" applyNumberFormat="0" applyFill="0" applyAlignment="0" applyProtection="0"/>
    <xf numFmtId="0" fontId="43" fillId="23" borderId="19" applyNumberFormat="0" applyAlignment="0" applyProtection="0"/>
    <xf numFmtId="0" fontId="2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3" fillId="0" borderId="21" applyNumberFormat="0" applyFill="0" applyAlignment="0" applyProtection="0"/>
    <xf numFmtId="0" fontId="45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5" fillId="36" borderId="0" applyNumberFormat="0" applyBorder="0" applyAlignment="0" applyProtection="0"/>
    <xf numFmtId="0" fontId="45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45" fillId="48" borderId="0" applyNumberFormat="0" applyBorder="0" applyAlignment="0" applyProtection="0"/>
    <xf numFmtId="0" fontId="47" fillId="0" borderId="0"/>
    <xf numFmtId="0" fontId="26" fillId="0" borderId="0"/>
    <xf numFmtId="0" fontId="26" fillId="0" borderId="0"/>
    <xf numFmtId="0" fontId="26" fillId="0" borderId="0"/>
    <xf numFmtId="0" fontId="46" fillId="24" borderId="20" applyNumberFormat="0" applyFont="0" applyAlignment="0" applyProtection="0"/>
    <xf numFmtId="0" fontId="26" fillId="0" borderId="0"/>
    <xf numFmtId="43" fontId="1" fillId="0" borderId="0" applyFont="0" applyFill="0" applyBorder="0" applyAlignment="0" applyProtection="0"/>
    <xf numFmtId="0" fontId="1" fillId="0" borderId="0"/>
    <xf numFmtId="43" fontId="48" fillId="0" borderId="0" applyFont="0" applyFill="0" applyBorder="0" applyAlignment="0" applyProtection="0"/>
    <xf numFmtId="0" fontId="48" fillId="0" borderId="0"/>
    <xf numFmtId="43" fontId="26" fillId="0" borderId="0" applyFont="0" applyFill="0" applyBorder="0" applyAlignment="0" applyProtection="0"/>
    <xf numFmtId="0" fontId="26" fillId="0" borderId="0"/>
  </cellStyleXfs>
  <cellXfs count="332">
    <xf numFmtId="0" fontId="0" fillId="0" borderId="0" xfId="0"/>
    <xf numFmtId="1" fontId="5" fillId="49" borderId="1" xfId="0" applyNumberFormat="1" applyFont="1" applyFill="1" applyBorder="1" applyAlignment="1">
      <alignment horizontal="center" vertical="center"/>
    </xf>
    <xf numFmtId="0" fontId="4" fillId="0" borderId="0" xfId="0" applyFont="1" applyFill="1"/>
    <xf numFmtId="0" fontId="6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0" xfId="0" applyFont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wrapText="1"/>
    </xf>
    <xf numFmtId="0" fontId="7" fillId="0" borderId="0" xfId="0" applyFont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13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/>
    <xf numFmtId="0" fontId="10" fillId="0" borderId="0" xfId="0" applyFont="1" applyBorder="1" applyAlignment="1">
      <alignment vertical="center" wrapText="1"/>
    </xf>
    <xf numFmtId="0" fontId="14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1" fillId="0" borderId="0" xfId="0" applyFont="1" applyBorder="1" applyAlignment="1"/>
    <xf numFmtId="0" fontId="11" fillId="0" borderId="0" xfId="0" applyFont="1" applyBorder="1" applyAlignment="1">
      <alignment wrapText="1"/>
    </xf>
    <xf numFmtId="0" fontId="5" fillId="0" borderId="0" xfId="0" applyFont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Font="1" applyAlignment="1"/>
    <xf numFmtId="166" fontId="6" fillId="4" borderId="1" xfId="1" applyNumberFormat="1" applyFont="1" applyFill="1" applyBorder="1" applyAlignment="1">
      <alignment horizontal="center" vertical="center"/>
    </xf>
    <xf numFmtId="2" fontId="6" fillId="4" borderId="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</xf>
    <xf numFmtId="0" fontId="17" fillId="6" borderId="5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 applyProtection="1">
      <alignment horizontal="center" vertical="center"/>
      <protection hidden="1"/>
    </xf>
    <xf numFmtId="0" fontId="3" fillId="6" borderId="1" xfId="0" applyFont="1" applyFill="1" applyBorder="1" applyAlignment="1">
      <alignment horizontal="center" vertical="center"/>
    </xf>
    <xf numFmtId="0" fontId="6" fillId="6" borderId="1" xfId="0" applyNumberFormat="1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 applyProtection="1">
      <alignment horizontal="center" vertical="center"/>
      <protection hidden="1"/>
    </xf>
    <xf numFmtId="18" fontId="5" fillId="8" borderId="1" xfId="0" applyNumberFormat="1" applyFont="1" applyFill="1" applyBorder="1" applyAlignment="1">
      <alignment horizontal="center" vertical="center"/>
    </xf>
    <xf numFmtId="167" fontId="18" fillId="10" borderId="1" xfId="0" applyNumberFormat="1" applyFont="1" applyFill="1" applyBorder="1" applyAlignment="1" applyProtection="1">
      <alignment horizontal="center" vertical="center"/>
    </xf>
    <xf numFmtId="167" fontId="19" fillId="10" borderId="1" xfId="0" applyNumberFormat="1" applyFont="1" applyFill="1" applyBorder="1" applyAlignment="1" applyProtection="1">
      <alignment horizontal="center" vertical="center"/>
    </xf>
    <xf numFmtId="167" fontId="5" fillId="11" borderId="1" xfId="0" applyNumberFormat="1" applyFont="1" applyFill="1" applyBorder="1" applyAlignment="1" applyProtection="1">
      <alignment horizontal="center" vertical="center"/>
    </xf>
    <xf numFmtId="167" fontId="5" fillId="11" borderId="1" xfId="0" applyNumberFormat="1" applyFont="1" applyFill="1" applyBorder="1" applyAlignment="1">
      <alignment horizontal="center" vertical="center"/>
    </xf>
    <xf numFmtId="1" fontId="20" fillId="7" borderId="1" xfId="0" applyNumberFormat="1" applyFont="1" applyFill="1" applyBorder="1" applyAlignment="1">
      <alignment horizontal="center" vertical="center"/>
    </xf>
    <xf numFmtId="168" fontId="5" fillId="12" borderId="1" xfId="1" applyNumberFormat="1" applyFont="1" applyFill="1" applyBorder="1" applyAlignment="1">
      <alignment horizontal="center" vertical="center"/>
    </xf>
    <xf numFmtId="0" fontId="5" fillId="5" borderId="1" xfId="2" applyNumberFormat="1" applyFont="1" applyFill="1" applyBorder="1" applyAlignment="1">
      <alignment horizontal="center" vertical="center" wrapText="1"/>
    </xf>
    <xf numFmtId="43" fontId="20" fillId="13" borderId="1" xfId="0" applyNumberFormat="1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 wrapText="1"/>
    </xf>
    <xf numFmtId="0" fontId="10" fillId="0" borderId="0" xfId="0" applyFont="1"/>
    <xf numFmtId="0" fontId="6" fillId="0" borderId="0" xfId="0" applyFont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 vertical="center"/>
    </xf>
    <xf numFmtId="0" fontId="5" fillId="2" borderId="1" xfId="0" applyFont="1" applyFill="1" applyBorder="1"/>
    <xf numFmtId="0" fontId="0" fillId="6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67" fontId="5" fillId="11" borderId="2" xfId="0" applyNumberFormat="1" applyFont="1" applyFill="1" applyBorder="1" applyAlignment="1">
      <alignment horizontal="center" vertical="center"/>
    </xf>
    <xf numFmtId="0" fontId="5" fillId="6" borderId="1" xfId="0" applyFont="1" applyFill="1" applyBorder="1"/>
    <xf numFmtId="166" fontId="22" fillId="13" borderId="1" xfId="1" applyNumberFormat="1" applyFont="1" applyFill="1" applyBorder="1" applyAlignment="1">
      <alignment horizontal="center" vertical="center"/>
    </xf>
    <xf numFmtId="43" fontId="12" fillId="13" borderId="1" xfId="1" applyNumberFormat="1" applyFont="1" applyFill="1" applyBorder="1" applyAlignment="1">
      <alignment horizontal="center" vertical="center"/>
    </xf>
    <xf numFmtId="0" fontId="0" fillId="6" borderId="1" xfId="0" applyFill="1" applyBorder="1"/>
    <xf numFmtId="1" fontId="0" fillId="6" borderId="3" xfId="0" applyNumberFormat="1" applyFill="1" applyBorder="1" applyAlignment="1">
      <alignment horizontal="center"/>
    </xf>
    <xf numFmtId="1" fontId="23" fillId="16" borderId="1" xfId="0" applyNumberFormat="1" applyFont="1" applyFill="1" applyBorder="1" applyAlignment="1"/>
    <xf numFmtId="2" fontId="22" fillId="13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left" vertical="center"/>
    </xf>
    <xf numFmtId="0" fontId="5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center" vertical="center"/>
    </xf>
    <xf numFmtId="43" fontId="6" fillId="17" borderId="0" xfId="1" applyFont="1" applyFill="1" applyBorder="1" applyAlignment="1">
      <alignment horizontal="center"/>
    </xf>
    <xf numFmtId="0" fontId="31" fillId="0" borderId="11" xfId="0" applyFont="1" applyFill="1" applyBorder="1" applyAlignment="1"/>
    <xf numFmtId="0" fontId="27" fillId="17" borderId="0" xfId="0" applyFont="1" applyFill="1" applyBorder="1" applyAlignment="1"/>
    <xf numFmtId="0" fontId="49" fillId="2" borderId="1" xfId="0" applyFont="1" applyFill="1" applyBorder="1" applyAlignment="1">
      <alignment horizontal="center" vertical="center"/>
    </xf>
    <xf numFmtId="0" fontId="5" fillId="0" borderId="11" xfId="0" applyFont="1" applyBorder="1"/>
    <xf numFmtId="0" fontId="50" fillId="0" borderId="11" xfId="0" applyFont="1" applyBorder="1"/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0" fillId="6" borderId="2" xfId="0" applyFill="1" applyBorder="1"/>
    <xf numFmtId="0" fontId="5" fillId="6" borderId="2" xfId="0" applyFont="1" applyFill="1" applyBorder="1"/>
    <xf numFmtId="0" fontId="5" fillId="6" borderId="4" xfId="0" applyFont="1" applyFill="1" applyBorder="1"/>
    <xf numFmtId="167" fontId="5" fillId="6" borderId="2" xfId="0" applyNumberFormat="1" applyFont="1" applyFill="1" applyBorder="1"/>
    <xf numFmtId="167" fontId="5" fillId="6" borderId="3" xfId="0" applyNumberFormat="1" applyFont="1" applyFill="1" applyBorder="1"/>
    <xf numFmtId="167" fontId="5" fillId="6" borderId="4" xfId="0" applyNumberFormat="1" applyFont="1" applyFill="1" applyBorder="1"/>
    <xf numFmtId="0" fontId="0" fillId="0" borderId="0" xfId="0"/>
    <xf numFmtId="0" fontId="5" fillId="0" borderId="0" xfId="0" applyFont="1"/>
    <xf numFmtId="0" fontId="21" fillId="0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/>
    <xf numFmtId="9" fontId="25" fillId="0" borderId="0" xfId="2" applyFont="1" applyFill="1" applyBorder="1" applyAlignment="1"/>
    <xf numFmtId="9" fontId="25" fillId="0" borderId="0" xfId="2" applyFont="1" applyFill="1" applyBorder="1" applyAlignment="1">
      <alignment wrapText="1"/>
    </xf>
    <xf numFmtId="0" fontId="28" fillId="17" borderId="11" xfId="4" applyFont="1" applyFill="1" applyBorder="1" applyAlignment="1">
      <alignment horizontal="left"/>
    </xf>
    <xf numFmtId="0" fontId="29" fillId="17" borderId="11" xfId="0" applyFont="1" applyFill="1" applyBorder="1" applyAlignment="1">
      <alignment horizontal="left"/>
    </xf>
    <xf numFmtId="0" fontId="30" fillId="0" borderId="3" xfId="0" applyFont="1" applyFill="1" applyBorder="1" applyAlignment="1"/>
    <xf numFmtId="0" fontId="29" fillId="17" borderId="11" xfId="4" applyFont="1" applyFill="1" applyBorder="1" applyAlignment="1">
      <alignment horizontal="left"/>
    </xf>
    <xf numFmtId="167" fontId="5" fillId="2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17" borderId="3" xfId="0" applyFill="1" applyBorder="1"/>
    <xf numFmtId="1" fontId="5" fillId="6" borderId="1" xfId="0" applyNumberFormat="1" applyFont="1" applyFill="1" applyBorder="1" applyAlignment="1">
      <alignment horizontal="center" vertical="center"/>
    </xf>
    <xf numFmtId="0" fontId="0" fillId="17" borderId="0" xfId="0" applyFill="1"/>
    <xf numFmtId="1" fontId="5" fillId="3" borderId="1" xfId="0" applyNumberFormat="1" applyFont="1" applyFill="1" applyBorder="1" applyAlignment="1">
      <alignment horizontal="center" vertical="center"/>
    </xf>
    <xf numFmtId="0" fontId="51" fillId="17" borderId="11" xfId="4" applyFont="1" applyFill="1" applyBorder="1" applyAlignment="1">
      <alignment horizontal="left"/>
    </xf>
    <xf numFmtId="0" fontId="51" fillId="17" borderId="11" xfId="0" applyFont="1" applyFill="1" applyBorder="1" applyAlignment="1">
      <alignment horizontal="left"/>
    </xf>
    <xf numFmtId="0" fontId="53" fillId="0" borderId="11" xfId="0" applyFont="1" applyFill="1" applyBorder="1" applyAlignment="1"/>
    <xf numFmtId="0" fontId="52" fillId="17" borderId="3" xfId="0" applyFont="1" applyFill="1" applyBorder="1"/>
    <xf numFmtId="0" fontId="29" fillId="0" borderId="11" xfId="4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51" fillId="0" borderId="11" xfId="4" applyFont="1" applyFill="1" applyBorder="1" applyAlignment="1">
      <alignment horizontal="left"/>
    </xf>
    <xf numFmtId="0" fontId="51" fillId="0" borderId="11" xfId="0" applyFont="1" applyFill="1" applyBorder="1" applyAlignment="1">
      <alignment horizontal="left"/>
    </xf>
    <xf numFmtId="0" fontId="53" fillId="0" borderId="3" xfId="4" applyFont="1" applyFill="1" applyBorder="1" applyAlignment="1">
      <alignment horizontal="left"/>
    </xf>
    <xf numFmtId="0" fontId="51" fillId="0" borderId="3" xfId="4" applyFont="1" applyFill="1" applyBorder="1" applyAlignment="1">
      <alignment horizontal="left"/>
    </xf>
    <xf numFmtId="0" fontId="51" fillId="17" borderId="3" xfId="4" applyFont="1" applyFill="1" applyBorder="1" applyAlignment="1">
      <alignment horizontal="left"/>
    </xf>
    <xf numFmtId="0" fontId="28" fillId="17" borderId="3" xfId="4" applyFont="1" applyFill="1" applyBorder="1" applyAlignment="1">
      <alignment horizontal="left"/>
    </xf>
    <xf numFmtId="0" fontId="29" fillId="50" borderId="11" xfId="0" applyFont="1" applyFill="1" applyBorder="1" applyAlignment="1">
      <alignment horizontal="left"/>
    </xf>
    <xf numFmtId="0" fontId="5" fillId="50" borderId="11" xfId="0" applyFont="1" applyFill="1" applyBorder="1"/>
    <xf numFmtId="1" fontId="5" fillId="51" borderId="1" xfId="0" applyNumberFormat="1" applyFont="1" applyFill="1" applyBorder="1" applyAlignment="1">
      <alignment horizontal="center" vertical="center"/>
    </xf>
    <xf numFmtId="2" fontId="0" fillId="15" borderId="1" xfId="0" applyNumberFormat="1" applyFont="1" applyFill="1" applyBorder="1" applyAlignment="1">
      <alignment horizontal="center" vertical="center"/>
    </xf>
    <xf numFmtId="0" fontId="53" fillId="17" borderId="11" xfId="4" applyFont="1" applyFill="1" applyBorder="1" applyAlignment="1">
      <alignment horizontal="left"/>
    </xf>
    <xf numFmtId="0" fontId="6" fillId="4" borderId="5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5" fillId="5" borderId="3" xfId="2" applyNumberFormat="1" applyFont="1" applyFill="1" applyBorder="1" applyAlignment="1">
      <alignment horizontal="center" vertical="center" wrapText="1"/>
    </xf>
    <xf numFmtId="0" fontId="15" fillId="5" borderId="3" xfId="0" applyNumberFormat="1" applyFont="1" applyFill="1" applyBorder="1" applyAlignment="1">
      <alignment horizontal="center" vertical="center"/>
    </xf>
    <xf numFmtId="0" fontId="6" fillId="4" borderId="3" xfId="0" applyNumberFormat="1" applyFont="1" applyFill="1" applyBorder="1" applyAlignment="1">
      <alignment horizontal="center" vertical="center"/>
    </xf>
    <xf numFmtId="2" fontId="6" fillId="4" borderId="5" xfId="0" applyNumberFormat="1" applyFont="1" applyFill="1" applyBorder="1" applyAlignment="1">
      <alignment horizontal="center" vertical="center"/>
    </xf>
    <xf numFmtId="0" fontId="57" fillId="17" borderId="3" xfId="0" applyFont="1" applyFill="1" applyBorder="1" applyAlignment="1"/>
    <xf numFmtId="0" fontId="31" fillId="17" borderId="3" xfId="4" applyFont="1" applyFill="1" applyBorder="1" applyAlignment="1"/>
    <xf numFmtId="0" fontId="56" fillId="17" borderId="3" xfId="4" applyFont="1" applyFill="1" applyBorder="1" applyAlignment="1"/>
    <xf numFmtId="0" fontId="27" fillId="17" borderId="3" xfId="4" applyFont="1" applyFill="1" applyBorder="1" applyAlignment="1">
      <alignment horizontal="left"/>
    </xf>
    <xf numFmtId="0" fontId="30" fillId="0" borderId="11" xfId="0" applyFont="1" applyFill="1" applyBorder="1" applyAlignment="1"/>
    <xf numFmtId="0" fontId="30" fillId="0" borderId="0" xfId="0" applyFont="1" applyFill="1" applyBorder="1" applyAlignment="1"/>
    <xf numFmtId="0" fontId="5" fillId="6" borderId="3" xfId="0" applyFont="1" applyFill="1" applyBorder="1"/>
    <xf numFmtId="0" fontId="54" fillId="2" borderId="1" xfId="0" applyFont="1" applyFill="1" applyBorder="1" applyAlignment="1">
      <alignment horizontal="center" vertical="center"/>
    </xf>
    <xf numFmtId="0" fontId="59" fillId="17" borderId="3" xfId="4" applyFont="1" applyFill="1" applyBorder="1" applyAlignment="1">
      <alignment horizontal="left"/>
    </xf>
    <xf numFmtId="0" fontId="60" fillId="3" borderId="3" xfId="0" applyFont="1" applyFill="1" applyBorder="1" applyAlignment="1">
      <alignment horizontal="left"/>
    </xf>
    <xf numFmtId="0" fontId="54" fillId="3" borderId="11" xfId="4" applyFont="1" applyFill="1" applyBorder="1" applyAlignment="1">
      <alignment horizontal="left"/>
    </xf>
    <xf numFmtId="0" fontId="54" fillId="3" borderId="11" xfId="0" applyFont="1" applyFill="1" applyBorder="1" applyAlignment="1">
      <alignment horizontal="left"/>
    </xf>
    <xf numFmtId="0" fontId="54" fillId="3" borderId="11" xfId="0" applyFont="1" applyFill="1" applyBorder="1" applyAlignment="1"/>
    <xf numFmtId="0" fontId="54" fillId="3" borderId="3" xfId="0" applyFont="1" applyFill="1" applyBorder="1" applyAlignment="1"/>
    <xf numFmtId="0" fontId="61" fillId="17" borderId="3" xfId="4" applyFont="1" applyFill="1" applyBorder="1" applyAlignment="1"/>
    <xf numFmtId="0" fontId="62" fillId="0" borderId="11" xfId="0" applyFont="1" applyBorder="1"/>
    <xf numFmtId="0" fontId="59" fillId="17" borderId="11" xfId="4" applyFont="1" applyFill="1" applyBorder="1" applyAlignment="1">
      <alignment horizontal="left"/>
    </xf>
    <xf numFmtId="0" fontId="54" fillId="17" borderId="3" xfId="0" applyFont="1" applyFill="1" applyBorder="1" applyAlignment="1">
      <alignment horizontal="left"/>
    </xf>
    <xf numFmtId="0" fontId="53" fillId="17" borderId="11" xfId="0" applyFont="1" applyFill="1" applyBorder="1" applyAlignment="1"/>
    <xf numFmtId="0" fontId="31" fillId="17" borderId="11" xfId="0" applyFont="1" applyFill="1" applyBorder="1" applyAlignment="1"/>
    <xf numFmtId="0" fontId="29" fillId="17" borderId="3" xfId="4" applyFont="1" applyFill="1" applyBorder="1" applyAlignment="1">
      <alignment horizontal="left"/>
    </xf>
    <xf numFmtId="167" fontId="5" fillId="5" borderId="1" xfId="0" applyNumberFormat="1" applyFont="1" applyFill="1" applyBorder="1" applyAlignment="1">
      <alignment horizontal="center" vertical="center"/>
    </xf>
    <xf numFmtId="9" fontId="5" fillId="5" borderId="1" xfId="2" applyFont="1" applyFill="1" applyBorder="1" applyAlignment="1">
      <alignment horizontal="center" vertical="center" wrapText="1"/>
    </xf>
    <xf numFmtId="1" fontId="5" fillId="9" borderId="1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1" fontId="5" fillId="5" borderId="1" xfId="2" applyNumberFormat="1" applyFont="1" applyFill="1" applyBorder="1" applyAlignment="1">
      <alignment horizontal="center" vertical="center" wrapText="1"/>
    </xf>
    <xf numFmtId="2" fontId="58" fillId="15" borderId="1" xfId="0" applyNumberFormat="1" applyFont="1" applyFill="1" applyBorder="1" applyAlignment="1">
      <alignment horizontal="center" vertical="center"/>
    </xf>
    <xf numFmtId="0" fontId="63" fillId="0" borderId="11" xfId="0" applyFont="1" applyBorder="1"/>
    <xf numFmtId="0" fontId="64" fillId="17" borderId="3" xfId="4" applyFont="1" applyFill="1" applyBorder="1" applyAlignment="1">
      <alignment horizontal="left"/>
    </xf>
    <xf numFmtId="0" fontId="29" fillId="17" borderId="7" xfId="4" applyFont="1" applyFill="1" applyBorder="1" applyAlignment="1">
      <alignment horizontal="left"/>
    </xf>
    <xf numFmtId="0" fontId="28" fillId="17" borderId="11" xfId="0" applyFont="1" applyFill="1" applyBorder="1" applyAlignment="1">
      <alignment horizontal="left"/>
    </xf>
    <xf numFmtId="0" fontId="60" fillId="17" borderId="3" xfId="0" applyFont="1" applyFill="1" applyBorder="1" applyAlignment="1"/>
    <xf numFmtId="0" fontId="55" fillId="17" borderId="3" xfId="4" applyFont="1" applyFill="1" applyBorder="1" applyAlignment="1"/>
    <xf numFmtId="0" fontId="29" fillId="17" borderId="3" xfId="4" applyFont="1" applyFill="1" applyBorder="1" applyAlignment="1"/>
    <xf numFmtId="0" fontId="65" fillId="50" borderId="7" xfId="0" applyFont="1" applyFill="1" applyBorder="1" applyAlignment="1">
      <alignment vertical="center"/>
    </xf>
    <xf numFmtId="0" fontId="28" fillId="3" borderId="3" xfId="0" applyFont="1" applyFill="1" applyBorder="1" applyAlignment="1">
      <alignment horizontal="left"/>
    </xf>
    <xf numFmtId="0" fontId="17" fillId="0" borderId="11" xfId="0" applyFont="1" applyBorder="1"/>
    <xf numFmtId="0" fontId="61" fillId="17" borderId="3" xfId="4" applyFont="1" applyFill="1" applyBorder="1" applyAlignment="1">
      <alignment horizontal="left"/>
    </xf>
    <xf numFmtId="0" fontId="58" fillId="0" borderId="11" xfId="0" applyFont="1" applyBorder="1" applyAlignment="1">
      <alignment horizontal="left" vertical="top"/>
    </xf>
    <xf numFmtId="0" fontId="58" fillId="17" borderId="3" xfId="4" applyFont="1" applyFill="1" applyBorder="1" applyAlignment="1"/>
    <xf numFmtId="0" fontId="60" fillId="2" borderId="1" xfId="0" applyFont="1" applyFill="1" applyBorder="1" applyAlignment="1">
      <alignment horizontal="center" vertical="center"/>
    </xf>
    <xf numFmtId="0" fontId="3" fillId="17" borderId="3" xfId="0" applyFont="1" applyFill="1" applyBorder="1"/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27" fillId="17" borderId="11" xfId="4" applyFont="1" applyFill="1" applyBorder="1" applyAlignment="1">
      <alignment horizontal="left"/>
    </xf>
    <xf numFmtId="0" fontId="64" fillId="17" borderId="3" xfId="4" applyFont="1" applyFill="1" applyBorder="1" applyAlignment="1"/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27" fillId="17" borderId="7" xfId="4" applyFont="1" applyFill="1" applyBorder="1" applyAlignment="1">
      <alignment horizontal="left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54" fillId="17" borderId="3" xfId="4" applyFont="1" applyFill="1" applyBorder="1" applyAlignment="1">
      <alignment horizontal="left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16" fillId="6" borderId="9" xfId="3" quotePrefix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64" fontId="6" fillId="2" borderId="4" xfId="0" applyNumberFormat="1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5" fontId="6" fillId="4" borderId="2" xfId="0" applyNumberFormat="1" applyFont="1" applyFill="1" applyBorder="1" applyAlignment="1">
      <alignment horizontal="center" vertical="center"/>
    </xf>
    <xf numFmtId="165" fontId="6" fillId="4" borderId="4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5" fillId="5" borderId="2" xfId="2" applyNumberFormat="1" applyFont="1" applyFill="1" applyBorder="1" applyAlignment="1">
      <alignment horizontal="center" vertical="center" wrapText="1"/>
    </xf>
    <xf numFmtId="0" fontId="5" fillId="5" borderId="4" xfId="2" applyNumberFormat="1" applyFont="1" applyFill="1" applyBorder="1" applyAlignment="1">
      <alignment horizontal="center" vertical="center" wrapText="1"/>
    </xf>
    <xf numFmtId="0" fontId="15" fillId="5" borderId="2" xfId="0" applyNumberFormat="1" applyFont="1" applyFill="1" applyBorder="1" applyAlignment="1">
      <alignment horizontal="center" vertical="center"/>
    </xf>
    <xf numFmtId="0" fontId="15" fillId="5" borderId="4" xfId="0" applyNumberFormat="1" applyFont="1" applyFill="1" applyBorder="1" applyAlignment="1">
      <alignment horizontal="center" vertical="center"/>
    </xf>
    <xf numFmtId="0" fontId="6" fillId="4" borderId="2" xfId="0" applyNumberFormat="1" applyFont="1" applyFill="1" applyBorder="1" applyAlignment="1">
      <alignment horizontal="center" vertical="center"/>
    </xf>
    <xf numFmtId="0" fontId="6" fillId="4" borderId="4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16" fillId="6" borderId="5" xfId="3" quotePrefix="1" applyFill="1" applyBorder="1" applyAlignment="1">
      <alignment horizontal="center" vertical="center" wrapText="1"/>
    </xf>
    <xf numFmtId="0" fontId="16" fillId="6" borderId="9" xfId="3" quotePrefix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 vertical="center" wrapText="1"/>
    </xf>
    <xf numFmtId="0" fontId="6" fillId="6" borderId="9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 wrapText="1"/>
    </xf>
    <xf numFmtId="0" fontId="6" fillId="6" borderId="7" xfId="0" applyFont="1" applyFill="1" applyBorder="1" applyAlignment="1">
      <alignment horizontal="center" vertical="center" wrapText="1"/>
    </xf>
    <xf numFmtId="0" fontId="6" fillId="6" borderId="8" xfId="0" applyFont="1" applyFill="1" applyBorder="1" applyAlignment="1">
      <alignment horizontal="center" vertical="center" wrapText="1"/>
    </xf>
    <xf numFmtId="0" fontId="6" fillId="6" borderId="1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6" borderId="12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6" fillId="6" borderId="2" xfId="0" applyNumberFormat="1" applyFont="1" applyFill="1" applyBorder="1" applyAlignment="1">
      <alignment horizontal="center" vertical="center" wrapText="1"/>
    </xf>
    <xf numFmtId="0" fontId="6" fillId="6" borderId="3" xfId="0" applyNumberFormat="1" applyFont="1" applyFill="1" applyBorder="1" applyAlignment="1">
      <alignment horizontal="center" vertical="center" wrapText="1"/>
    </xf>
    <xf numFmtId="0" fontId="6" fillId="6" borderId="4" xfId="0" applyNumberFormat="1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15" fillId="6" borderId="9" xfId="0" applyFont="1" applyFill="1" applyBorder="1" applyAlignment="1">
      <alignment horizontal="center" vertical="center" wrapText="1"/>
    </xf>
    <xf numFmtId="169" fontId="0" fillId="0" borderId="0" xfId="0" applyNumberFormat="1"/>
  </cellXfs>
  <cellStyles count="5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Comma" xfId="1" builtinId="3"/>
    <cellStyle name="Comma 2" xfId="51" xr:uid="{00000000-0005-0000-0000-00001C000000}"/>
    <cellStyle name="Comma 3" xfId="53" xr:uid="{00000000-0005-0000-0000-00001D000000}"/>
    <cellStyle name="Comma 3 2" xfId="55" xr:uid="{00000000-0005-0000-0000-00001E000000}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Hyperlink" xfId="3" builtinId="8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2" xfId="50" xr:uid="{00000000-0005-0000-0000-00002A000000}"/>
    <cellStyle name="Normal 2 2" xfId="48" xr:uid="{00000000-0005-0000-0000-00002B000000}"/>
    <cellStyle name="Normal 2 3" xfId="45" xr:uid="{00000000-0005-0000-0000-00002C000000}"/>
    <cellStyle name="Normal 2 4" xfId="52" xr:uid="{00000000-0005-0000-0000-00002D000000}"/>
    <cellStyle name="Normal 2_JUNE 16-22" xfId="47" xr:uid="{00000000-0005-0000-0000-00002E000000}"/>
    <cellStyle name="Normal 3" xfId="4" xr:uid="{00000000-0005-0000-0000-00002F000000}"/>
    <cellStyle name="Normal 4" xfId="54" xr:uid="{00000000-0005-0000-0000-000030000000}"/>
    <cellStyle name="Normal 4 2" xfId="56" xr:uid="{00000000-0005-0000-0000-000031000000}"/>
    <cellStyle name="Normal 5" xfId="46" xr:uid="{00000000-0005-0000-0000-000032000000}"/>
    <cellStyle name="Note 2" xfId="49" xr:uid="{00000000-0005-0000-0000-000033000000}"/>
    <cellStyle name="Output" xfId="14" builtinId="21" customBuiltin="1"/>
    <cellStyle name="Percent" xfId="2" builtinId="5"/>
    <cellStyle name="Title" xfId="5" builtinId="15" customBuiltin="1"/>
    <cellStyle name="Total" xfId="20" builtinId="25" customBuiltin="1"/>
    <cellStyle name="Warning Text" xfId="18" builtinId="11" customBuiltin="1"/>
  </cellStyles>
  <dxfs count="527"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FF00"/>
      <color rgb="FF0000FF"/>
      <color rgb="FFF2DC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6.VILLAMOR%20DAILY%20DATA%20-%20JUNE%202018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N 1"/>
      <sheetName val="JUN 2"/>
      <sheetName val="JUN 3"/>
      <sheetName val="JUN 4"/>
      <sheetName val="JUN 5"/>
      <sheetName val="JUN 6"/>
      <sheetName val="JUN 7"/>
      <sheetName val="JUN 8"/>
      <sheetName val="JUN 9"/>
      <sheetName val="JUN 10"/>
      <sheetName val="JUN 11"/>
      <sheetName val="JUN 12"/>
      <sheetName val="JUN 13"/>
      <sheetName val="JUN 14"/>
      <sheetName val="JUN 15"/>
      <sheetName val="JUN 16"/>
      <sheetName val="JUN 17"/>
      <sheetName val="JUN 18"/>
      <sheetName val="JUN 19"/>
      <sheetName val="JUN 20"/>
      <sheetName val="JUN 21"/>
      <sheetName val="JUN 22"/>
      <sheetName val="JUN 23"/>
      <sheetName val="JUN 24"/>
      <sheetName val="JUN 25"/>
      <sheetName val="JUN 26"/>
      <sheetName val="JUN 27"/>
      <sheetName val="JUN 28"/>
      <sheetName val="JUN 29"/>
      <sheetName val="JUN 30"/>
    </sheetNames>
    <sheetDataSet>
      <sheetData sheetId="0">
        <row r="12">
          <cell r="D12" t="str">
            <v>DEF</v>
          </cell>
        </row>
      </sheetData>
      <sheetData sheetId="1">
        <row r="12">
          <cell r="D12" t="str">
            <v>DEF</v>
          </cell>
        </row>
      </sheetData>
      <sheetData sheetId="2">
        <row r="12">
          <cell r="D12" t="str">
            <v>DEF</v>
          </cell>
        </row>
      </sheetData>
      <sheetData sheetId="3">
        <row r="12">
          <cell r="D12" t="str">
            <v>DEF</v>
          </cell>
        </row>
      </sheetData>
      <sheetData sheetId="4">
        <row r="12">
          <cell r="D12" t="str">
            <v>DEF</v>
          </cell>
        </row>
      </sheetData>
      <sheetData sheetId="5">
        <row r="12">
          <cell r="D12">
            <v>3</v>
          </cell>
        </row>
      </sheetData>
      <sheetData sheetId="6">
        <row r="12">
          <cell r="D12">
            <v>3</v>
          </cell>
        </row>
      </sheetData>
      <sheetData sheetId="7">
        <row r="12">
          <cell r="D12">
            <v>3</v>
          </cell>
        </row>
      </sheetData>
      <sheetData sheetId="8">
        <row r="12">
          <cell r="D12">
            <v>4</v>
          </cell>
        </row>
      </sheetData>
      <sheetData sheetId="9">
        <row r="12">
          <cell r="D12" t="str">
            <v>DEF</v>
          </cell>
        </row>
      </sheetData>
      <sheetData sheetId="10">
        <row r="12">
          <cell r="D12" t="str">
            <v>DEF</v>
          </cell>
        </row>
      </sheetData>
      <sheetData sheetId="11">
        <row r="12">
          <cell r="D12" t="str">
            <v>DEF</v>
          </cell>
        </row>
      </sheetData>
      <sheetData sheetId="12">
        <row r="12">
          <cell r="D12" t="str">
            <v>DEF</v>
          </cell>
        </row>
      </sheetData>
      <sheetData sheetId="13">
        <row r="12">
          <cell r="D12">
            <v>3</v>
          </cell>
        </row>
      </sheetData>
      <sheetData sheetId="14">
        <row r="12">
          <cell r="D12">
            <v>3</v>
          </cell>
        </row>
      </sheetData>
      <sheetData sheetId="15">
        <row r="12">
          <cell r="D12" t="str">
            <v>DEF</v>
          </cell>
        </row>
      </sheetData>
      <sheetData sheetId="16">
        <row r="12">
          <cell r="D12" t="str">
            <v>DEF</v>
          </cell>
        </row>
      </sheetData>
      <sheetData sheetId="17">
        <row r="12">
          <cell r="D12" t="str">
            <v>DEF</v>
          </cell>
        </row>
      </sheetData>
      <sheetData sheetId="18">
        <row r="12">
          <cell r="D12" t="str">
            <v>DEF</v>
          </cell>
        </row>
      </sheetData>
      <sheetData sheetId="19">
        <row r="12">
          <cell r="D12" t="str">
            <v>DEF</v>
          </cell>
        </row>
      </sheetData>
      <sheetData sheetId="20">
        <row r="12">
          <cell r="D12" t="str">
            <v>DEF</v>
          </cell>
        </row>
      </sheetData>
      <sheetData sheetId="21">
        <row r="12">
          <cell r="D12" t="str">
            <v>DEF</v>
          </cell>
        </row>
      </sheetData>
      <sheetData sheetId="22">
        <row r="12">
          <cell r="D12" t="str">
            <v>DEF</v>
          </cell>
        </row>
      </sheetData>
      <sheetData sheetId="23">
        <row r="12">
          <cell r="D12" t="str">
            <v>DEF</v>
          </cell>
        </row>
      </sheetData>
      <sheetData sheetId="24">
        <row r="12">
          <cell r="D12" t="str">
            <v>DEF</v>
          </cell>
        </row>
      </sheetData>
      <sheetData sheetId="25">
        <row r="12">
          <cell r="D12" t="str">
            <v>DEF</v>
          </cell>
        </row>
      </sheetData>
      <sheetData sheetId="26">
        <row r="12">
          <cell r="D12" t="str">
            <v>DEF</v>
          </cell>
        </row>
      </sheetData>
      <sheetData sheetId="27">
        <row r="12">
          <cell r="D12" t="str">
            <v>DEF</v>
          </cell>
        </row>
      </sheetData>
      <sheetData sheetId="28">
        <row r="12">
          <cell r="D12" t="str">
            <v>DEF</v>
          </cell>
        </row>
      </sheetData>
      <sheetData sheetId="29">
        <row r="35">
          <cell r="S35">
            <v>99951744</v>
          </cell>
          <cell r="AI35">
            <v>17032141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7030A0"/>
  </sheetPr>
  <dimension ref="A2:BB88"/>
  <sheetViews>
    <sheetView zoomScaleNormal="100" workbookViewId="0">
      <selection activeCell="B12" sqref="B12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172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17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77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43282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27549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78"/>
      <c r="C9" s="179"/>
      <c r="D9" s="180"/>
      <c r="E9" s="181"/>
      <c r="F9" s="181"/>
      <c r="G9" s="181"/>
      <c r="H9" s="181"/>
      <c r="I9" s="182"/>
      <c r="J9" s="121"/>
      <c r="K9" s="180"/>
      <c r="L9" s="181"/>
      <c r="M9" s="182"/>
      <c r="N9" s="29"/>
      <c r="O9" s="29"/>
      <c r="P9" s="29"/>
      <c r="Q9" s="121"/>
      <c r="R9" s="121"/>
      <c r="S9" s="121"/>
      <c r="T9" s="122"/>
      <c r="U9" s="123"/>
      <c r="V9" s="124"/>
      <c r="W9" s="180"/>
      <c r="X9" s="182"/>
      <c r="Y9" s="30"/>
      <c r="Z9" s="175"/>
      <c r="AA9" s="125"/>
      <c r="AB9" s="126"/>
      <c r="AC9" s="126"/>
      <c r="AD9" s="125"/>
      <c r="AE9" s="125"/>
      <c r="AF9" s="127"/>
      <c r="AG9" s="17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173" t="s">
        <v>51</v>
      </c>
      <c r="X10" s="173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171" t="s">
        <v>55</v>
      </c>
      <c r="AI10" s="171" t="s">
        <v>56</v>
      </c>
      <c r="AJ10" s="314" t="s">
        <v>57</v>
      </c>
      <c r="AK10" s="329" t="s">
        <v>58</v>
      </c>
      <c r="AL10" s="173" t="s">
        <v>59</v>
      </c>
      <c r="AM10" s="173" t="s">
        <v>60</v>
      </c>
      <c r="AN10" s="173" t="s">
        <v>61</v>
      </c>
      <c r="AO10" s="173" t="s">
        <v>62</v>
      </c>
      <c r="AP10" s="173" t="s">
        <v>63</v>
      </c>
      <c r="AQ10" s="173" t="s">
        <v>124</v>
      </c>
      <c r="AR10" s="173" t="s">
        <v>64</v>
      </c>
      <c r="AS10" s="173" t="s">
        <v>65</v>
      </c>
      <c r="AT10" s="312" t="s">
        <v>66</v>
      </c>
      <c r="AU10" s="173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73" t="s">
        <v>72</v>
      </c>
      <c r="C11" s="173" t="s">
        <v>73</v>
      </c>
      <c r="D11" s="173" t="s">
        <v>74</v>
      </c>
      <c r="E11" s="173" t="s">
        <v>75</v>
      </c>
      <c r="F11" s="173" t="s">
        <v>127</v>
      </c>
      <c r="G11" s="173" t="s">
        <v>74</v>
      </c>
      <c r="H11" s="173" t="s">
        <v>75</v>
      </c>
      <c r="I11" s="173" t="s">
        <v>127</v>
      </c>
      <c r="J11" s="309"/>
      <c r="K11" s="173" t="s">
        <v>75</v>
      </c>
      <c r="L11" s="173" t="s">
        <v>75</v>
      </c>
      <c r="M11" s="173" t="s">
        <v>75</v>
      </c>
      <c r="N11" s="28" t="s">
        <v>29</v>
      </c>
      <c r="O11" s="311"/>
      <c r="P11" s="28" t="s">
        <v>29</v>
      </c>
      <c r="Q11" s="313"/>
      <c r="R11" s="313"/>
      <c r="S11" s="1">
        <f>'[1]JUN 30'!$S$35</f>
        <v>99951744</v>
      </c>
      <c r="T11" s="322"/>
      <c r="U11" s="323"/>
      <c r="V11" s="324"/>
      <c r="W11" s="173" t="s">
        <v>75</v>
      </c>
      <c r="X11" s="173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'[1]JUN 30'!$AI$35</f>
        <v>17032141</v>
      </c>
      <c r="AJ11" s="314"/>
      <c r="AK11" s="330"/>
      <c r="AL11" s="173" t="s">
        <v>84</v>
      </c>
      <c r="AM11" s="173" t="s">
        <v>84</v>
      </c>
      <c r="AN11" s="173" t="s">
        <v>84</v>
      </c>
      <c r="AO11" s="173" t="s">
        <v>84</v>
      </c>
      <c r="AP11" s="173" t="s">
        <v>84</v>
      </c>
      <c r="AQ11" s="173" t="s">
        <v>84</v>
      </c>
      <c r="AR11" s="173" t="s">
        <v>84</v>
      </c>
      <c r="AS11" s="1"/>
      <c r="AT11" s="313"/>
      <c r="AU11" s="174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43282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1</v>
      </c>
      <c r="G13" s="118">
        <v>69</v>
      </c>
      <c r="H13" s="150">
        <f t="shared" ref="H13:H36" si="0">G13/1.42</f>
        <v>48.591549295774648</v>
      </c>
      <c r="I13" s="150">
        <v>68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99956671</v>
      </c>
      <c r="T13" s="45">
        <f>IF(ISBLANK(S13),"-",S13-S11)</f>
        <v>4927</v>
      </c>
      <c r="U13" s="46">
        <f>T13*24/1000</f>
        <v>118.248</v>
      </c>
      <c r="V13" s="46">
        <f>T13/1000</f>
        <v>4.9269999999999996</v>
      </c>
      <c r="W13" s="96">
        <v>3.9</v>
      </c>
      <c r="X13" s="96">
        <f t="shared" ref="X13:X36" si="1">W13</f>
        <v>3.9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17033236</v>
      </c>
      <c r="AJ13" s="45">
        <f>IF(ISBLANK(AI13),"-",AI13-AI11)</f>
        <v>1095</v>
      </c>
      <c r="AK13" s="48">
        <f>AJ13/V13</f>
        <v>222.24477369596104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43282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3</v>
      </c>
      <c r="G14" s="118">
        <v>70</v>
      </c>
      <c r="H14" s="150">
        <f t="shared" si="0"/>
        <v>49.295774647887328</v>
      </c>
      <c r="I14" s="150">
        <v>69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99961550</v>
      </c>
      <c r="T14" s="45">
        <f t="shared" ref="T14:T36" si="4">IF(ISBLANK(S14),"-",S14-S13)</f>
        <v>4879</v>
      </c>
      <c r="U14" s="46">
        <f t="shared" ref="U14:U37" si="5">T14*24/1000</f>
        <v>117.096</v>
      </c>
      <c r="V14" s="46">
        <f t="shared" ref="V14:V37" si="6">T14/1000</f>
        <v>4.8789999999999996</v>
      </c>
      <c r="W14" s="96">
        <v>3.7</v>
      </c>
      <c r="X14" s="96">
        <f t="shared" si="1"/>
        <v>3.7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17034347</v>
      </c>
      <c r="AJ14" s="45">
        <f t="shared" ref="AJ14:AJ36" si="7">IF(ISBLANK(AI14),"-",AI14-AI13)</f>
        <v>1111</v>
      </c>
      <c r="AK14" s="48">
        <f>AJ14/V14</f>
        <v>227.71059643369546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0.97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43282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4</v>
      </c>
      <c r="G15" s="118">
        <v>72</v>
      </c>
      <c r="H15" s="150">
        <f t="shared" si="0"/>
        <v>50.70422535211268</v>
      </c>
      <c r="I15" s="150">
        <v>71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99966288</v>
      </c>
      <c r="T15" s="45">
        <f>IF(ISBLANK(S15),"-",S15-S14)</f>
        <v>4738</v>
      </c>
      <c r="U15" s="46">
        <f t="shared" si="5"/>
        <v>113.712</v>
      </c>
      <c r="V15" s="46">
        <f t="shared" si="6"/>
        <v>4.7380000000000004</v>
      </c>
      <c r="W15" s="96">
        <v>6.8</v>
      </c>
      <c r="X15" s="96">
        <f t="shared" si="1"/>
        <v>6.8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17035443</v>
      </c>
      <c r="AJ15" s="45">
        <f t="shared" si="7"/>
        <v>1096</v>
      </c>
      <c r="AK15" s="48">
        <f t="shared" ref="AK15:AK36" si="9">AJ15/V15</f>
        <v>231.32123258758969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43282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5</v>
      </c>
      <c r="G16" s="118">
        <v>70</v>
      </c>
      <c r="H16" s="150">
        <f t="shared" si="0"/>
        <v>49.295774647887328</v>
      </c>
      <c r="I16" s="150">
        <v>69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99971028</v>
      </c>
      <c r="T16" s="45">
        <f t="shared" si="4"/>
        <v>4740</v>
      </c>
      <c r="U16" s="46">
        <f t="shared" si="5"/>
        <v>113.76</v>
      </c>
      <c r="V16" s="46">
        <f t="shared" si="6"/>
        <v>4.74</v>
      </c>
      <c r="W16" s="96">
        <v>8.3000000000000007</v>
      </c>
      <c r="X16" s="96">
        <f t="shared" si="1"/>
        <v>8.3000000000000007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17036554</v>
      </c>
      <c r="AJ16" s="45">
        <f t="shared" si="7"/>
        <v>1111</v>
      </c>
      <c r="AK16" s="48">
        <f t="shared" si="9"/>
        <v>234.38818565400842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43282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7</v>
      </c>
      <c r="G17" s="118">
        <v>81</v>
      </c>
      <c r="H17" s="150">
        <f t="shared" si="0"/>
        <v>57.04225352112676</v>
      </c>
      <c r="I17" s="150">
        <v>80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99975770</v>
      </c>
      <c r="T17" s="45">
        <f t="shared" si="4"/>
        <v>4742</v>
      </c>
      <c r="U17" s="46">
        <f t="shared" si="5"/>
        <v>113.80800000000001</v>
      </c>
      <c r="V17" s="46">
        <f t="shared" si="6"/>
        <v>4.742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17037648</v>
      </c>
      <c r="AJ17" s="45">
        <f t="shared" si="7"/>
        <v>1094</v>
      </c>
      <c r="AK17" s="48">
        <f t="shared" si="9"/>
        <v>230.70434415858287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43282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81</v>
      </c>
      <c r="H18" s="150">
        <f t="shared" si="0"/>
        <v>57.04225352112676</v>
      </c>
      <c r="I18" s="150">
        <v>80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99980951</v>
      </c>
      <c r="T18" s="45">
        <f t="shared" si="4"/>
        <v>5181</v>
      </c>
      <c r="U18" s="46">
        <f t="shared" si="5"/>
        <v>124.34399999999999</v>
      </c>
      <c r="V18" s="46">
        <f t="shared" si="6"/>
        <v>5.181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17038768</v>
      </c>
      <c r="AJ18" s="45">
        <f t="shared" si="7"/>
        <v>1120</v>
      </c>
      <c r="AK18" s="48">
        <f t="shared" si="9"/>
        <v>216.17448369040724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1.08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43282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79</v>
      </c>
      <c r="H19" s="150">
        <f t="shared" si="0"/>
        <v>55.633802816901408</v>
      </c>
      <c r="I19" s="150">
        <v>78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99985815</v>
      </c>
      <c r="T19" s="45">
        <f t="shared" si="4"/>
        <v>4864</v>
      </c>
      <c r="U19" s="46">
        <f t="shared" si="5"/>
        <v>116.736</v>
      </c>
      <c r="V19" s="46">
        <f t="shared" si="6"/>
        <v>4.8639999999999999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17039859</v>
      </c>
      <c r="AJ19" s="45">
        <f t="shared" si="7"/>
        <v>1091</v>
      </c>
      <c r="AK19" s="48">
        <f t="shared" si="9"/>
        <v>224.30098684210526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43282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7</v>
      </c>
      <c r="G20" s="118">
        <v>78</v>
      </c>
      <c r="H20" s="150">
        <f t="shared" si="0"/>
        <v>54.929577464788736</v>
      </c>
      <c r="I20" s="150">
        <v>77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99991057</v>
      </c>
      <c r="T20" s="45">
        <f t="shared" si="4"/>
        <v>5242</v>
      </c>
      <c r="U20" s="46">
        <f>T20*24/1000</f>
        <v>125.80800000000001</v>
      </c>
      <c r="V20" s="46">
        <f t="shared" si="6"/>
        <v>5.242</v>
      </c>
      <c r="W20" s="96">
        <v>9.3000000000000007</v>
      </c>
      <c r="X20" s="96">
        <f t="shared" si="1"/>
        <v>9.3000000000000007</v>
      </c>
      <c r="Y20" s="97" t="s">
        <v>168</v>
      </c>
      <c r="Z20" s="154">
        <v>1017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17041018</v>
      </c>
      <c r="AJ20" s="45">
        <f t="shared" si="7"/>
        <v>1159</v>
      </c>
      <c r="AK20" s="48">
        <f t="shared" si="9"/>
        <v>221.09881724532622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43282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6</v>
      </c>
      <c r="G21" s="118">
        <v>77</v>
      </c>
      <c r="H21" s="150">
        <f t="shared" si="0"/>
        <v>54.225352112676056</v>
      </c>
      <c r="I21" s="150">
        <v>75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99995777</v>
      </c>
      <c r="T21" s="45">
        <f t="shared" si="4"/>
        <v>4720</v>
      </c>
      <c r="U21" s="46">
        <f t="shared" si="5"/>
        <v>113.28</v>
      </c>
      <c r="V21" s="46">
        <f t="shared" si="6"/>
        <v>4.72</v>
      </c>
      <c r="W21" s="96">
        <v>8.6999999999999993</v>
      </c>
      <c r="X21" s="96">
        <f t="shared" si="1"/>
        <v>8.6999999999999993</v>
      </c>
      <c r="Y21" s="97" t="s">
        <v>168</v>
      </c>
      <c r="Z21" s="154">
        <v>1037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17042197</v>
      </c>
      <c r="AJ21" s="45">
        <f t="shared" si="7"/>
        <v>1179</v>
      </c>
      <c r="AK21" s="48">
        <f t="shared" si="9"/>
        <v>249.78813559322035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43282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6</v>
      </c>
      <c r="G22" s="118">
        <v>76</v>
      </c>
      <c r="H22" s="150">
        <f t="shared" si="0"/>
        <v>53.521126760563384</v>
      </c>
      <c r="I22" s="150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100000345</v>
      </c>
      <c r="T22" s="45">
        <f t="shared" si="4"/>
        <v>4568</v>
      </c>
      <c r="U22" s="46">
        <f t="shared" si="5"/>
        <v>109.63200000000001</v>
      </c>
      <c r="V22" s="46">
        <f t="shared" si="6"/>
        <v>4.5679999999999996</v>
      </c>
      <c r="W22" s="96">
        <v>8.1</v>
      </c>
      <c r="X22" s="96">
        <f t="shared" si="1"/>
        <v>8.1</v>
      </c>
      <c r="Y22" s="97" t="s">
        <v>168</v>
      </c>
      <c r="Z22" s="154">
        <v>1037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17043392</v>
      </c>
      <c r="AJ22" s="45">
        <f t="shared" si="7"/>
        <v>1195</v>
      </c>
      <c r="AK22" s="48">
        <f t="shared" si="9"/>
        <v>261.60245183887918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0.97</v>
      </c>
      <c r="AV22" s="50" t="s">
        <v>126</v>
      </c>
      <c r="BB22" s="136" t="s">
        <v>156</v>
      </c>
    </row>
    <row r="23" spans="1:54" x14ac:dyDescent="0.35">
      <c r="A23" s="331">
        <v>43282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100004948</v>
      </c>
      <c r="T23" s="45">
        <f t="shared" si="4"/>
        <v>4603</v>
      </c>
      <c r="U23" s="46">
        <f t="shared" si="5"/>
        <v>110.47199999999999</v>
      </c>
      <c r="V23" s="46">
        <f t="shared" si="6"/>
        <v>4.6029999999999998</v>
      </c>
      <c r="W23" s="96">
        <v>7.4</v>
      </c>
      <c r="X23" s="96">
        <f>W23</f>
        <v>7.4</v>
      </c>
      <c r="Y23" s="97" t="s">
        <v>168</v>
      </c>
      <c r="Z23" s="154">
        <v>1058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17044599</v>
      </c>
      <c r="AJ23" s="45">
        <f t="shared" si="7"/>
        <v>1207</v>
      </c>
      <c r="AK23" s="48">
        <f t="shared" si="9"/>
        <v>262.22029111449058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43282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5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100009466</v>
      </c>
      <c r="T24" s="45">
        <f t="shared" si="4"/>
        <v>4518</v>
      </c>
      <c r="U24" s="46">
        <f>T24*24/1000</f>
        <v>108.432</v>
      </c>
      <c r="V24" s="46">
        <f t="shared" si="6"/>
        <v>4.5179999999999998</v>
      </c>
      <c r="W24" s="96">
        <v>6.7</v>
      </c>
      <c r="X24" s="96">
        <f t="shared" si="1"/>
        <v>6.7</v>
      </c>
      <c r="Y24" s="97" t="s">
        <v>168</v>
      </c>
      <c r="Z24" s="154">
        <v>1058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17045806</v>
      </c>
      <c r="AJ24" s="45">
        <f t="shared" si="7"/>
        <v>1207</v>
      </c>
      <c r="AK24" s="48">
        <f t="shared" si="9"/>
        <v>267.15360779105799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43282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4</v>
      </c>
      <c r="G25" s="118">
        <v>74</v>
      </c>
      <c r="H25" s="150">
        <f t="shared" si="0"/>
        <v>52.112676056338032</v>
      </c>
      <c r="I25" s="150">
        <v>73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100013839</v>
      </c>
      <c r="T25" s="45">
        <f t="shared" si="4"/>
        <v>4373</v>
      </c>
      <c r="U25" s="46">
        <f>T25*24/1000</f>
        <v>104.952</v>
      </c>
      <c r="V25" s="46">
        <f t="shared" si="6"/>
        <v>4.3730000000000002</v>
      </c>
      <c r="W25" s="96">
        <v>6</v>
      </c>
      <c r="X25" s="96">
        <f t="shared" si="1"/>
        <v>6</v>
      </c>
      <c r="Y25" s="97" t="s">
        <v>168</v>
      </c>
      <c r="Z25" s="154">
        <v>1017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17046985</v>
      </c>
      <c r="AJ25" s="45">
        <f t="shared" si="7"/>
        <v>1179</v>
      </c>
      <c r="AK25" s="48">
        <f t="shared" si="9"/>
        <v>269.6089640978733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43282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4</v>
      </c>
      <c r="G26" s="118">
        <v>74</v>
      </c>
      <c r="H26" s="150">
        <f t="shared" si="0"/>
        <v>52.112676056338032</v>
      </c>
      <c r="I26" s="150">
        <v>73</v>
      </c>
      <c r="J26" s="41" t="s">
        <v>88</v>
      </c>
      <c r="K26" s="41">
        <f t="shared" si="3"/>
        <v>50.70422535211268</v>
      </c>
      <c r="L26" s="42">
        <f t="shared" si="10"/>
        <v>52.112676056338032</v>
      </c>
      <c r="M26" s="41">
        <f t="shared" ref="M26:M36" si="12">L26+(6/1.42)</f>
        <v>56.338028169014088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100018291</v>
      </c>
      <c r="T26" s="45">
        <f t="shared" si="4"/>
        <v>4452</v>
      </c>
      <c r="U26" s="46">
        <f t="shared" si="5"/>
        <v>106.848</v>
      </c>
      <c r="V26" s="46">
        <f t="shared" si="6"/>
        <v>4.452</v>
      </c>
      <c r="W26" s="96">
        <v>5.4</v>
      </c>
      <c r="X26" s="96">
        <f t="shared" si="1"/>
        <v>5.4</v>
      </c>
      <c r="Y26" s="97" t="s">
        <v>168</v>
      </c>
      <c r="Z26" s="154">
        <v>1016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17048218</v>
      </c>
      <c r="AJ26" s="45">
        <f t="shared" si="7"/>
        <v>1233</v>
      </c>
      <c r="AK26" s="48">
        <f t="shared" si="9"/>
        <v>276.95417789757414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43282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3</v>
      </c>
      <c r="G27" s="118">
        <v>74</v>
      </c>
      <c r="H27" s="150">
        <f t="shared" si="0"/>
        <v>52.112676056338032</v>
      </c>
      <c r="I27" s="150">
        <v>72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100022511</v>
      </c>
      <c r="T27" s="45">
        <f t="shared" si="4"/>
        <v>4220</v>
      </c>
      <c r="U27" s="46">
        <f t="shared" si="5"/>
        <v>101.28</v>
      </c>
      <c r="V27" s="46">
        <f t="shared" si="6"/>
        <v>4.22</v>
      </c>
      <c r="W27" s="96">
        <v>5</v>
      </c>
      <c r="X27" s="96">
        <f t="shared" si="1"/>
        <v>5</v>
      </c>
      <c r="Y27" s="97" t="s">
        <v>168</v>
      </c>
      <c r="Z27" s="154">
        <v>1016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17049362</v>
      </c>
      <c r="AJ27" s="45">
        <f t="shared" si="7"/>
        <v>1144</v>
      </c>
      <c r="AK27" s="48">
        <f t="shared" si="9"/>
        <v>271.09004739336496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43282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3</v>
      </c>
      <c r="G28" s="118">
        <v>75</v>
      </c>
      <c r="H28" s="150">
        <f t="shared" si="0"/>
        <v>52.816901408450704</v>
      </c>
      <c r="I28" s="150">
        <v>72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100026938</v>
      </c>
      <c r="T28" s="45">
        <f t="shared" si="4"/>
        <v>4427</v>
      </c>
      <c r="U28" s="46">
        <f t="shared" si="5"/>
        <v>106.248</v>
      </c>
      <c r="V28" s="46">
        <f t="shared" si="6"/>
        <v>4.4269999999999996</v>
      </c>
      <c r="W28" s="96">
        <v>4.5</v>
      </c>
      <c r="X28" s="96">
        <f t="shared" si="1"/>
        <v>4.5</v>
      </c>
      <c r="Y28" s="97" t="s">
        <v>168</v>
      </c>
      <c r="Z28" s="154">
        <v>1016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17050536</v>
      </c>
      <c r="AJ28" s="45">
        <f>IF(ISBLANK(AI28),"-",AI28-AI27)</f>
        <v>1174</v>
      </c>
      <c r="AK28" s="48">
        <f t="shared" si="9"/>
        <v>265.19087418116106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43282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2</v>
      </c>
      <c r="G29" s="118">
        <v>74</v>
      </c>
      <c r="H29" s="150">
        <f t="shared" si="0"/>
        <v>52.112676056338032</v>
      </c>
      <c r="I29" s="150">
        <v>71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100031197</v>
      </c>
      <c r="T29" s="45">
        <f t="shared" si="4"/>
        <v>4259</v>
      </c>
      <c r="U29" s="46">
        <f t="shared" si="5"/>
        <v>102.21599999999999</v>
      </c>
      <c r="V29" s="46">
        <f t="shared" si="6"/>
        <v>4.2590000000000003</v>
      </c>
      <c r="W29" s="96">
        <v>4</v>
      </c>
      <c r="X29" s="96">
        <f t="shared" si="1"/>
        <v>4</v>
      </c>
      <c r="Y29" s="97" t="s">
        <v>168</v>
      </c>
      <c r="Z29" s="154">
        <v>1016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17051668</v>
      </c>
      <c r="AJ29" s="45">
        <f t="shared" si="7"/>
        <v>1132</v>
      </c>
      <c r="AK29" s="48">
        <f>AJ28/V29</f>
        <v>275.65156139938949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43282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2</v>
      </c>
      <c r="G30" s="118">
        <v>74</v>
      </c>
      <c r="H30" s="150">
        <f t="shared" si="0"/>
        <v>52.112676056338032</v>
      </c>
      <c r="I30" s="150">
        <v>71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100035641</v>
      </c>
      <c r="T30" s="45">
        <f t="shared" si="4"/>
        <v>4444</v>
      </c>
      <c r="U30" s="46">
        <f t="shared" si="5"/>
        <v>106.65600000000001</v>
      </c>
      <c r="V30" s="46">
        <f t="shared" si="6"/>
        <v>4.444</v>
      </c>
      <c r="W30" s="96">
        <v>3.5</v>
      </c>
      <c r="X30" s="96">
        <f t="shared" si="1"/>
        <v>3.5</v>
      </c>
      <c r="Y30" s="97" t="s">
        <v>168</v>
      </c>
      <c r="Z30" s="154">
        <v>1016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17052827</v>
      </c>
      <c r="AJ30" s="45">
        <f t="shared" si="7"/>
        <v>1159</v>
      </c>
      <c r="AK30" s="48">
        <f>AJ29/V30</f>
        <v>254.72547254725472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1.1000000000000001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43282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1</v>
      </c>
      <c r="G31" s="118">
        <v>74</v>
      </c>
      <c r="H31" s="150">
        <f t="shared" si="0"/>
        <v>52.112676056338032</v>
      </c>
      <c r="I31" s="150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100040122</v>
      </c>
      <c r="T31" s="45">
        <f t="shared" si="4"/>
        <v>4481</v>
      </c>
      <c r="U31" s="46">
        <f t="shared" si="5"/>
        <v>107.544</v>
      </c>
      <c r="V31" s="46">
        <f t="shared" si="6"/>
        <v>4.4809999999999999</v>
      </c>
      <c r="W31" s="96">
        <v>3.2</v>
      </c>
      <c r="X31" s="96">
        <f t="shared" si="1"/>
        <v>3.2</v>
      </c>
      <c r="Y31" s="97" t="s">
        <v>168</v>
      </c>
      <c r="Z31" s="154">
        <v>1016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17053995</v>
      </c>
      <c r="AJ31" s="45">
        <f t="shared" si="7"/>
        <v>1168</v>
      </c>
      <c r="AK31" s="48">
        <f t="shared" si="9"/>
        <v>260.65610354831512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43282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1</v>
      </c>
      <c r="G32" s="118">
        <v>75</v>
      </c>
      <c r="H32" s="150">
        <f t="shared" si="0"/>
        <v>52.816901408450704</v>
      </c>
      <c r="I32" s="150">
        <v>70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100044725</v>
      </c>
      <c r="T32" s="45">
        <f t="shared" si="4"/>
        <v>4603</v>
      </c>
      <c r="U32" s="46">
        <f t="shared" si="5"/>
        <v>110.47199999999999</v>
      </c>
      <c r="V32" s="46">
        <f t="shared" si="6"/>
        <v>4.6029999999999998</v>
      </c>
      <c r="W32" s="96">
        <v>2.8</v>
      </c>
      <c r="X32" s="96">
        <f t="shared" si="1"/>
        <v>2.8</v>
      </c>
      <c r="Y32" s="97" t="s">
        <v>168</v>
      </c>
      <c r="Z32" s="154">
        <v>1016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17055143</v>
      </c>
      <c r="AJ32" s="45">
        <f t="shared" si="7"/>
        <v>1148</v>
      </c>
      <c r="AK32" s="48">
        <f t="shared" si="9"/>
        <v>249.4025635455138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Y32" s="315" t="s">
        <v>115</v>
      </c>
      <c r="AZ32" s="315"/>
      <c r="BB32" s="74" t="s">
        <v>155</v>
      </c>
    </row>
    <row r="33" spans="1:54" x14ac:dyDescent="0.35">
      <c r="A33" s="331">
        <v>43282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0</v>
      </c>
      <c r="G33" s="118">
        <v>75</v>
      </c>
      <c r="H33" s="150">
        <f t="shared" si="0"/>
        <v>52.816901408450704</v>
      </c>
      <c r="I33" s="150">
        <v>69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100049344</v>
      </c>
      <c r="T33" s="45">
        <f t="shared" si="4"/>
        <v>4619</v>
      </c>
      <c r="U33" s="46">
        <f t="shared" si="5"/>
        <v>110.85599999999999</v>
      </c>
      <c r="V33" s="46">
        <f t="shared" si="6"/>
        <v>4.6189999999999998</v>
      </c>
      <c r="W33" s="96">
        <v>2.5</v>
      </c>
      <c r="X33" s="96">
        <f t="shared" si="1"/>
        <v>2.5</v>
      </c>
      <c r="Y33" s="97" t="s">
        <v>168</v>
      </c>
      <c r="Z33" s="154">
        <v>1016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17056280</v>
      </c>
      <c r="AJ33" s="45">
        <f t="shared" si="7"/>
        <v>1137</v>
      </c>
      <c r="AK33" s="48">
        <f t="shared" si="9"/>
        <v>246.15717687811215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43282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1</v>
      </c>
      <c r="G34" s="118">
        <v>77</v>
      </c>
      <c r="H34" s="150">
        <f t="shared" si="0"/>
        <v>54.225352112676056</v>
      </c>
      <c r="I34" s="150">
        <v>70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100054478</v>
      </c>
      <c r="T34" s="45">
        <f t="shared" si="4"/>
        <v>5134</v>
      </c>
      <c r="U34" s="46">
        <f t="shared" si="5"/>
        <v>123.21599999999999</v>
      </c>
      <c r="V34" s="46">
        <f t="shared" si="6"/>
        <v>5.1340000000000003</v>
      </c>
      <c r="W34" s="96">
        <v>2.2999999999999998</v>
      </c>
      <c r="X34" s="96">
        <f t="shared" si="1"/>
        <v>2.2999999999999998</v>
      </c>
      <c r="Y34" s="97" t="s">
        <v>168</v>
      </c>
      <c r="Z34" s="154">
        <v>1015</v>
      </c>
      <c r="AA34" s="154">
        <v>0</v>
      </c>
      <c r="AB34" s="154">
        <v>1186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17057424</v>
      </c>
      <c r="AJ34" s="45">
        <f t="shared" si="7"/>
        <v>1144</v>
      </c>
      <c r="AK34" s="48">
        <f t="shared" si="9"/>
        <v>222.82820412933384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43282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2</v>
      </c>
      <c r="G35" s="118">
        <v>72</v>
      </c>
      <c r="H35" s="150">
        <f t="shared" si="0"/>
        <v>50.70422535211268</v>
      </c>
      <c r="I35" s="150">
        <v>70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100058756</v>
      </c>
      <c r="T35" s="45">
        <f t="shared" si="4"/>
        <v>4278</v>
      </c>
      <c r="U35" s="46">
        <f t="shared" si="5"/>
        <v>102.672</v>
      </c>
      <c r="V35" s="46">
        <f t="shared" si="6"/>
        <v>4.2779999999999996</v>
      </c>
      <c r="W35" s="96">
        <v>2.7</v>
      </c>
      <c r="X35" s="96">
        <f t="shared" si="1"/>
        <v>2.7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17058504</v>
      </c>
      <c r="AJ35" s="45">
        <f t="shared" si="7"/>
        <v>1080</v>
      </c>
      <c r="AK35" s="48">
        <f t="shared" si="9"/>
        <v>252.4544179523142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43282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3</v>
      </c>
      <c r="G36" s="118">
        <v>75</v>
      </c>
      <c r="H36" s="150">
        <f t="shared" si="0"/>
        <v>52.816901408450704</v>
      </c>
      <c r="I36" s="150">
        <v>72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100063798</v>
      </c>
      <c r="T36" s="45">
        <f t="shared" si="4"/>
        <v>5042</v>
      </c>
      <c r="U36" s="46">
        <f t="shared" si="5"/>
        <v>121.008</v>
      </c>
      <c r="V36" s="46">
        <f t="shared" si="6"/>
        <v>5.0419999999999998</v>
      </c>
      <c r="W36" s="96">
        <v>3.6</v>
      </c>
      <c r="X36" s="96">
        <f t="shared" si="1"/>
        <v>3.6</v>
      </c>
      <c r="Y36" s="97" t="s">
        <v>139</v>
      </c>
      <c r="Z36" s="154">
        <v>0</v>
      </c>
      <c r="AA36" s="154">
        <v>0</v>
      </c>
      <c r="AB36" s="154">
        <v>1127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17059690</v>
      </c>
      <c r="AJ36" s="45">
        <f t="shared" si="7"/>
        <v>1186</v>
      </c>
      <c r="AK36" s="48">
        <f t="shared" si="9"/>
        <v>235.22411741372471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112054</v>
      </c>
      <c r="U37" s="46">
        <f t="shared" si="5"/>
        <v>2689.2959999999998</v>
      </c>
      <c r="V37" s="46">
        <f t="shared" si="6"/>
        <v>112.054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27549</v>
      </c>
      <c r="AK37" s="61">
        <f>$AJ$37/$V37</f>
        <v>245.85467720920269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1.0549999999999999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165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167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15" t="s">
        <v>169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170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171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83" t="s">
        <v>172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173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174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15" t="s">
        <v>175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209" t="s">
        <v>176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 t="s">
        <v>177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4:W4" name="Range1_16_1_1_1_1_1_1_2_2_2_2_2_2_2_2_2_2_2_2_2_2_2_2_2_2_2_2_2_2_2_1_2_2_2_2_2_2_2_2_2_2_3_2_2_2_2_2_2_2_2_2_2_1_1_1_1_2_2_1_1_1_1_1_1_1_1_1_1_1_1_1_1_3_1_2_1_1_1_1_1"/>
    <protectedRange sqref="R5:W5" name="Range1_16_1_1_1_1_1_1_2_2_2_2_2_2_2_2_2_2_2_2_2_2_2_2_2_2_2_2_2_2_2_1_2_2_2_2_2_2_2_2_2_2_3_2_2_2_2_2_2_2_2_2_2_1_1_1_1_2_2_1_1_1_1_1_1_1_1_1_1_3_1_3_2_1_1_1_1_1_2_1_1_1_1_1_2_1_1"/>
    <protectedRange sqref="R3:W3" name="Range1_16_1_1_1_1_1_1_2_2_2_2_2_2_2_2_2_2_2_2_2_2_2_2_2_2_2_2_2_2_2_1_2_2_2_2_2_2_2_2_2_2_3_2_2_2_2_2_2_2_2_2_2_1_1_1_1_2_2_1_1_1_1_1_1_1_1_1_1_1_1_1_1_3_1_2_1_1_1_1_1_1_2_1_1_1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10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526" priority="5" operator="containsText" text="N/A">
      <formula>NOT(ISERROR(SEARCH("N/A",Z13)))</formula>
    </cfRule>
    <cfRule type="cellIs" dxfId="525" priority="17" operator="equal">
      <formula>0</formula>
    </cfRule>
  </conditionalFormatting>
  <conditionalFormatting sqref="Z13:AG36">
    <cfRule type="cellIs" dxfId="524" priority="16" operator="greaterThanOrEqual">
      <formula>1185</formula>
    </cfRule>
  </conditionalFormatting>
  <conditionalFormatting sqref="Z13:AG36">
    <cfRule type="cellIs" dxfId="523" priority="15" operator="between">
      <formula>0.1</formula>
      <formula>1184</formula>
    </cfRule>
  </conditionalFormatting>
  <conditionalFormatting sqref="Z8:Z9 AT13:AT36 AL37:AQ37 AL13:AR36">
    <cfRule type="cellIs" dxfId="522" priority="14" operator="equal">
      <formula>0</formula>
    </cfRule>
  </conditionalFormatting>
  <conditionalFormatting sqref="Z8:Z9 AT13:AT36 AL37:AQ37 AL13:AR36">
    <cfRule type="cellIs" dxfId="521" priority="13" operator="greaterThan">
      <formula>1179</formula>
    </cfRule>
  </conditionalFormatting>
  <conditionalFormatting sqref="Z8:Z9 AT13:AT36 AL37:AQ37 AL13:AR36">
    <cfRule type="cellIs" dxfId="520" priority="12" operator="greaterThan">
      <formula>99</formula>
    </cfRule>
  </conditionalFormatting>
  <conditionalFormatting sqref="Z8:Z9 AT13:AT36 AL37:AQ37 AL13:AR36">
    <cfRule type="cellIs" dxfId="519" priority="11" operator="greaterThan">
      <formula>0.99</formula>
    </cfRule>
  </conditionalFormatting>
  <conditionalFormatting sqref="AD8:AD9">
    <cfRule type="cellIs" dxfId="518" priority="10" operator="equal">
      <formula>0</formula>
    </cfRule>
  </conditionalFormatting>
  <conditionalFormatting sqref="AD8:AD9">
    <cfRule type="cellIs" dxfId="517" priority="9" operator="greaterThan">
      <formula>1179</formula>
    </cfRule>
  </conditionalFormatting>
  <conditionalFormatting sqref="AD8:AD9">
    <cfRule type="cellIs" dxfId="516" priority="8" operator="greaterThan">
      <formula>99</formula>
    </cfRule>
  </conditionalFormatting>
  <conditionalFormatting sqref="AD8:AD9">
    <cfRule type="cellIs" dxfId="515" priority="7" operator="greaterThan">
      <formula>0.99</formula>
    </cfRule>
  </conditionalFormatting>
  <conditionalFormatting sqref="AK13:AK36">
    <cfRule type="cellIs" dxfId="514" priority="6" operator="greaterThan">
      <formula>$AK$8</formula>
    </cfRule>
  </conditionalFormatting>
  <conditionalFormatting sqref="AS13:AS36">
    <cfRule type="containsText" dxfId="513" priority="1" operator="containsText" text="N/A">
      <formula>NOT(ISERROR(SEARCH("N/A",AS13)))</formula>
    </cfRule>
    <cfRule type="cellIs" dxfId="512" priority="4" operator="equal">
      <formula>0</formula>
    </cfRule>
  </conditionalFormatting>
  <conditionalFormatting sqref="AS13:AS36">
    <cfRule type="cellIs" dxfId="511" priority="3" operator="greaterThanOrEqual">
      <formula>1185</formula>
    </cfRule>
  </conditionalFormatting>
  <conditionalFormatting sqref="AS13:AS36">
    <cfRule type="cellIs" dxfId="510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000-000000000000}">
      <formula1>$BB$11:$BB$42</formula1>
    </dataValidation>
    <dataValidation type="list" allowBlank="1" showInputMessage="1" showErrorMessage="1" sqref="AY33:AZ33" xr:uid="{00000000-0002-0000-0000-000001000000}">
      <formula1>$AY$26:$AY$30</formula1>
    </dataValidation>
    <dataValidation type="list" allowBlank="1" showInputMessage="1" showErrorMessage="1" sqref="AS8:AT9 P11:P12 N11:N12 D8:E9 Q8:V9" xr:uid="{00000000-0002-0000-0000-000002000000}">
      <formula1>#REF!</formula1>
    </dataValidation>
    <dataValidation type="list" allowBlank="1" showInputMessage="1" showErrorMessage="1" sqref="J13:J36" xr:uid="{00000000-0002-0000-0000-000003000000}">
      <formula1>$AY$11:$AY$21</formula1>
    </dataValidation>
  </dataValidations>
  <hyperlinks>
    <hyperlink ref="J10:J11" location="'1'!AH8" display="Plant Status" xr:uid="{00000000-0004-0000-0000-000000000000}"/>
  </hyperlink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7030A0"/>
  </sheetPr>
  <dimension ref="A2:BB88"/>
  <sheetViews>
    <sheetView topLeftCell="A13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140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145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186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19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91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43283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27312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92"/>
      <c r="C9" s="193"/>
      <c r="D9" s="194"/>
      <c r="E9" s="195"/>
      <c r="F9" s="195"/>
      <c r="G9" s="195"/>
      <c r="H9" s="195"/>
      <c r="I9" s="196"/>
      <c r="J9" s="121"/>
      <c r="K9" s="194"/>
      <c r="L9" s="195"/>
      <c r="M9" s="196"/>
      <c r="N9" s="29"/>
      <c r="O9" s="29"/>
      <c r="P9" s="29"/>
      <c r="Q9" s="121"/>
      <c r="R9" s="121"/>
      <c r="S9" s="121"/>
      <c r="T9" s="122"/>
      <c r="U9" s="123"/>
      <c r="V9" s="124"/>
      <c r="W9" s="194"/>
      <c r="X9" s="196"/>
      <c r="Y9" s="30"/>
      <c r="Z9" s="189"/>
      <c r="AA9" s="125"/>
      <c r="AB9" s="126"/>
      <c r="AC9" s="126"/>
      <c r="AD9" s="125"/>
      <c r="AE9" s="125"/>
      <c r="AF9" s="127"/>
      <c r="AG9" s="19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187" t="s">
        <v>51</v>
      </c>
      <c r="X10" s="187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185" t="s">
        <v>55</v>
      </c>
      <c r="AI10" s="185" t="s">
        <v>56</v>
      </c>
      <c r="AJ10" s="314" t="s">
        <v>57</v>
      </c>
      <c r="AK10" s="329" t="s">
        <v>58</v>
      </c>
      <c r="AL10" s="187" t="s">
        <v>59</v>
      </c>
      <c r="AM10" s="187" t="s">
        <v>60</v>
      </c>
      <c r="AN10" s="187" t="s">
        <v>61</v>
      </c>
      <c r="AO10" s="187" t="s">
        <v>62</v>
      </c>
      <c r="AP10" s="187" t="s">
        <v>63</v>
      </c>
      <c r="AQ10" s="187" t="s">
        <v>124</v>
      </c>
      <c r="AR10" s="187" t="s">
        <v>64</v>
      </c>
      <c r="AS10" s="187" t="s">
        <v>65</v>
      </c>
      <c r="AT10" s="312" t="s">
        <v>66</v>
      </c>
      <c r="AU10" s="187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187" t="s">
        <v>72</v>
      </c>
      <c r="C11" s="187" t="s">
        <v>73</v>
      </c>
      <c r="D11" s="187" t="s">
        <v>74</v>
      </c>
      <c r="E11" s="187" t="s">
        <v>75</v>
      </c>
      <c r="F11" s="187" t="s">
        <v>127</v>
      </c>
      <c r="G11" s="187" t="s">
        <v>74</v>
      </c>
      <c r="H11" s="187" t="s">
        <v>75</v>
      </c>
      <c r="I11" s="187" t="s">
        <v>127</v>
      </c>
      <c r="J11" s="309"/>
      <c r="K11" s="187" t="s">
        <v>75</v>
      </c>
      <c r="L11" s="187" t="s">
        <v>75</v>
      </c>
      <c r="M11" s="187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1'!S36</f>
        <v>100063798</v>
      </c>
      <c r="T11" s="322"/>
      <c r="U11" s="323"/>
      <c r="V11" s="324"/>
      <c r="W11" s="187" t="s">
        <v>75</v>
      </c>
      <c r="X11" s="187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1'!AI36</f>
        <v>17059690</v>
      </c>
      <c r="AJ11" s="314"/>
      <c r="AK11" s="330"/>
      <c r="AL11" s="187" t="s">
        <v>84</v>
      </c>
      <c r="AM11" s="187" t="s">
        <v>84</v>
      </c>
      <c r="AN11" s="187" t="s">
        <v>84</v>
      </c>
      <c r="AO11" s="187" t="s">
        <v>84</v>
      </c>
      <c r="AP11" s="187" t="s">
        <v>84</v>
      </c>
      <c r="AQ11" s="187" t="s">
        <v>84</v>
      </c>
      <c r="AR11" s="187" t="s">
        <v>84</v>
      </c>
      <c r="AS11" s="1"/>
      <c r="AT11" s="313"/>
      <c r="AU11" s="188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43283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75</v>
      </c>
      <c r="H13" s="150">
        <f t="shared" ref="H13:H36" si="0">G13/1.42</f>
        <v>52.816901408450704</v>
      </c>
      <c r="I13" s="150">
        <v>72</v>
      </c>
      <c r="J13" s="41" t="s">
        <v>88</v>
      </c>
      <c r="K13" s="41">
        <f>L13-(2/1.42)</f>
        <v>47.887323943661976</v>
      </c>
      <c r="L13" s="42">
        <f>(G13-5)/1.42</f>
        <v>49.295774647887328</v>
      </c>
      <c r="M13" s="41">
        <f>L13+(6/1.42)</f>
        <v>53.521126760563384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100068132</v>
      </c>
      <c r="T13" s="45">
        <f>IF(ISBLANK(S13),"-",S13-S11)</f>
        <v>4334</v>
      </c>
      <c r="U13" s="46">
        <f>T13*24/1000</f>
        <v>104.01600000000001</v>
      </c>
      <c r="V13" s="46">
        <f>T13/1000</f>
        <v>4.3339999999999996</v>
      </c>
      <c r="W13" s="96">
        <v>4.5999999999999996</v>
      </c>
      <c r="X13" s="96">
        <f t="shared" ref="X13:X36" si="1">W13</f>
        <v>4.5999999999999996</v>
      </c>
      <c r="Y13" s="97" t="s">
        <v>139</v>
      </c>
      <c r="Z13" s="154">
        <v>0</v>
      </c>
      <c r="AA13" s="154">
        <v>0</v>
      </c>
      <c r="AB13" s="154">
        <v>1096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17060734</v>
      </c>
      <c r="AJ13" s="45">
        <f>IF(ISBLANK(AI13),"-",AI13-AI11)</f>
        <v>1044</v>
      </c>
      <c r="AK13" s="48">
        <f>AJ13/V13</f>
        <v>240.88601753576376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43283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6</v>
      </c>
      <c r="G14" s="118">
        <v>75</v>
      </c>
      <c r="H14" s="150">
        <f t="shared" si="0"/>
        <v>52.816901408450704</v>
      </c>
      <c r="I14" s="150">
        <v>72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100072216</v>
      </c>
      <c r="T14" s="45">
        <f t="shared" ref="T14:T36" si="4">IF(ISBLANK(S14),"-",S14-S13)</f>
        <v>4084</v>
      </c>
      <c r="U14" s="46">
        <f t="shared" ref="U14:U37" si="5">T14*24/1000</f>
        <v>98.016000000000005</v>
      </c>
      <c r="V14" s="46">
        <f t="shared" ref="V14:V37" si="6">T14/1000</f>
        <v>4.0839999999999996</v>
      </c>
      <c r="W14" s="96">
        <v>5.4</v>
      </c>
      <c r="X14" s="96">
        <f t="shared" si="1"/>
        <v>5.4</v>
      </c>
      <c r="Y14" s="97" t="s">
        <v>139</v>
      </c>
      <c r="Z14" s="154">
        <v>0</v>
      </c>
      <c r="AA14" s="154">
        <v>0</v>
      </c>
      <c r="AB14" s="154">
        <v>1077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17061694</v>
      </c>
      <c r="AJ14" s="45">
        <f t="shared" ref="AJ14:AJ36" si="7">IF(ISBLANK(AI14),"-",AI14-AI13)</f>
        <v>960</v>
      </c>
      <c r="AK14" s="48">
        <f>AJ14/V14</f>
        <v>235.06366307541629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0.96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43283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7</v>
      </c>
      <c r="G15" s="118">
        <v>75</v>
      </c>
      <c r="H15" s="150">
        <f t="shared" si="0"/>
        <v>52.816901408450704</v>
      </c>
      <c r="I15" s="150">
        <v>72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100076566</v>
      </c>
      <c r="T15" s="45">
        <f>IF(ISBLANK(S15),"-",S15-S14)</f>
        <v>4350</v>
      </c>
      <c r="U15" s="46">
        <f t="shared" si="5"/>
        <v>104.4</v>
      </c>
      <c r="V15" s="46">
        <f t="shared" si="6"/>
        <v>4.3499999999999996</v>
      </c>
      <c r="W15" s="96">
        <v>6.7</v>
      </c>
      <c r="X15" s="96">
        <f t="shared" si="1"/>
        <v>6.7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17062798</v>
      </c>
      <c r="AJ15" s="45">
        <f t="shared" si="7"/>
        <v>1104</v>
      </c>
      <c r="AK15" s="48">
        <f t="shared" ref="AK15:AK36" si="9">AJ15/V15</f>
        <v>253.79310344827587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43283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73</v>
      </c>
      <c r="H16" s="150">
        <f t="shared" si="0"/>
        <v>51.408450704225352</v>
      </c>
      <c r="I16" s="150">
        <v>74</v>
      </c>
      <c r="J16" s="41" t="s">
        <v>88</v>
      </c>
      <c r="K16" s="41">
        <f t="shared" si="3"/>
        <v>46.478873239436624</v>
      </c>
      <c r="L16" s="42">
        <f>(G16-5)/1.42</f>
        <v>47.887323943661976</v>
      </c>
      <c r="M16" s="41">
        <f>L16+(6/1.42)</f>
        <v>52.112676056338032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100080998</v>
      </c>
      <c r="T16" s="45">
        <f t="shared" si="4"/>
        <v>4432</v>
      </c>
      <c r="U16" s="46">
        <f t="shared" si="5"/>
        <v>106.36799999999999</v>
      </c>
      <c r="V16" s="46">
        <f t="shared" si="6"/>
        <v>4.4320000000000004</v>
      </c>
      <c r="W16" s="96">
        <v>8.1999999999999993</v>
      </c>
      <c r="X16" s="96">
        <f t="shared" si="1"/>
        <v>8.1999999999999993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17063906</v>
      </c>
      <c r="AJ16" s="45">
        <f t="shared" si="7"/>
        <v>1108</v>
      </c>
      <c r="AK16" s="48">
        <f t="shared" si="9"/>
        <v>249.99999999999997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43283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9</v>
      </c>
      <c r="G17" s="118">
        <v>81</v>
      </c>
      <c r="H17" s="150">
        <f t="shared" si="0"/>
        <v>57.04225352112676</v>
      </c>
      <c r="I17" s="150">
        <v>76</v>
      </c>
      <c r="J17" s="41" t="s">
        <v>88</v>
      </c>
      <c r="K17" s="41">
        <f t="shared" si="3"/>
        <v>52.112676056338032</v>
      </c>
      <c r="L17" s="42">
        <f>(G17-5)/1.42</f>
        <v>53.521126760563384</v>
      </c>
      <c r="M17" s="41">
        <f>L17+(6/1.42)</f>
        <v>57.74647887323944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100085396</v>
      </c>
      <c r="T17" s="45">
        <f t="shared" si="4"/>
        <v>4398</v>
      </c>
      <c r="U17" s="46">
        <f t="shared" si="5"/>
        <v>105.55200000000001</v>
      </c>
      <c r="V17" s="46">
        <f t="shared" si="6"/>
        <v>4.3979999999999997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17065020</v>
      </c>
      <c r="AJ17" s="45">
        <f t="shared" si="7"/>
        <v>1114</v>
      </c>
      <c r="AK17" s="48">
        <f t="shared" si="9"/>
        <v>253.29695316052752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0.8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43283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9</v>
      </c>
      <c r="G18" s="118">
        <v>78</v>
      </c>
      <c r="H18" s="150">
        <f t="shared" si="0"/>
        <v>54.929577464788736</v>
      </c>
      <c r="I18" s="150">
        <v>77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100090380</v>
      </c>
      <c r="T18" s="45">
        <f t="shared" si="4"/>
        <v>4984</v>
      </c>
      <c r="U18" s="46">
        <f t="shared" si="5"/>
        <v>119.616</v>
      </c>
      <c r="V18" s="46">
        <f t="shared" si="6"/>
        <v>4.984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17066157</v>
      </c>
      <c r="AJ18" s="45">
        <f t="shared" si="7"/>
        <v>1137</v>
      </c>
      <c r="AK18" s="48">
        <f t="shared" si="9"/>
        <v>228.13001605136438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1.03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43283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78</v>
      </c>
      <c r="H19" s="150">
        <f t="shared" si="0"/>
        <v>54.929577464788736</v>
      </c>
      <c r="I19" s="150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100095170</v>
      </c>
      <c r="T19" s="45">
        <f t="shared" si="4"/>
        <v>4790</v>
      </c>
      <c r="U19" s="46">
        <f t="shared" si="5"/>
        <v>114.96</v>
      </c>
      <c r="V19" s="46">
        <f t="shared" si="6"/>
        <v>4.79</v>
      </c>
      <c r="W19" s="96">
        <v>9.1</v>
      </c>
      <c r="X19" s="96">
        <f t="shared" si="1"/>
        <v>9.1</v>
      </c>
      <c r="Y19" s="97" t="s">
        <v>168</v>
      </c>
      <c r="Z19" s="154">
        <v>0</v>
      </c>
      <c r="AA19" s="154">
        <v>995</v>
      </c>
      <c r="AB19" s="154">
        <v>1188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17067267</v>
      </c>
      <c r="AJ19" s="45">
        <f t="shared" si="7"/>
        <v>1110</v>
      </c>
      <c r="AK19" s="48">
        <f t="shared" si="9"/>
        <v>231.73277661795407</v>
      </c>
      <c r="AL19" s="151">
        <v>0</v>
      </c>
      <c r="AM19" s="151">
        <v>1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43283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6</v>
      </c>
      <c r="G20" s="118">
        <v>77</v>
      </c>
      <c r="H20" s="150">
        <f t="shared" si="0"/>
        <v>54.225352112676056</v>
      </c>
      <c r="I20" s="150">
        <v>75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100099825</v>
      </c>
      <c r="T20" s="45">
        <f t="shared" si="4"/>
        <v>4655</v>
      </c>
      <c r="U20" s="46">
        <f>T20*24/1000</f>
        <v>111.72</v>
      </c>
      <c r="V20" s="46">
        <f t="shared" si="6"/>
        <v>4.6550000000000002</v>
      </c>
      <c r="W20" s="96">
        <v>8.6</v>
      </c>
      <c r="X20" s="96">
        <f t="shared" si="1"/>
        <v>8.6</v>
      </c>
      <c r="Y20" s="97" t="s">
        <v>168</v>
      </c>
      <c r="Z20" s="154">
        <v>0</v>
      </c>
      <c r="AA20" s="154">
        <v>1016</v>
      </c>
      <c r="AB20" s="154">
        <v>1186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17068440</v>
      </c>
      <c r="AJ20" s="45">
        <f t="shared" si="7"/>
        <v>1173</v>
      </c>
      <c r="AK20" s="48">
        <f t="shared" si="9"/>
        <v>251.98711063372716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43283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5</v>
      </c>
      <c r="G21" s="118">
        <v>76</v>
      </c>
      <c r="H21" s="150">
        <f t="shared" si="0"/>
        <v>53.521126760563384</v>
      </c>
      <c r="I21" s="150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100104388</v>
      </c>
      <c r="T21" s="45">
        <f t="shared" si="4"/>
        <v>4563</v>
      </c>
      <c r="U21" s="46">
        <f t="shared" si="5"/>
        <v>109.512</v>
      </c>
      <c r="V21" s="46">
        <f t="shared" si="6"/>
        <v>4.5629999999999997</v>
      </c>
      <c r="W21" s="96">
        <v>8</v>
      </c>
      <c r="X21" s="96">
        <f t="shared" si="1"/>
        <v>8</v>
      </c>
      <c r="Y21" s="97" t="s">
        <v>168</v>
      </c>
      <c r="Z21" s="154">
        <v>0</v>
      </c>
      <c r="AA21" s="154">
        <v>1016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17069631</v>
      </c>
      <c r="AJ21" s="45">
        <f t="shared" si="7"/>
        <v>1191</v>
      </c>
      <c r="AK21" s="48">
        <f t="shared" si="9"/>
        <v>261.01249178172259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43283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4</v>
      </c>
      <c r="G22" s="118">
        <v>77</v>
      </c>
      <c r="H22" s="150">
        <f t="shared" si="0"/>
        <v>54.225352112676056</v>
      </c>
      <c r="I22" s="150">
        <v>75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100108952</v>
      </c>
      <c r="T22" s="45">
        <f t="shared" si="4"/>
        <v>4564</v>
      </c>
      <c r="U22" s="46">
        <f t="shared" si="5"/>
        <v>109.536</v>
      </c>
      <c r="V22" s="46">
        <f t="shared" si="6"/>
        <v>4.5640000000000001</v>
      </c>
      <c r="W22" s="96">
        <v>7.4</v>
      </c>
      <c r="X22" s="96">
        <f t="shared" si="1"/>
        <v>7.4</v>
      </c>
      <c r="Y22" s="97" t="s">
        <v>168</v>
      </c>
      <c r="Z22" s="154">
        <v>0</v>
      </c>
      <c r="AA22" s="154">
        <v>1028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17070815</v>
      </c>
      <c r="AJ22" s="45">
        <f t="shared" si="7"/>
        <v>1184</v>
      </c>
      <c r="AK22" s="48">
        <f t="shared" si="9"/>
        <v>259.42156003505698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1.1200000000000001</v>
      </c>
      <c r="AV22" s="50" t="s">
        <v>126</v>
      </c>
      <c r="BB22" s="136" t="s">
        <v>156</v>
      </c>
    </row>
    <row r="23" spans="1:54" x14ac:dyDescent="0.35">
      <c r="A23" s="331">
        <v>43283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2</v>
      </c>
      <c r="G23" s="118">
        <v>76</v>
      </c>
      <c r="H23" s="150">
        <f t="shared" si="0"/>
        <v>53.521126760563384</v>
      </c>
      <c r="I23" s="150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100113347</v>
      </c>
      <c r="T23" s="45">
        <f t="shared" si="4"/>
        <v>4395</v>
      </c>
      <c r="U23" s="46">
        <f t="shared" si="5"/>
        <v>105.48</v>
      </c>
      <c r="V23" s="46">
        <f t="shared" si="6"/>
        <v>4.3949999999999996</v>
      </c>
      <c r="W23" s="96">
        <v>6.9</v>
      </c>
      <c r="X23" s="96">
        <f>W23</f>
        <v>6.9</v>
      </c>
      <c r="Y23" s="97" t="s">
        <v>168</v>
      </c>
      <c r="Z23" s="154">
        <v>0</v>
      </c>
      <c r="AA23" s="154">
        <v>1027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17071982</v>
      </c>
      <c r="AJ23" s="45">
        <f t="shared" si="7"/>
        <v>1167</v>
      </c>
      <c r="AK23" s="48">
        <f t="shared" si="9"/>
        <v>265.52901023890786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43283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0</v>
      </c>
      <c r="G24" s="118">
        <v>75</v>
      </c>
      <c r="H24" s="150">
        <f t="shared" si="0"/>
        <v>52.816901408450704</v>
      </c>
      <c r="I24" s="150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100117787</v>
      </c>
      <c r="T24" s="45">
        <f t="shared" si="4"/>
        <v>4440</v>
      </c>
      <c r="U24" s="46">
        <f>T24*24/1000</f>
        <v>106.56</v>
      </c>
      <c r="V24" s="46">
        <f t="shared" si="6"/>
        <v>4.4400000000000004</v>
      </c>
      <c r="W24" s="96">
        <v>6.3</v>
      </c>
      <c r="X24" s="96">
        <f t="shared" si="1"/>
        <v>6.3</v>
      </c>
      <c r="Y24" s="97" t="s">
        <v>168</v>
      </c>
      <c r="Z24" s="154">
        <v>0</v>
      </c>
      <c r="AA24" s="154">
        <v>1027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17073173</v>
      </c>
      <c r="AJ24" s="45">
        <f t="shared" si="7"/>
        <v>1191</v>
      </c>
      <c r="AK24" s="48">
        <f t="shared" si="9"/>
        <v>268.24324324324323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43283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0</v>
      </c>
      <c r="G25" s="118">
        <v>77</v>
      </c>
      <c r="H25" s="150">
        <f t="shared" si="0"/>
        <v>54.225352112676056</v>
      </c>
      <c r="I25" s="150">
        <v>73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100122179</v>
      </c>
      <c r="T25" s="45">
        <f t="shared" si="4"/>
        <v>4392</v>
      </c>
      <c r="U25" s="46">
        <f>T25*24/1000</f>
        <v>105.408</v>
      </c>
      <c r="V25" s="46">
        <f t="shared" si="6"/>
        <v>4.3920000000000003</v>
      </c>
      <c r="W25" s="96">
        <v>5.8</v>
      </c>
      <c r="X25" s="96">
        <f t="shared" si="1"/>
        <v>5.8</v>
      </c>
      <c r="Y25" s="97" t="s">
        <v>181</v>
      </c>
      <c r="Z25" s="154">
        <v>0</v>
      </c>
      <c r="AA25" s="154">
        <v>1026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17074349</v>
      </c>
      <c r="AJ25" s="45">
        <f t="shared" si="7"/>
        <v>1176</v>
      </c>
      <c r="AK25" s="48">
        <f t="shared" si="9"/>
        <v>267.75956284153006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43283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-1</v>
      </c>
      <c r="G26" s="118">
        <v>76</v>
      </c>
      <c r="H26" s="150">
        <f t="shared" si="0"/>
        <v>53.521126760563384</v>
      </c>
      <c r="I26" s="150">
        <v>72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100126290</v>
      </c>
      <c r="T26" s="45">
        <f t="shared" si="4"/>
        <v>4111</v>
      </c>
      <c r="U26" s="46">
        <f t="shared" si="5"/>
        <v>98.664000000000001</v>
      </c>
      <c r="V26" s="46">
        <f t="shared" si="6"/>
        <v>4.1109999999999998</v>
      </c>
      <c r="W26" s="96">
        <v>5.2</v>
      </c>
      <c r="X26" s="96">
        <f t="shared" si="1"/>
        <v>5.2</v>
      </c>
      <c r="Y26" s="97" t="s">
        <v>168</v>
      </c>
      <c r="Z26" s="154">
        <v>0</v>
      </c>
      <c r="AA26" s="154">
        <v>1026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17075567</v>
      </c>
      <c r="AJ26" s="45">
        <f t="shared" si="7"/>
        <v>1218</v>
      </c>
      <c r="AK26" s="48">
        <f t="shared" si="9"/>
        <v>296.27827779129166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1.1200000000000001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43283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-1</v>
      </c>
      <c r="G27" s="118">
        <v>76</v>
      </c>
      <c r="H27" s="150">
        <f t="shared" si="0"/>
        <v>53.521126760563384</v>
      </c>
      <c r="I27" s="150">
        <v>72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100130965</v>
      </c>
      <c r="T27" s="45">
        <f t="shared" si="4"/>
        <v>4675</v>
      </c>
      <c r="U27" s="46">
        <f t="shared" si="5"/>
        <v>112.2</v>
      </c>
      <c r="V27" s="46">
        <f t="shared" si="6"/>
        <v>4.6749999999999998</v>
      </c>
      <c r="W27" s="96">
        <v>4.8</v>
      </c>
      <c r="X27" s="96">
        <f t="shared" si="1"/>
        <v>4.8</v>
      </c>
      <c r="Y27" s="97" t="s">
        <v>168</v>
      </c>
      <c r="Z27" s="154">
        <v>0</v>
      </c>
      <c r="AA27" s="154">
        <v>1015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17076718</v>
      </c>
      <c r="AJ27" s="45">
        <f t="shared" si="7"/>
        <v>1151</v>
      </c>
      <c r="AK27" s="48">
        <f t="shared" si="9"/>
        <v>246.20320855614975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43283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-2</v>
      </c>
      <c r="G28" s="118">
        <v>77</v>
      </c>
      <c r="H28" s="150">
        <f t="shared" si="0"/>
        <v>54.225352112676056</v>
      </c>
      <c r="I28" s="150">
        <v>71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100135260</v>
      </c>
      <c r="T28" s="45">
        <f t="shared" si="4"/>
        <v>4295</v>
      </c>
      <c r="U28" s="46">
        <f t="shared" si="5"/>
        <v>103.08</v>
      </c>
      <c r="V28" s="46">
        <f t="shared" si="6"/>
        <v>4.2949999999999999</v>
      </c>
      <c r="W28" s="96">
        <v>4.4000000000000004</v>
      </c>
      <c r="X28" s="96">
        <f t="shared" si="1"/>
        <v>4.4000000000000004</v>
      </c>
      <c r="Y28" s="97" t="s">
        <v>168</v>
      </c>
      <c r="Z28" s="154">
        <v>0</v>
      </c>
      <c r="AA28" s="154">
        <v>1015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17077874</v>
      </c>
      <c r="AJ28" s="45">
        <f>IF(ISBLANK(AI28),"-",AI28-AI27)</f>
        <v>1156</v>
      </c>
      <c r="AK28" s="48">
        <f t="shared" si="9"/>
        <v>269.15017462165309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43283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-2</v>
      </c>
      <c r="G29" s="118">
        <v>75</v>
      </c>
      <c r="H29" s="150">
        <f t="shared" si="0"/>
        <v>52.816901408450704</v>
      </c>
      <c r="I29" s="150">
        <v>71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100139538</v>
      </c>
      <c r="T29" s="45">
        <f t="shared" si="4"/>
        <v>4278</v>
      </c>
      <c r="U29" s="46">
        <f t="shared" si="5"/>
        <v>102.672</v>
      </c>
      <c r="V29" s="46">
        <f t="shared" si="6"/>
        <v>4.2779999999999996</v>
      </c>
      <c r="W29" s="96">
        <v>4</v>
      </c>
      <c r="X29" s="96">
        <f t="shared" si="1"/>
        <v>4</v>
      </c>
      <c r="Y29" s="97" t="s">
        <v>168</v>
      </c>
      <c r="Z29" s="154">
        <v>0</v>
      </c>
      <c r="AA29" s="154">
        <v>1015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17079029</v>
      </c>
      <c r="AJ29" s="45">
        <f t="shared" si="7"/>
        <v>1155</v>
      </c>
      <c r="AK29" s="48">
        <f>AJ28/V29</f>
        <v>270.21972884525479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43283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-3</v>
      </c>
      <c r="G30" s="118">
        <v>75</v>
      </c>
      <c r="H30" s="150">
        <f t="shared" si="0"/>
        <v>52.816901408450704</v>
      </c>
      <c r="I30" s="150">
        <v>70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100144019</v>
      </c>
      <c r="T30" s="45">
        <f t="shared" si="4"/>
        <v>4481</v>
      </c>
      <c r="U30" s="46">
        <f t="shared" si="5"/>
        <v>107.544</v>
      </c>
      <c r="V30" s="46">
        <f t="shared" si="6"/>
        <v>4.4809999999999999</v>
      </c>
      <c r="W30" s="96">
        <v>3.5</v>
      </c>
      <c r="X30" s="96">
        <f t="shared" si="1"/>
        <v>3.5</v>
      </c>
      <c r="Y30" s="97" t="s">
        <v>168</v>
      </c>
      <c r="Z30" s="154">
        <v>0</v>
      </c>
      <c r="AA30" s="154">
        <v>1015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17080235</v>
      </c>
      <c r="AJ30" s="45">
        <f t="shared" si="7"/>
        <v>1206</v>
      </c>
      <c r="AK30" s="48">
        <f>AJ29/V30</f>
        <v>257.75496540950684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1.1100000000000001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43283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-3</v>
      </c>
      <c r="G31" s="118">
        <v>74</v>
      </c>
      <c r="H31" s="150">
        <f t="shared" si="0"/>
        <v>52.112676056338032</v>
      </c>
      <c r="I31" s="150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100148337</v>
      </c>
      <c r="T31" s="45">
        <f t="shared" si="4"/>
        <v>4318</v>
      </c>
      <c r="U31" s="46">
        <f t="shared" si="5"/>
        <v>103.63200000000001</v>
      </c>
      <c r="V31" s="46">
        <f t="shared" si="6"/>
        <v>4.3179999999999996</v>
      </c>
      <c r="W31" s="96">
        <v>3.2</v>
      </c>
      <c r="X31" s="96">
        <f t="shared" si="1"/>
        <v>3.2</v>
      </c>
      <c r="Y31" s="97" t="s">
        <v>168</v>
      </c>
      <c r="Z31" s="154">
        <v>0</v>
      </c>
      <c r="AA31" s="154">
        <v>1015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17081364</v>
      </c>
      <c r="AJ31" s="45">
        <f t="shared" si="7"/>
        <v>1129</v>
      </c>
      <c r="AK31" s="48">
        <f t="shared" si="9"/>
        <v>261.46364057433999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43283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-4</v>
      </c>
      <c r="G32" s="118">
        <v>74</v>
      </c>
      <c r="H32" s="150">
        <f t="shared" si="0"/>
        <v>52.112676056338032</v>
      </c>
      <c r="I32" s="150">
        <v>69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100152880</v>
      </c>
      <c r="T32" s="45">
        <f t="shared" si="4"/>
        <v>4543</v>
      </c>
      <c r="U32" s="46">
        <f t="shared" si="5"/>
        <v>109.032</v>
      </c>
      <c r="V32" s="46">
        <f t="shared" si="6"/>
        <v>4.5430000000000001</v>
      </c>
      <c r="W32" s="96">
        <v>2.8</v>
      </c>
      <c r="X32" s="96">
        <f t="shared" si="1"/>
        <v>2.8</v>
      </c>
      <c r="Y32" s="97" t="s">
        <v>168</v>
      </c>
      <c r="Z32" s="154">
        <v>0</v>
      </c>
      <c r="AA32" s="154">
        <v>1015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17082514</v>
      </c>
      <c r="AJ32" s="45">
        <f t="shared" si="7"/>
        <v>1150</v>
      </c>
      <c r="AK32" s="48">
        <f t="shared" si="9"/>
        <v>253.13669381465991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Y32" s="315" t="s">
        <v>115</v>
      </c>
      <c r="AZ32" s="315"/>
      <c r="BB32" s="74" t="s">
        <v>155</v>
      </c>
    </row>
    <row r="33" spans="1:54" x14ac:dyDescent="0.35">
      <c r="A33" s="331">
        <v>43283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-4</v>
      </c>
      <c r="G33" s="118">
        <v>74</v>
      </c>
      <c r="H33" s="150">
        <f t="shared" si="0"/>
        <v>52.112676056338032</v>
      </c>
      <c r="I33" s="150">
        <v>69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100157314</v>
      </c>
      <c r="T33" s="45">
        <f t="shared" si="4"/>
        <v>4434</v>
      </c>
      <c r="U33" s="46">
        <f t="shared" si="5"/>
        <v>106.416</v>
      </c>
      <c r="V33" s="46">
        <f t="shared" si="6"/>
        <v>4.4340000000000002</v>
      </c>
      <c r="W33" s="96">
        <v>2.5</v>
      </c>
      <c r="X33" s="96">
        <f t="shared" si="1"/>
        <v>2.5</v>
      </c>
      <c r="Y33" s="97" t="s">
        <v>168</v>
      </c>
      <c r="Z33" s="154">
        <v>0</v>
      </c>
      <c r="AA33" s="154">
        <v>1015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17083669</v>
      </c>
      <c r="AJ33" s="45">
        <f t="shared" si="7"/>
        <v>1155</v>
      </c>
      <c r="AK33" s="48">
        <f t="shared" si="9"/>
        <v>260.4871447902571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43283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-5</v>
      </c>
      <c r="G34" s="118">
        <v>76</v>
      </c>
      <c r="H34" s="150">
        <f t="shared" si="0"/>
        <v>53.521126760563384</v>
      </c>
      <c r="I34" s="150">
        <v>68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100161615</v>
      </c>
      <c r="T34" s="45">
        <f t="shared" si="4"/>
        <v>4301</v>
      </c>
      <c r="U34" s="46">
        <f t="shared" si="5"/>
        <v>103.224</v>
      </c>
      <c r="V34" s="46">
        <f t="shared" si="6"/>
        <v>4.3010000000000002</v>
      </c>
      <c r="W34" s="96">
        <v>2.2000000000000002</v>
      </c>
      <c r="X34" s="96">
        <f t="shared" si="1"/>
        <v>2.2000000000000002</v>
      </c>
      <c r="Y34" s="97" t="s">
        <v>168</v>
      </c>
      <c r="Z34" s="154">
        <v>0</v>
      </c>
      <c r="AA34" s="154">
        <v>1015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17084832</v>
      </c>
      <c r="AJ34" s="45">
        <f t="shared" si="7"/>
        <v>1163</v>
      </c>
      <c r="AK34" s="48">
        <f t="shared" si="9"/>
        <v>270.40223203906066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1.1000000000000001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43283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0</v>
      </c>
      <c r="G35" s="118">
        <v>66</v>
      </c>
      <c r="H35" s="150">
        <f t="shared" si="0"/>
        <v>46.478873239436624</v>
      </c>
      <c r="I35" s="150">
        <v>68</v>
      </c>
      <c r="J35" s="41" t="s">
        <v>88</v>
      </c>
      <c r="K35" s="41">
        <f>L35-(2/1.42)</f>
        <v>41.549295774647888</v>
      </c>
      <c r="L35" s="42">
        <f>(G35-5)/1.42</f>
        <v>42.95774647887324</v>
      </c>
      <c r="M35" s="41">
        <f t="shared" si="12"/>
        <v>47.183098591549296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100165756</v>
      </c>
      <c r="T35" s="45">
        <f t="shared" si="4"/>
        <v>4141</v>
      </c>
      <c r="U35" s="46">
        <f t="shared" si="5"/>
        <v>99.384</v>
      </c>
      <c r="V35" s="46">
        <f t="shared" si="6"/>
        <v>4.141</v>
      </c>
      <c r="W35" s="96">
        <v>3.2</v>
      </c>
      <c r="X35" s="96">
        <f t="shared" si="1"/>
        <v>3.2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17085868</v>
      </c>
      <c r="AJ35" s="45">
        <f t="shared" si="7"/>
        <v>1036</v>
      </c>
      <c r="AK35" s="48">
        <f t="shared" si="9"/>
        <v>250.18111567254286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43283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1</v>
      </c>
      <c r="G36" s="118">
        <v>70</v>
      </c>
      <c r="H36" s="150">
        <f t="shared" si="0"/>
        <v>49.295774647887328</v>
      </c>
      <c r="I36" s="150">
        <v>68</v>
      </c>
      <c r="J36" s="41" t="s">
        <v>88</v>
      </c>
      <c r="K36" s="41">
        <f t="shared" si="3"/>
        <v>44.366197183098592</v>
      </c>
      <c r="L36" s="42">
        <f>(G36-5)/1.42</f>
        <v>45.774647887323944</v>
      </c>
      <c r="M36" s="41">
        <f t="shared" si="12"/>
        <v>50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100169784</v>
      </c>
      <c r="T36" s="45">
        <f t="shared" si="4"/>
        <v>4028</v>
      </c>
      <c r="U36" s="46">
        <f t="shared" si="5"/>
        <v>96.671999999999997</v>
      </c>
      <c r="V36" s="46">
        <f t="shared" si="6"/>
        <v>4.0279999999999996</v>
      </c>
      <c r="W36" s="96">
        <v>4.8</v>
      </c>
      <c r="X36" s="96">
        <f t="shared" si="1"/>
        <v>4.8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17087002</v>
      </c>
      <c r="AJ36" s="45">
        <f t="shared" si="7"/>
        <v>1134</v>
      </c>
      <c r="AK36" s="48">
        <f t="shared" si="9"/>
        <v>281.52929493545184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105986</v>
      </c>
      <c r="U37" s="46">
        <f t="shared" si="5"/>
        <v>2543.6640000000002</v>
      </c>
      <c r="V37" s="46">
        <f t="shared" si="6"/>
        <v>105.986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27312</v>
      </c>
      <c r="AK37" s="61">
        <f>$AJ$37/$V37</f>
        <v>257.69441246957143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1.0733333333333335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178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179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180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182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177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"/>
    <protectedRange sqref="R3:W3" name="Range1_16_1_1_1_1_1_1_2_2_2_2_2_2_2_2_2_2_2_2_2_2_2_2_2_2_2_2_2_2_2_1_2_2_2_2_2_2_2_2_2_2_3_2_2_2_2_2_2_2_2_2_2_1_1_1_1_2_2_1_1_1_1_1_1_1_1_1_1_1_1_1_1_3_1_2_1_1_1_1_1_1_2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R4:W4" name="Range1_16_1_1_1_1_1_1_2_2_2_2_2_2_2_2_2_2_2_2_2_2_2_2_2_2_2_2_2_2_2_1_2_2_2_2_2_2_2_2_2_2_3_2_2_2_2_2_2_2_2_2_2_1_1_1_1_2_2_1_1_1_1_1_1_1_1_1_1_1_1_1_1_3_1_2_1_1_1_1_1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509" priority="5" operator="containsText" text="N/A">
      <formula>NOT(ISERROR(SEARCH("N/A",Z13)))</formula>
    </cfRule>
    <cfRule type="cellIs" dxfId="508" priority="17" operator="equal">
      <formula>0</formula>
    </cfRule>
  </conditionalFormatting>
  <conditionalFormatting sqref="Z13:AG36">
    <cfRule type="cellIs" dxfId="507" priority="16" operator="greaterThanOrEqual">
      <formula>1185</formula>
    </cfRule>
  </conditionalFormatting>
  <conditionalFormatting sqref="Z13:AG36">
    <cfRule type="cellIs" dxfId="506" priority="15" operator="between">
      <formula>0.1</formula>
      <formula>1184</formula>
    </cfRule>
  </conditionalFormatting>
  <conditionalFormatting sqref="Z8:Z9 AT13:AT36 AL37:AQ37 AL13:AR36">
    <cfRule type="cellIs" dxfId="505" priority="14" operator="equal">
      <formula>0</formula>
    </cfRule>
  </conditionalFormatting>
  <conditionalFormatting sqref="Z8:Z9 AT13:AT36 AL37:AQ37 AL13:AR36">
    <cfRule type="cellIs" dxfId="504" priority="13" operator="greaterThan">
      <formula>1179</formula>
    </cfRule>
  </conditionalFormatting>
  <conditionalFormatting sqref="Z8:Z9 AT13:AT36 AL37:AQ37 AL13:AR36">
    <cfRule type="cellIs" dxfId="503" priority="12" operator="greaterThan">
      <formula>99</formula>
    </cfRule>
  </conditionalFormatting>
  <conditionalFormatting sqref="Z8:Z9 AT13:AT36 AL37:AQ37 AL13:AR36">
    <cfRule type="cellIs" dxfId="502" priority="11" operator="greaterThan">
      <formula>0.99</formula>
    </cfRule>
  </conditionalFormatting>
  <conditionalFormatting sqref="AD8:AD9">
    <cfRule type="cellIs" dxfId="501" priority="10" operator="equal">
      <formula>0</formula>
    </cfRule>
  </conditionalFormatting>
  <conditionalFormatting sqref="AD8:AD9">
    <cfRule type="cellIs" dxfId="500" priority="9" operator="greaterThan">
      <formula>1179</formula>
    </cfRule>
  </conditionalFormatting>
  <conditionalFormatting sqref="AD8:AD9">
    <cfRule type="cellIs" dxfId="499" priority="8" operator="greaterThan">
      <formula>99</formula>
    </cfRule>
  </conditionalFormatting>
  <conditionalFormatting sqref="AD8:AD9">
    <cfRule type="cellIs" dxfId="498" priority="7" operator="greaterThan">
      <formula>0.99</formula>
    </cfRule>
  </conditionalFormatting>
  <conditionalFormatting sqref="AK13:AK36">
    <cfRule type="cellIs" dxfId="497" priority="6" operator="greaterThan">
      <formula>$AK$8</formula>
    </cfRule>
  </conditionalFormatting>
  <conditionalFormatting sqref="AS13:AS36">
    <cfRule type="containsText" dxfId="496" priority="1" operator="containsText" text="N/A">
      <formula>NOT(ISERROR(SEARCH("N/A",AS13)))</formula>
    </cfRule>
    <cfRule type="cellIs" dxfId="495" priority="4" operator="equal">
      <formula>0</formula>
    </cfRule>
  </conditionalFormatting>
  <conditionalFormatting sqref="AS13:AS36">
    <cfRule type="cellIs" dxfId="494" priority="3" operator="greaterThanOrEqual">
      <formula>1185</formula>
    </cfRule>
  </conditionalFormatting>
  <conditionalFormatting sqref="AS13:AS36">
    <cfRule type="cellIs" dxfId="493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100-000000000000}">
      <formula1>$AY$11:$AY$21</formula1>
    </dataValidation>
    <dataValidation type="list" allowBlank="1" showInputMessage="1" showErrorMessage="1" sqref="AS8:AT9 P11:P12 N11:N12 D8:E9 Q8:V9" xr:uid="{00000000-0002-0000-0100-000001000000}">
      <formula1>#REF!</formula1>
    </dataValidation>
    <dataValidation type="list" allowBlank="1" showInputMessage="1" showErrorMessage="1" sqref="AY33:AZ33" xr:uid="{00000000-0002-0000-0100-000002000000}">
      <formula1>$AY$26:$AY$30</formula1>
    </dataValidation>
    <dataValidation type="list" allowBlank="1" showInputMessage="1" showErrorMessage="1" sqref="R3:R5" xr:uid="{00000000-0002-0000-0100-000003000000}">
      <formula1>$BB$11:$BB$42</formula1>
    </dataValidation>
  </dataValidations>
  <hyperlinks>
    <hyperlink ref="J10:J11" location="'1'!AH8" display="Plant Status" xr:uid="{00000000-0004-0000-0100-000000000000}"/>
  </hyperlinks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7030A0"/>
  </sheetPr>
  <dimension ref="A2:BB88"/>
  <sheetViews>
    <sheetView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134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07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19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97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43284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27358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98"/>
      <c r="C9" s="199"/>
      <c r="D9" s="200"/>
      <c r="E9" s="201"/>
      <c r="F9" s="201"/>
      <c r="G9" s="201"/>
      <c r="H9" s="201"/>
      <c r="I9" s="202"/>
      <c r="J9" s="121"/>
      <c r="K9" s="200"/>
      <c r="L9" s="201"/>
      <c r="M9" s="202"/>
      <c r="N9" s="29"/>
      <c r="O9" s="29"/>
      <c r="P9" s="29"/>
      <c r="Q9" s="121"/>
      <c r="R9" s="121"/>
      <c r="S9" s="121"/>
      <c r="T9" s="122"/>
      <c r="U9" s="123"/>
      <c r="V9" s="124"/>
      <c r="W9" s="200"/>
      <c r="X9" s="202"/>
      <c r="Y9" s="30"/>
      <c r="Z9" s="203"/>
      <c r="AA9" s="125"/>
      <c r="AB9" s="126"/>
      <c r="AC9" s="126"/>
      <c r="AD9" s="125"/>
      <c r="AE9" s="125"/>
      <c r="AF9" s="127"/>
      <c r="AG9" s="204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08" t="s">
        <v>51</v>
      </c>
      <c r="X10" s="208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06" t="s">
        <v>55</v>
      </c>
      <c r="AI10" s="206" t="s">
        <v>56</v>
      </c>
      <c r="AJ10" s="314" t="s">
        <v>57</v>
      </c>
      <c r="AK10" s="329" t="s">
        <v>58</v>
      </c>
      <c r="AL10" s="208" t="s">
        <v>59</v>
      </c>
      <c r="AM10" s="208" t="s">
        <v>60</v>
      </c>
      <c r="AN10" s="208" t="s">
        <v>61</v>
      </c>
      <c r="AO10" s="208" t="s">
        <v>62</v>
      </c>
      <c r="AP10" s="208" t="s">
        <v>63</v>
      </c>
      <c r="AQ10" s="208" t="s">
        <v>124</v>
      </c>
      <c r="AR10" s="208" t="s">
        <v>64</v>
      </c>
      <c r="AS10" s="208" t="s">
        <v>65</v>
      </c>
      <c r="AT10" s="312" t="s">
        <v>66</v>
      </c>
      <c r="AU10" s="208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08" t="s">
        <v>72</v>
      </c>
      <c r="C11" s="208" t="s">
        <v>73</v>
      </c>
      <c r="D11" s="208" t="s">
        <v>74</v>
      </c>
      <c r="E11" s="208" t="s">
        <v>75</v>
      </c>
      <c r="F11" s="208" t="s">
        <v>127</v>
      </c>
      <c r="G11" s="208" t="s">
        <v>74</v>
      </c>
      <c r="H11" s="208" t="s">
        <v>75</v>
      </c>
      <c r="I11" s="208" t="s">
        <v>127</v>
      </c>
      <c r="J11" s="309"/>
      <c r="K11" s="208" t="s">
        <v>75</v>
      </c>
      <c r="L11" s="208" t="s">
        <v>75</v>
      </c>
      <c r="M11" s="208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2'!S36</f>
        <v>100169784</v>
      </c>
      <c r="T11" s="322"/>
      <c r="U11" s="323"/>
      <c r="V11" s="324"/>
      <c r="W11" s="208" t="s">
        <v>75</v>
      </c>
      <c r="X11" s="208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2'!AI36</f>
        <v>17087002</v>
      </c>
      <c r="AJ11" s="314"/>
      <c r="AK11" s="330"/>
      <c r="AL11" s="208" t="s">
        <v>84</v>
      </c>
      <c r="AM11" s="208" t="s">
        <v>84</v>
      </c>
      <c r="AN11" s="208" t="s">
        <v>84</v>
      </c>
      <c r="AO11" s="208" t="s">
        <v>84</v>
      </c>
      <c r="AP11" s="208" t="s">
        <v>84</v>
      </c>
      <c r="AQ11" s="208" t="s">
        <v>84</v>
      </c>
      <c r="AR11" s="208" t="s">
        <v>84</v>
      </c>
      <c r="AS11" s="1"/>
      <c r="AT11" s="313"/>
      <c r="AU11" s="205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43284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5</v>
      </c>
      <c r="G13" s="118">
        <v>70</v>
      </c>
      <c r="H13" s="150">
        <f t="shared" ref="H13:H36" si="0">G13/1.42</f>
        <v>49.295774647887328</v>
      </c>
      <c r="I13" s="150">
        <v>72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100174042</v>
      </c>
      <c r="T13" s="45">
        <f>IF(ISBLANK(S13),"-",S13-S11)</f>
        <v>4258</v>
      </c>
      <c r="U13" s="46">
        <f>T13*24/1000</f>
        <v>102.19199999999999</v>
      </c>
      <c r="V13" s="46">
        <f>T13/1000</f>
        <v>4.258</v>
      </c>
      <c r="W13" s="96">
        <v>6.2</v>
      </c>
      <c r="X13" s="96">
        <f t="shared" ref="X13:X36" si="1">W13</f>
        <v>6.2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17088114</v>
      </c>
      <c r="AJ13" s="45">
        <f>IF(ISBLANK(AI13),"-",AI13-AI11)</f>
        <v>1112</v>
      </c>
      <c r="AK13" s="48">
        <f>AJ13/V13</f>
        <v>261.15547205260685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43284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6</v>
      </c>
      <c r="G14" s="118">
        <v>71</v>
      </c>
      <c r="H14" s="150">
        <f t="shared" si="0"/>
        <v>50</v>
      </c>
      <c r="I14" s="150">
        <v>74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100178386</v>
      </c>
      <c r="T14" s="45">
        <f t="shared" ref="T14:T36" si="4">IF(ISBLANK(S14),"-",S14-S13)</f>
        <v>4344</v>
      </c>
      <c r="U14" s="46">
        <f t="shared" ref="U14:U37" si="5">T14*24/1000</f>
        <v>104.256</v>
      </c>
      <c r="V14" s="46">
        <f t="shared" ref="V14:V37" si="6">T14/1000</f>
        <v>4.3440000000000003</v>
      </c>
      <c r="W14" s="96">
        <v>7.6</v>
      </c>
      <c r="X14" s="96">
        <f t="shared" si="1"/>
        <v>7.6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17089196</v>
      </c>
      <c r="AJ14" s="45">
        <f t="shared" ref="AJ14:AJ36" si="7">IF(ISBLANK(AI14),"-",AI14-AI13)</f>
        <v>1082</v>
      </c>
      <c r="AK14" s="48">
        <f>AJ14/V14</f>
        <v>249.07918968692448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0.96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43284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72</v>
      </c>
      <c r="H15" s="150">
        <f t="shared" si="0"/>
        <v>50.70422535211268</v>
      </c>
      <c r="I15" s="150">
        <v>74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100182692</v>
      </c>
      <c r="T15" s="45">
        <f>IF(ISBLANK(S15),"-",S15-S14)</f>
        <v>4306</v>
      </c>
      <c r="U15" s="46">
        <f t="shared" si="5"/>
        <v>103.34399999999999</v>
      </c>
      <c r="V15" s="46">
        <f t="shared" si="6"/>
        <v>4.306</v>
      </c>
      <c r="W15" s="96">
        <v>9</v>
      </c>
      <c r="X15" s="96">
        <f t="shared" si="1"/>
        <v>9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17090288</v>
      </c>
      <c r="AJ15" s="45">
        <f t="shared" si="7"/>
        <v>1092</v>
      </c>
      <c r="AK15" s="48">
        <f t="shared" ref="AK15:AK36" si="9">AJ15/V15</f>
        <v>253.59962842545286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43284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82</v>
      </c>
      <c r="H16" s="150">
        <f t="shared" si="0"/>
        <v>57.74647887323944</v>
      </c>
      <c r="I16" s="150">
        <v>76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100187318</v>
      </c>
      <c r="T16" s="45">
        <f t="shared" si="4"/>
        <v>4626</v>
      </c>
      <c r="U16" s="46">
        <f t="shared" si="5"/>
        <v>111.024</v>
      </c>
      <c r="V16" s="46">
        <f t="shared" si="6"/>
        <v>4.6260000000000003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1156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17091334</v>
      </c>
      <c r="AJ16" s="45">
        <f t="shared" si="7"/>
        <v>1046</v>
      </c>
      <c r="AK16" s="48">
        <f t="shared" si="9"/>
        <v>226.1132728058798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43284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79</v>
      </c>
      <c r="H17" s="150">
        <f t="shared" si="0"/>
        <v>55.633802816901408</v>
      </c>
      <c r="I17" s="150">
        <v>76</v>
      </c>
      <c r="J17" s="41" t="s">
        <v>88</v>
      </c>
      <c r="K17" s="41">
        <f t="shared" si="3"/>
        <v>50.70422535211268</v>
      </c>
      <c r="L17" s="42">
        <f>(G17-5)/1.42</f>
        <v>52.112676056338032</v>
      </c>
      <c r="M17" s="41">
        <f>L17+(6/1.42)</f>
        <v>56.338028169014088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100191946</v>
      </c>
      <c r="T17" s="45">
        <f t="shared" si="4"/>
        <v>4628</v>
      </c>
      <c r="U17" s="46">
        <f t="shared" si="5"/>
        <v>111.072</v>
      </c>
      <c r="V17" s="46">
        <f t="shared" si="6"/>
        <v>4.6280000000000001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1186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17092388</v>
      </c>
      <c r="AJ17" s="45">
        <f t="shared" si="7"/>
        <v>1054</v>
      </c>
      <c r="AK17" s="48">
        <f t="shared" si="9"/>
        <v>227.74416594641312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43284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7</v>
      </c>
      <c r="G18" s="118">
        <v>78</v>
      </c>
      <c r="H18" s="150">
        <f t="shared" si="0"/>
        <v>54.929577464788736</v>
      </c>
      <c r="I18" s="150">
        <v>77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100196871</v>
      </c>
      <c r="T18" s="45">
        <f t="shared" si="4"/>
        <v>4925</v>
      </c>
      <c r="U18" s="46">
        <f t="shared" si="5"/>
        <v>118.2</v>
      </c>
      <c r="V18" s="46">
        <f t="shared" si="6"/>
        <v>4.9249999999999998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17093512</v>
      </c>
      <c r="AJ18" s="45">
        <f t="shared" si="7"/>
        <v>1124</v>
      </c>
      <c r="AK18" s="48">
        <f t="shared" si="9"/>
        <v>228.22335025380713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1.07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43284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77</v>
      </c>
      <c r="H19" s="150">
        <f t="shared" si="0"/>
        <v>54.225352112676056</v>
      </c>
      <c r="I19" s="150">
        <v>76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100201692</v>
      </c>
      <c r="T19" s="45">
        <f t="shared" si="4"/>
        <v>4821</v>
      </c>
      <c r="U19" s="46">
        <f t="shared" si="5"/>
        <v>115.70399999999999</v>
      </c>
      <c r="V19" s="46">
        <f t="shared" si="6"/>
        <v>4.8209999999999997</v>
      </c>
      <c r="W19" s="96">
        <v>8.8000000000000007</v>
      </c>
      <c r="X19" s="96">
        <f t="shared" si="1"/>
        <v>8.8000000000000007</v>
      </c>
      <c r="Y19" s="97" t="s">
        <v>168</v>
      </c>
      <c r="Z19" s="154">
        <v>1037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17094693</v>
      </c>
      <c r="AJ19" s="45">
        <f t="shared" si="7"/>
        <v>1181</v>
      </c>
      <c r="AK19" s="48">
        <f t="shared" si="9"/>
        <v>244.96992325243727</v>
      </c>
      <c r="AL19" s="151">
        <v>1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43284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6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100206393</v>
      </c>
      <c r="T20" s="45">
        <f t="shared" si="4"/>
        <v>4701</v>
      </c>
      <c r="U20" s="46">
        <f>T20*24/1000</f>
        <v>112.824</v>
      </c>
      <c r="V20" s="46">
        <f t="shared" si="6"/>
        <v>4.7009999999999996</v>
      </c>
      <c r="W20" s="96">
        <v>8</v>
      </c>
      <c r="X20" s="96">
        <f t="shared" si="1"/>
        <v>8</v>
      </c>
      <c r="Y20" s="97" t="s">
        <v>168</v>
      </c>
      <c r="Z20" s="154">
        <v>1047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17095887</v>
      </c>
      <c r="AJ20" s="45">
        <f t="shared" si="7"/>
        <v>1194</v>
      </c>
      <c r="AK20" s="48">
        <f t="shared" si="9"/>
        <v>253.98851308232292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43284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6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100210895</v>
      </c>
      <c r="T21" s="45">
        <f t="shared" si="4"/>
        <v>4502</v>
      </c>
      <c r="U21" s="46">
        <f t="shared" si="5"/>
        <v>108.048</v>
      </c>
      <c r="V21" s="46">
        <f t="shared" si="6"/>
        <v>4.5019999999999998</v>
      </c>
      <c r="W21" s="96">
        <v>7.4</v>
      </c>
      <c r="X21" s="96">
        <f t="shared" si="1"/>
        <v>7.4</v>
      </c>
      <c r="Y21" s="97" t="s">
        <v>168</v>
      </c>
      <c r="Z21" s="154">
        <v>1056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17097074</v>
      </c>
      <c r="AJ21" s="45">
        <f t="shared" si="7"/>
        <v>1187</v>
      </c>
      <c r="AK21" s="48">
        <f t="shared" si="9"/>
        <v>263.6605952909818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43284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5</v>
      </c>
      <c r="G22" s="118">
        <v>76</v>
      </c>
      <c r="H22" s="150">
        <f t="shared" si="0"/>
        <v>53.521126760563384</v>
      </c>
      <c r="I22" s="150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100215366</v>
      </c>
      <c r="T22" s="45">
        <f t="shared" si="4"/>
        <v>4471</v>
      </c>
      <c r="U22" s="46">
        <f t="shared" si="5"/>
        <v>107.304</v>
      </c>
      <c r="V22" s="46">
        <f t="shared" si="6"/>
        <v>4.4710000000000001</v>
      </c>
      <c r="W22" s="96">
        <v>6.7</v>
      </c>
      <c r="X22" s="96">
        <f t="shared" si="1"/>
        <v>6.7</v>
      </c>
      <c r="Y22" s="97" t="s">
        <v>168</v>
      </c>
      <c r="Z22" s="154">
        <v>1056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17098274</v>
      </c>
      <c r="AJ22" s="45">
        <f t="shared" si="7"/>
        <v>1200</v>
      </c>
      <c r="AK22" s="48">
        <f t="shared" si="9"/>
        <v>268.39633191679712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1.02</v>
      </c>
      <c r="AV22" s="50" t="s">
        <v>126</v>
      </c>
      <c r="BB22" s="136" t="s">
        <v>156</v>
      </c>
    </row>
    <row r="23" spans="1:54" x14ac:dyDescent="0.35">
      <c r="A23" s="331">
        <v>43284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77</v>
      </c>
      <c r="H23" s="150">
        <f t="shared" si="0"/>
        <v>54.225352112676056</v>
      </c>
      <c r="I23" s="150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100219778</v>
      </c>
      <c r="T23" s="45">
        <f t="shared" si="4"/>
        <v>4412</v>
      </c>
      <c r="U23" s="46">
        <f t="shared" si="5"/>
        <v>105.88800000000001</v>
      </c>
      <c r="V23" s="46">
        <f t="shared" si="6"/>
        <v>4.4119999999999999</v>
      </c>
      <c r="W23" s="96">
        <v>6</v>
      </c>
      <c r="X23" s="96">
        <f>W23</f>
        <v>6</v>
      </c>
      <c r="Y23" s="97" t="s">
        <v>168</v>
      </c>
      <c r="Z23" s="154">
        <v>1057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17099472</v>
      </c>
      <c r="AJ23" s="45">
        <f t="shared" si="7"/>
        <v>1198</v>
      </c>
      <c r="AK23" s="48">
        <f t="shared" si="9"/>
        <v>271.53218495013601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43284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5</v>
      </c>
      <c r="G24" s="118">
        <v>76</v>
      </c>
      <c r="H24" s="150">
        <f t="shared" si="0"/>
        <v>53.521126760563384</v>
      </c>
      <c r="I24" s="150">
        <v>75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100224170</v>
      </c>
      <c r="T24" s="45">
        <f t="shared" si="4"/>
        <v>4392</v>
      </c>
      <c r="U24" s="46">
        <f>T24*24/1000</f>
        <v>105.408</v>
      </c>
      <c r="V24" s="46">
        <f t="shared" si="6"/>
        <v>4.3920000000000003</v>
      </c>
      <c r="W24" s="96">
        <v>5.3</v>
      </c>
      <c r="X24" s="96">
        <f t="shared" si="1"/>
        <v>5.3</v>
      </c>
      <c r="Y24" s="97" t="s">
        <v>168</v>
      </c>
      <c r="Z24" s="154">
        <v>1056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17100664</v>
      </c>
      <c r="AJ24" s="45">
        <f t="shared" si="7"/>
        <v>1192</v>
      </c>
      <c r="AK24" s="48">
        <f t="shared" si="9"/>
        <v>271.40255009107466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43284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4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100228624</v>
      </c>
      <c r="T25" s="45">
        <f t="shared" si="4"/>
        <v>4454</v>
      </c>
      <c r="U25" s="46">
        <f>T25*24/1000</f>
        <v>106.896</v>
      </c>
      <c r="V25" s="46">
        <f t="shared" si="6"/>
        <v>4.4539999999999997</v>
      </c>
      <c r="W25" s="96">
        <v>4.8</v>
      </c>
      <c r="X25" s="96">
        <f t="shared" si="1"/>
        <v>4.8</v>
      </c>
      <c r="Y25" s="97" t="s">
        <v>168</v>
      </c>
      <c r="Z25" s="154">
        <v>1015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17101863</v>
      </c>
      <c r="AJ25" s="45">
        <f t="shared" si="7"/>
        <v>1199</v>
      </c>
      <c r="AK25" s="48">
        <f t="shared" si="9"/>
        <v>269.19622810956446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43284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4</v>
      </c>
      <c r="G26" s="118">
        <v>76</v>
      </c>
      <c r="H26" s="150">
        <f t="shared" si="0"/>
        <v>53.521126760563384</v>
      </c>
      <c r="I26" s="150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100232778</v>
      </c>
      <c r="T26" s="45">
        <f t="shared" si="4"/>
        <v>4154</v>
      </c>
      <c r="U26" s="46">
        <f t="shared" si="5"/>
        <v>99.695999999999998</v>
      </c>
      <c r="V26" s="46">
        <f t="shared" si="6"/>
        <v>4.1539999999999999</v>
      </c>
      <c r="W26" s="96">
        <v>4.4000000000000004</v>
      </c>
      <c r="X26" s="96">
        <f t="shared" si="1"/>
        <v>4.4000000000000004</v>
      </c>
      <c r="Y26" s="97" t="s">
        <v>168</v>
      </c>
      <c r="Z26" s="154">
        <v>1015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17103025</v>
      </c>
      <c r="AJ26" s="45">
        <f t="shared" si="7"/>
        <v>1162</v>
      </c>
      <c r="AK26" s="48">
        <f t="shared" si="9"/>
        <v>279.73038035628309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1.1000000000000001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43284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3</v>
      </c>
      <c r="G27" s="118">
        <v>77</v>
      </c>
      <c r="H27" s="150">
        <f t="shared" si="0"/>
        <v>54.225352112676056</v>
      </c>
      <c r="I27" s="150">
        <v>73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100236908</v>
      </c>
      <c r="T27" s="45">
        <f t="shared" si="4"/>
        <v>4130</v>
      </c>
      <c r="U27" s="46">
        <f t="shared" si="5"/>
        <v>99.12</v>
      </c>
      <c r="V27" s="46">
        <f t="shared" si="6"/>
        <v>4.13</v>
      </c>
      <c r="W27" s="96">
        <v>4</v>
      </c>
      <c r="X27" s="96">
        <f t="shared" si="1"/>
        <v>4</v>
      </c>
      <c r="Y27" s="97" t="s">
        <v>168</v>
      </c>
      <c r="Z27" s="154">
        <v>1015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17104160</v>
      </c>
      <c r="AJ27" s="45">
        <f t="shared" si="7"/>
        <v>1135</v>
      </c>
      <c r="AK27" s="48">
        <f t="shared" si="9"/>
        <v>274.81840193704602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43284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3</v>
      </c>
      <c r="G28" s="118">
        <v>77</v>
      </c>
      <c r="H28" s="150">
        <f t="shared" si="0"/>
        <v>54.225352112676056</v>
      </c>
      <c r="I28" s="150">
        <v>73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100241132</v>
      </c>
      <c r="T28" s="45">
        <f t="shared" si="4"/>
        <v>4224</v>
      </c>
      <c r="U28" s="46">
        <f t="shared" si="5"/>
        <v>101.376</v>
      </c>
      <c r="V28" s="46">
        <f t="shared" si="6"/>
        <v>4.2240000000000002</v>
      </c>
      <c r="W28" s="96">
        <v>3.7</v>
      </c>
      <c r="X28" s="96">
        <f t="shared" si="1"/>
        <v>3.7</v>
      </c>
      <c r="Y28" s="97" t="s">
        <v>168</v>
      </c>
      <c r="Z28" s="154">
        <v>1015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17105315</v>
      </c>
      <c r="AJ28" s="45">
        <f>IF(ISBLANK(AI28),"-",AI28-AI27)</f>
        <v>1155</v>
      </c>
      <c r="AK28" s="48">
        <f t="shared" si="9"/>
        <v>273.4375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43284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2</v>
      </c>
      <c r="G29" s="118">
        <v>75</v>
      </c>
      <c r="H29" s="150">
        <f t="shared" si="0"/>
        <v>52.816901408450704</v>
      </c>
      <c r="I29" s="150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100245347</v>
      </c>
      <c r="T29" s="45">
        <f t="shared" si="4"/>
        <v>4215</v>
      </c>
      <c r="U29" s="46">
        <f t="shared" si="5"/>
        <v>101.16</v>
      </c>
      <c r="V29" s="46">
        <f t="shared" si="6"/>
        <v>4.2149999999999999</v>
      </c>
      <c r="W29" s="96">
        <v>3.4</v>
      </c>
      <c r="X29" s="96">
        <f t="shared" si="1"/>
        <v>3.4</v>
      </c>
      <c r="Y29" s="97" t="s">
        <v>168</v>
      </c>
      <c r="Z29" s="154">
        <v>1015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17106459</v>
      </c>
      <c r="AJ29" s="45">
        <f t="shared" si="7"/>
        <v>1144</v>
      </c>
      <c r="AK29" s="48">
        <f>AJ28/V29</f>
        <v>274.02135231316726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43284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2</v>
      </c>
      <c r="G30" s="118">
        <v>75</v>
      </c>
      <c r="H30" s="150">
        <f t="shared" si="0"/>
        <v>52.816901408450704</v>
      </c>
      <c r="I30" s="150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100249591</v>
      </c>
      <c r="T30" s="45">
        <f t="shared" si="4"/>
        <v>4244</v>
      </c>
      <c r="U30" s="46">
        <f t="shared" si="5"/>
        <v>101.85599999999999</v>
      </c>
      <c r="V30" s="46">
        <f t="shared" si="6"/>
        <v>4.2439999999999998</v>
      </c>
      <c r="W30" s="96">
        <v>3.1</v>
      </c>
      <c r="X30" s="96">
        <f t="shared" si="1"/>
        <v>3.1</v>
      </c>
      <c r="Y30" s="97" t="s">
        <v>168</v>
      </c>
      <c r="Z30" s="154">
        <v>1015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17107643</v>
      </c>
      <c r="AJ30" s="45">
        <f t="shared" si="7"/>
        <v>1184</v>
      </c>
      <c r="AK30" s="48">
        <f>AJ29/V30</f>
        <v>269.55702167766259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1.0900000000000001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43284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1</v>
      </c>
      <c r="G31" s="118">
        <v>74</v>
      </c>
      <c r="H31" s="150">
        <f t="shared" si="0"/>
        <v>52.112676056338032</v>
      </c>
      <c r="I31" s="150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100253994</v>
      </c>
      <c r="T31" s="45">
        <f t="shared" si="4"/>
        <v>4403</v>
      </c>
      <c r="U31" s="46">
        <f t="shared" si="5"/>
        <v>105.672</v>
      </c>
      <c r="V31" s="46">
        <f t="shared" si="6"/>
        <v>4.4029999999999996</v>
      </c>
      <c r="W31" s="96">
        <v>2.8</v>
      </c>
      <c r="X31" s="96">
        <f t="shared" si="1"/>
        <v>2.8</v>
      </c>
      <c r="Y31" s="97" t="s">
        <v>168</v>
      </c>
      <c r="Z31" s="154">
        <v>1015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17108764</v>
      </c>
      <c r="AJ31" s="45">
        <f t="shared" si="7"/>
        <v>1121</v>
      </c>
      <c r="AK31" s="48">
        <f t="shared" si="9"/>
        <v>254.59913695207814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43284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1</v>
      </c>
      <c r="G32" s="118">
        <v>74</v>
      </c>
      <c r="H32" s="150">
        <f t="shared" si="0"/>
        <v>52.112676056338032</v>
      </c>
      <c r="I32" s="150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100258459</v>
      </c>
      <c r="T32" s="45">
        <f t="shared" si="4"/>
        <v>4465</v>
      </c>
      <c r="U32" s="46">
        <f t="shared" si="5"/>
        <v>107.16</v>
      </c>
      <c r="V32" s="46">
        <f t="shared" si="6"/>
        <v>4.4649999999999999</v>
      </c>
      <c r="W32" s="96">
        <v>2.4</v>
      </c>
      <c r="X32" s="96">
        <f t="shared" si="1"/>
        <v>2.4</v>
      </c>
      <c r="Y32" s="97" t="s">
        <v>168</v>
      </c>
      <c r="Z32" s="154">
        <v>1015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17109892</v>
      </c>
      <c r="AJ32" s="45">
        <f t="shared" si="7"/>
        <v>1128</v>
      </c>
      <c r="AK32" s="48">
        <f t="shared" si="9"/>
        <v>252.63157894736844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Y32" s="315" t="s">
        <v>115</v>
      </c>
      <c r="AZ32" s="315"/>
      <c r="BB32" s="74" t="s">
        <v>155</v>
      </c>
    </row>
    <row r="33" spans="1:54" x14ac:dyDescent="0.35">
      <c r="A33" s="331">
        <v>43284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0</v>
      </c>
      <c r="G33" s="118">
        <v>74</v>
      </c>
      <c r="H33" s="150">
        <f t="shared" si="0"/>
        <v>52.112676056338032</v>
      </c>
      <c r="I33" s="150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100262925</v>
      </c>
      <c r="T33" s="45">
        <f t="shared" si="4"/>
        <v>4466</v>
      </c>
      <c r="U33" s="46">
        <f t="shared" si="5"/>
        <v>107.184</v>
      </c>
      <c r="V33" s="46">
        <f t="shared" si="6"/>
        <v>4.4660000000000002</v>
      </c>
      <c r="W33" s="96">
        <v>2.1</v>
      </c>
      <c r="X33" s="96">
        <f t="shared" si="1"/>
        <v>2.1</v>
      </c>
      <c r="Y33" s="97" t="s">
        <v>168</v>
      </c>
      <c r="Z33" s="154">
        <v>1015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17111062</v>
      </c>
      <c r="AJ33" s="45">
        <f t="shared" si="7"/>
        <v>1170</v>
      </c>
      <c r="AK33" s="48">
        <f t="shared" si="9"/>
        <v>261.97939991043438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43284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0</v>
      </c>
      <c r="G34" s="118">
        <v>76</v>
      </c>
      <c r="H34" s="150">
        <f t="shared" si="0"/>
        <v>53.521126760563384</v>
      </c>
      <c r="I34" s="150">
        <v>70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100267636</v>
      </c>
      <c r="T34" s="45">
        <f t="shared" si="4"/>
        <v>4711</v>
      </c>
      <c r="U34" s="46">
        <f t="shared" si="5"/>
        <v>113.06399999999999</v>
      </c>
      <c r="V34" s="46">
        <f t="shared" si="6"/>
        <v>4.7110000000000003</v>
      </c>
      <c r="W34" s="96">
        <v>1.8</v>
      </c>
      <c r="X34" s="96">
        <f t="shared" si="1"/>
        <v>1.8</v>
      </c>
      <c r="Y34" s="97" t="s">
        <v>168</v>
      </c>
      <c r="Z34" s="154">
        <v>1015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17112176</v>
      </c>
      <c r="AJ34" s="45">
        <f t="shared" si="7"/>
        <v>1114</v>
      </c>
      <c r="AK34" s="48">
        <f t="shared" si="9"/>
        <v>236.46784122267033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43284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1</v>
      </c>
      <c r="G35" s="118">
        <v>68</v>
      </c>
      <c r="H35" s="150">
        <f t="shared" si="0"/>
        <v>47.887323943661976</v>
      </c>
      <c r="I35" s="150">
        <v>70</v>
      </c>
      <c r="J35" s="41" t="s">
        <v>88</v>
      </c>
      <c r="K35" s="41">
        <f>L35-(2/1.42)</f>
        <v>42.95774647887324</v>
      </c>
      <c r="L35" s="42">
        <f>(G35-5)/1.42</f>
        <v>44.366197183098592</v>
      </c>
      <c r="M35" s="41">
        <f t="shared" si="12"/>
        <v>48.591549295774648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100271304</v>
      </c>
      <c r="T35" s="45">
        <f t="shared" si="4"/>
        <v>3668</v>
      </c>
      <c r="U35" s="46">
        <f t="shared" si="5"/>
        <v>88.031999999999996</v>
      </c>
      <c r="V35" s="46">
        <f t="shared" si="6"/>
        <v>3.6680000000000001</v>
      </c>
      <c r="W35" s="96">
        <v>2.6</v>
      </c>
      <c r="X35" s="96">
        <f t="shared" si="1"/>
        <v>2.6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17113246</v>
      </c>
      <c r="AJ35" s="45">
        <f t="shared" si="7"/>
        <v>1070</v>
      </c>
      <c r="AK35" s="48">
        <f t="shared" si="9"/>
        <v>291.7121046892039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43284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71</v>
      </c>
      <c r="H36" s="150">
        <f t="shared" si="0"/>
        <v>50</v>
      </c>
      <c r="I36" s="150">
        <v>70</v>
      </c>
      <c r="J36" s="41" t="s">
        <v>88</v>
      </c>
      <c r="K36" s="41">
        <f t="shared" si="3"/>
        <v>45.070422535211272</v>
      </c>
      <c r="L36" s="42">
        <f>(G36-5)/1.42</f>
        <v>46.478873239436624</v>
      </c>
      <c r="M36" s="41">
        <f t="shared" si="12"/>
        <v>50.70422535211268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100275446</v>
      </c>
      <c r="T36" s="45">
        <f t="shared" si="4"/>
        <v>4142</v>
      </c>
      <c r="U36" s="46">
        <f t="shared" si="5"/>
        <v>99.408000000000001</v>
      </c>
      <c r="V36" s="46">
        <f t="shared" si="6"/>
        <v>4.1420000000000003</v>
      </c>
      <c r="W36" s="96">
        <v>3.8</v>
      </c>
      <c r="X36" s="96">
        <f t="shared" si="1"/>
        <v>3.8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17114360</v>
      </c>
      <c r="AJ36" s="45">
        <f t="shared" si="7"/>
        <v>1114</v>
      </c>
      <c r="AK36" s="48">
        <f t="shared" si="9"/>
        <v>268.95219700627712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105662</v>
      </c>
      <c r="U37" s="46">
        <f t="shared" si="5"/>
        <v>2535.8879999999999</v>
      </c>
      <c r="V37" s="46">
        <f t="shared" si="6"/>
        <v>105.66200000000001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27358</v>
      </c>
      <c r="AK37" s="61">
        <f>$AJ$37/$V37</f>
        <v>258.91995230073252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1.0466666666666666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183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184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32" t="s">
        <v>166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185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175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177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"/>
    <protectedRange sqref="R3:W3" name="Range1_16_1_1_1_1_1_1_2_2_2_2_2_2_2_2_2_2_2_2_2_2_2_2_2_2_2_2_2_2_2_1_2_2_2_2_2_2_2_2_2_2_3_2_2_2_2_2_2_2_2_2_2_1_1_1_1_2_2_1_1_1_1_1_1_1_1_1_1_1_1_1_1_3_1_2_1_1_1_1_1_1_2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R4:W4" name="Range1_16_1_1_1_1_1_1_2_2_2_2_2_2_2_2_2_2_2_2_2_2_2_2_2_2_2_2_2_2_2_1_2_2_2_2_2_2_2_2_2_2_3_2_2_2_2_2_2_2_2_2_2_1_1_1_1_2_2_1_1_1_1_1_1_1_1_1_1_1_1_1_1_3_1_2_1_1_1_1_1_2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92" priority="5" operator="containsText" text="N/A">
      <formula>NOT(ISERROR(SEARCH("N/A",Z13)))</formula>
    </cfRule>
    <cfRule type="cellIs" dxfId="491" priority="17" operator="equal">
      <formula>0</formula>
    </cfRule>
  </conditionalFormatting>
  <conditionalFormatting sqref="Z13:AG36">
    <cfRule type="cellIs" dxfId="490" priority="16" operator="greaterThanOrEqual">
      <formula>1185</formula>
    </cfRule>
  </conditionalFormatting>
  <conditionalFormatting sqref="Z13:AG36">
    <cfRule type="cellIs" dxfId="489" priority="15" operator="between">
      <formula>0.1</formula>
      <formula>1184</formula>
    </cfRule>
  </conditionalFormatting>
  <conditionalFormatting sqref="Z8:Z9 AT13:AT36 AL37:AQ37 AL13:AR36">
    <cfRule type="cellIs" dxfId="488" priority="14" operator="equal">
      <formula>0</formula>
    </cfRule>
  </conditionalFormatting>
  <conditionalFormatting sqref="Z8:Z9 AT13:AT36 AL37:AQ37 AL13:AR36">
    <cfRule type="cellIs" dxfId="487" priority="13" operator="greaterThan">
      <formula>1179</formula>
    </cfRule>
  </conditionalFormatting>
  <conditionalFormatting sqref="Z8:Z9 AT13:AT36 AL37:AQ37 AL13:AR36">
    <cfRule type="cellIs" dxfId="486" priority="12" operator="greaterThan">
      <formula>99</formula>
    </cfRule>
  </conditionalFormatting>
  <conditionalFormatting sqref="Z8:Z9 AT13:AT36 AL37:AQ37 AL13:AR36">
    <cfRule type="cellIs" dxfId="485" priority="11" operator="greaterThan">
      <formula>0.99</formula>
    </cfRule>
  </conditionalFormatting>
  <conditionalFormatting sqref="AD8:AD9">
    <cfRule type="cellIs" dxfId="484" priority="10" operator="equal">
      <formula>0</formula>
    </cfRule>
  </conditionalFormatting>
  <conditionalFormatting sqref="AD8:AD9">
    <cfRule type="cellIs" dxfId="483" priority="9" operator="greaterThan">
      <formula>1179</formula>
    </cfRule>
  </conditionalFormatting>
  <conditionalFormatting sqref="AD8:AD9">
    <cfRule type="cellIs" dxfId="482" priority="8" operator="greaterThan">
      <formula>99</formula>
    </cfRule>
  </conditionalFormatting>
  <conditionalFormatting sqref="AD8:AD9">
    <cfRule type="cellIs" dxfId="481" priority="7" operator="greaterThan">
      <formula>0.99</formula>
    </cfRule>
  </conditionalFormatting>
  <conditionalFormatting sqref="AK13:AK36">
    <cfRule type="cellIs" dxfId="480" priority="6" operator="greaterThan">
      <formula>$AK$8</formula>
    </cfRule>
  </conditionalFormatting>
  <conditionalFormatting sqref="AS13:AS36">
    <cfRule type="containsText" dxfId="479" priority="1" operator="containsText" text="N/A">
      <formula>NOT(ISERROR(SEARCH("N/A",AS13)))</formula>
    </cfRule>
    <cfRule type="cellIs" dxfId="478" priority="4" operator="equal">
      <formula>0</formula>
    </cfRule>
  </conditionalFormatting>
  <conditionalFormatting sqref="AS13:AS36">
    <cfRule type="cellIs" dxfId="477" priority="3" operator="greaterThanOrEqual">
      <formula>1185</formula>
    </cfRule>
  </conditionalFormatting>
  <conditionalFormatting sqref="AS13:AS36">
    <cfRule type="cellIs" dxfId="476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200-000000000000}">
      <formula1>$BB$11:$BB$42</formula1>
    </dataValidation>
    <dataValidation type="list" allowBlank="1" showInputMessage="1" showErrorMessage="1" sqref="AY33:AZ33" xr:uid="{00000000-0002-0000-0200-000001000000}">
      <formula1>$AY$26:$AY$30</formula1>
    </dataValidation>
    <dataValidation type="list" allowBlank="1" showInputMessage="1" showErrorMessage="1" sqref="AS8:AT9 P11:P12 N11:N12 D8:E9 Q8:V9" xr:uid="{00000000-0002-0000-0200-000002000000}">
      <formula1>#REF!</formula1>
    </dataValidation>
    <dataValidation type="list" allowBlank="1" showInputMessage="1" showErrorMessage="1" sqref="J13:J36" xr:uid="{00000000-0002-0000-0200-000003000000}">
      <formula1>$AY$11:$AY$21</formula1>
    </dataValidation>
  </dataValidations>
  <hyperlinks>
    <hyperlink ref="J10:J11" location="'1'!AH8" display="Plant Status" xr:uid="{00000000-0004-0000-0200-000000000000}"/>
  </hyperlinks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030A0"/>
  </sheetPr>
  <dimension ref="A2:BB88"/>
  <sheetViews>
    <sheetView topLeftCell="AE13" zoomScaleNormal="100" workbookViewId="0">
      <selection activeCell="B57" sqref="B57:B5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149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07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19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197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43285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27478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198"/>
      <c r="C9" s="199"/>
      <c r="D9" s="200"/>
      <c r="E9" s="201"/>
      <c r="F9" s="201"/>
      <c r="G9" s="201"/>
      <c r="H9" s="201"/>
      <c r="I9" s="202"/>
      <c r="J9" s="121"/>
      <c r="K9" s="200"/>
      <c r="L9" s="201"/>
      <c r="M9" s="202"/>
      <c r="N9" s="29"/>
      <c r="O9" s="29"/>
      <c r="P9" s="29"/>
      <c r="Q9" s="121"/>
      <c r="R9" s="121"/>
      <c r="S9" s="121"/>
      <c r="T9" s="122"/>
      <c r="U9" s="123"/>
      <c r="V9" s="124"/>
      <c r="W9" s="200"/>
      <c r="X9" s="202"/>
      <c r="Y9" s="30"/>
      <c r="Z9" s="203"/>
      <c r="AA9" s="125"/>
      <c r="AB9" s="126"/>
      <c r="AC9" s="126"/>
      <c r="AD9" s="125"/>
      <c r="AE9" s="125"/>
      <c r="AF9" s="127"/>
      <c r="AG9" s="204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08" t="s">
        <v>51</v>
      </c>
      <c r="X10" s="208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06" t="s">
        <v>55</v>
      </c>
      <c r="AI10" s="206" t="s">
        <v>56</v>
      </c>
      <c r="AJ10" s="314" t="s">
        <v>57</v>
      </c>
      <c r="AK10" s="329" t="s">
        <v>58</v>
      </c>
      <c r="AL10" s="208" t="s">
        <v>59</v>
      </c>
      <c r="AM10" s="208" t="s">
        <v>60</v>
      </c>
      <c r="AN10" s="208" t="s">
        <v>61</v>
      </c>
      <c r="AO10" s="208" t="s">
        <v>62</v>
      </c>
      <c r="AP10" s="208" t="s">
        <v>63</v>
      </c>
      <c r="AQ10" s="208" t="s">
        <v>124</v>
      </c>
      <c r="AR10" s="208" t="s">
        <v>64</v>
      </c>
      <c r="AS10" s="208" t="s">
        <v>65</v>
      </c>
      <c r="AT10" s="312" t="s">
        <v>66</v>
      </c>
      <c r="AU10" s="208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08" t="s">
        <v>72</v>
      </c>
      <c r="C11" s="208" t="s">
        <v>73</v>
      </c>
      <c r="D11" s="208" t="s">
        <v>74</v>
      </c>
      <c r="E11" s="208" t="s">
        <v>75</v>
      </c>
      <c r="F11" s="208" t="s">
        <v>127</v>
      </c>
      <c r="G11" s="208" t="s">
        <v>74</v>
      </c>
      <c r="H11" s="208" t="s">
        <v>75</v>
      </c>
      <c r="I11" s="208" t="s">
        <v>127</v>
      </c>
      <c r="J11" s="309"/>
      <c r="K11" s="208" t="s">
        <v>75</v>
      </c>
      <c r="L11" s="208" t="s">
        <v>75</v>
      </c>
      <c r="M11" s="208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3'!S36</f>
        <v>100275446</v>
      </c>
      <c r="T11" s="322"/>
      <c r="U11" s="323"/>
      <c r="V11" s="324"/>
      <c r="W11" s="208" t="s">
        <v>75</v>
      </c>
      <c r="X11" s="208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3'!AI36</f>
        <v>17114360</v>
      </c>
      <c r="AJ11" s="314"/>
      <c r="AK11" s="330"/>
      <c r="AL11" s="208" t="s">
        <v>84</v>
      </c>
      <c r="AM11" s="208" t="s">
        <v>84</v>
      </c>
      <c r="AN11" s="208" t="s">
        <v>84</v>
      </c>
      <c r="AO11" s="208" t="s">
        <v>84</v>
      </c>
      <c r="AP11" s="208" t="s">
        <v>84</v>
      </c>
      <c r="AQ11" s="208" t="s">
        <v>84</v>
      </c>
      <c r="AR11" s="208" t="s">
        <v>84</v>
      </c>
      <c r="AS11" s="1"/>
      <c r="AT11" s="313"/>
      <c r="AU11" s="205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43285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71</v>
      </c>
      <c r="H13" s="150">
        <f t="shared" ref="H13:H36" si="0">G13/1.42</f>
        <v>50</v>
      </c>
      <c r="I13" s="150">
        <v>74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100279742</v>
      </c>
      <c r="T13" s="45">
        <f>IF(ISBLANK(S13),"-",S13-S11)</f>
        <v>4296</v>
      </c>
      <c r="U13" s="46">
        <f>T13*24/1000</f>
        <v>103.104</v>
      </c>
      <c r="V13" s="46">
        <f>T13/1000</f>
        <v>4.2960000000000003</v>
      </c>
      <c r="W13" s="96">
        <v>5.2</v>
      </c>
      <c r="X13" s="96">
        <f t="shared" ref="X13:X36" si="1">W13</f>
        <v>5.2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17115506</v>
      </c>
      <c r="AJ13" s="45">
        <f>IF(ISBLANK(AI13),"-",AI13-AI11)</f>
        <v>1146</v>
      </c>
      <c r="AK13" s="48">
        <f>AJ13/V13</f>
        <v>266.75977653631281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43285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6</v>
      </c>
      <c r="G14" s="118">
        <v>74</v>
      </c>
      <c r="H14" s="150">
        <f t="shared" si="0"/>
        <v>52.112676056338032</v>
      </c>
      <c r="I14" s="150">
        <v>76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100283868</v>
      </c>
      <c r="T14" s="45">
        <f t="shared" ref="T14:T36" si="4">IF(ISBLANK(S14),"-",S14-S13)</f>
        <v>4126</v>
      </c>
      <c r="U14" s="46">
        <f t="shared" ref="U14:U37" si="5">T14*24/1000</f>
        <v>99.024000000000001</v>
      </c>
      <c r="V14" s="46">
        <f t="shared" ref="V14:V37" si="6">T14/1000</f>
        <v>4.1260000000000003</v>
      </c>
      <c r="W14" s="96">
        <v>6.4</v>
      </c>
      <c r="X14" s="96">
        <f t="shared" si="1"/>
        <v>6.4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17116582</v>
      </c>
      <c r="AJ14" s="45">
        <f t="shared" ref="AJ14:AJ36" si="7">IF(ISBLANK(AI14),"-",AI14-AI13)</f>
        <v>1076</v>
      </c>
      <c r="AK14" s="48">
        <f>AJ14/V14</f>
        <v>260.785264178381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1.02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43285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7</v>
      </c>
      <c r="G15" s="118">
        <v>75</v>
      </c>
      <c r="H15" s="150">
        <f t="shared" si="0"/>
        <v>52.816901408450704</v>
      </c>
      <c r="I15" s="150">
        <v>78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100288248</v>
      </c>
      <c r="T15" s="45">
        <f>IF(ISBLANK(S15),"-",S15-S14)</f>
        <v>4380</v>
      </c>
      <c r="U15" s="46">
        <f t="shared" si="5"/>
        <v>105.12</v>
      </c>
      <c r="V15" s="46">
        <f t="shared" si="6"/>
        <v>4.38</v>
      </c>
      <c r="W15" s="96">
        <v>7.6</v>
      </c>
      <c r="X15" s="96">
        <f t="shared" si="1"/>
        <v>7.6</v>
      </c>
      <c r="Y15" s="97" t="s">
        <v>139</v>
      </c>
      <c r="Z15" s="154">
        <v>0</v>
      </c>
      <c r="AA15" s="154">
        <v>0</v>
      </c>
      <c r="AB15" s="154">
        <v>1188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17117658</v>
      </c>
      <c r="AJ15" s="45">
        <f t="shared" si="7"/>
        <v>1076</v>
      </c>
      <c r="AK15" s="48">
        <f t="shared" ref="AK15:AK36" si="9">AJ15/V15</f>
        <v>245.662100456621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43285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9</v>
      </c>
      <c r="G16" s="118">
        <v>75</v>
      </c>
      <c r="H16" s="150">
        <f t="shared" si="0"/>
        <v>52.816901408450704</v>
      </c>
      <c r="I16" s="150">
        <v>78</v>
      </c>
      <c r="J16" s="41" t="s">
        <v>88</v>
      </c>
      <c r="K16" s="41">
        <f t="shared" si="3"/>
        <v>47.887323943661976</v>
      </c>
      <c r="L16" s="42">
        <f>(G16-5)/1.42</f>
        <v>49.295774647887328</v>
      </c>
      <c r="M16" s="41">
        <f>L16+(6/1.42)</f>
        <v>53.521126760563384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100292556</v>
      </c>
      <c r="T16" s="45">
        <f t="shared" si="4"/>
        <v>4308</v>
      </c>
      <c r="U16" s="46">
        <f t="shared" si="5"/>
        <v>103.392</v>
      </c>
      <c r="V16" s="46">
        <f t="shared" si="6"/>
        <v>4.3079999999999998</v>
      </c>
      <c r="W16" s="96">
        <v>8.8000000000000007</v>
      </c>
      <c r="X16" s="96">
        <f t="shared" si="1"/>
        <v>8.8000000000000007</v>
      </c>
      <c r="Y16" s="97" t="s">
        <v>139</v>
      </c>
      <c r="Z16" s="154">
        <v>0</v>
      </c>
      <c r="AA16" s="154">
        <v>0</v>
      </c>
      <c r="AB16" s="154">
        <v>1186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17118772</v>
      </c>
      <c r="AJ16" s="45">
        <f t="shared" si="7"/>
        <v>1114</v>
      </c>
      <c r="AK16" s="48">
        <f t="shared" si="9"/>
        <v>258.58867223769732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43285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9</v>
      </c>
      <c r="G17" s="118">
        <v>79</v>
      </c>
      <c r="H17" s="150">
        <f t="shared" si="0"/>
        <v>55.633802816901408</v>
      </c>
      <c r="I17" s="150">
        <v>78</v>
      </c>
      <c r="J17" s="41" t="s">
        <v>88</v>
      </c>
      <c r="K17" s="41">
        <f t="shared" si="3"/>
        <v>50.70422535211268</v>
      </c>
      <c r="L17" s="42">
        <f>(G17-5)/1.42</f>
        <v>52.112676056338032</v>
      </c>
      <c r="M17" s="41">
        <f>L17+(6/1.42)</f>
        <v>56.338028169014088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100296914</v>
      </c>
      <c r="T17" s="45">
        <f t="shared" si="4"/>
        <v>4358</v>
      </c>
      <c r="U17" s="46">
        <f t="shared" si="5"/>
        <v>104.592</v>
      </c>
      <c r="V17" s="46">
        <f t="shared" si="6"/>
        <v>4.3579999999999997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1186</v>
      </c>
      <c r="AE17" s="154">
        <v>0</v>
      </c>
      <c r="AF17" s="47" t="s">
        <v>90</v>
      </c>
      <c r="AG17" s="47" t="s">
        <v>90</v>
      </c>
      <c r="AH17" s="98" t="s">
        <v>90</v>
      </c>
      <c r="AI17" s="103">
        <v>17119808</v>
      </c>
      <c r="AJ17" s="45">
        <f t="shared" si="7"/>
        <v>1036</v>
      </c>
      <c r="AK17" s="48">
        <f t="shared" si="9"/>
        <v>237.72372648003673</v>
      </c>
      <c r="AL17" s="151">
        <v>0</v>
      </c>
      <c r="AM17" s="151">
        <v>0</v>
      </c>
      <c r="AN17" s="151">
        <v>1</v>
      </c>
      <c r="AO17" s="151">
        <v>1</v>
      </c>
      <c r="AP17" s="151">
        <v>1</v>
      </c>
      <c r="AQ17" s="151">
        <v>0</v>
      </c>
      <c r="AR17" s="151">
        <v>0.8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43285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79</v>
      </c>
      <c r="H18" s="150">
        <f t="shared" si="0"/>
        <v>55.633802816901408</v>
      </c>
      <c r="I18" s="150">
        <v>78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100302069</v>
      </c>
      <c r="T18" s="45">
        <f t="shared" si="4"/>
        <v>5155</v>
      </c>
      <c r="U18" s="46">
        <f t="shared" si="5"/>
        <v>123.72</v>
      </c>
      <c r="V18" s="46">
        <f t="shared" si="6"/>
        <v>5.1550000000000002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1187</v>
      </c>
      <c r="AE18" s="154">
        <v>0</v>
      </c>
      <c r="AF18" s="47" t="s">
        <v>90</v>
      </c>
      <c r="AG18" s="47" t="s">
        <v>90</v>
      </c>
      <c r="AH18" s="98" t="s">
        <v>90</v>
      </c>
      <c r="AI18" s="103">
        <v>17120970</v>
      </c>
      <c r="AJ18" s="45">
        <f t="shared" si="7"/>
        <v>1162</v>
      </c>
      <c r="AK18" s="48">
        <f t="shared" si="9"/>
        <v>225.41222114451986</v>
      </c>
      <c r="AL18" s="151">
        <v>0</v>
      </c>
      <c r="AM18" s="151">
        <v>0</v>
      </c>
      <c r="AN18" s="151">
        <v>1</v>
      </c>
      <c r="AO18" s="151">
        <v>1</v>
      </c>
      <c r="AP18" s="151">
        <v>1</v>
      </c>
      <c r="AQ18" s="151">
        <v>0</v>
      </c>
      <c r="AR18" s="151">
        <v>0</v>
      </c>
      <c r="AS18" s="154"/>
      <c r="AT18" s="154">
        <f t="shared" si="8"/>
        <v>0</v>
      </c>
      <c r="AU18" s="119">
        <v>0.96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43285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78</v>
      </c>
      <c r="H19" s="150">
        <f t="shared" si="0"/>
        <v>54.929577464788736</v>
      </c>
      <c r="I19" s="150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100307206</v>
      </c>
      <c r="T19" s="45">
        <f t="shared" si="4"/>
        <v>5137</v>
      </c>
      <c r="U19" s="46">
        <f t="shared" si="5"/>
        <v>123.288</v>
      </c>
      <c r="V19" s="46">
        <f t="shared" si="6"/>
        <v>5.1369999999999996</v>
      </c>
      <c r="W19" s="96">
        <v>8.9</v>
      </c>
      <c r="X19" s="96">
        <f t="shared" si="1"/>
        <v>8.9</v>
      </c>
      <c r="Y19" s="97" t="s">
        <v>168</v>
      </c>
      <c r="Z19" s="154">
        <v>0</v>
      </c>
      <c r="AA19" s="154">
        <v>1017</v>
      </c>
      <c r="AB19" s="154">
        <v>1187</v>
      </c>
      <c r="AC19" s="154">
        <v>1185</v>
      </c>
      <c r="AD19" s="154">
        <v>1187</v>
      </c>
      <c r="AE19" s="154">
        <v>0</v>
      </c>
      <c r="AF19" s="47" t="s">
        <v>90</v>
      </c>
      <c r="AG19" s="47" t="s">
        <v>90</v>
      </c>
      <c r="AH19" s="98" t="s">
        <v>90</v>
      </c>
      <c r="AI19" s="103">
        <v>17122164</v>
      </c>
      <c r="AJ19" s="45">
        <f t="shared" si="7"/>
        <v>1194</v>
      </c>
      <c r="AK19" s="48">
        <f t="shared" si="9"/>
        <v>232.4313801829862</v>
      </c>
      <c r="AL19" s="151">
        <v>0</v>
      </c>
      <c r="AM19" s="151">
        <v>1</v>
      </c>
      <c r="AN19" s="151">
        <v>1</v>
      </c>
      <c r="AO19" s="151">
        <v>1</v>
      </c>
      <c r="AP19" s="151">
        <v>1</v>
      </c>
      <c r="AQ19" s="151">
        <v>0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43285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7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100311436</v>
      </c>
      <c r="T20" s="45">
        <f t="shared" si="4"/>
        <v>4230</v>
      </c>
      <c r="U20" s="46">
        <f>T20*24/1000</f>
        <v>101.52</v>
      </c>
      <c r="V20" s="46">
        <f t="shared" si="6"/>
        <v>4.2300000000000004</v>
      </c>
      <c r="W20" s="96">
        <v>8.1999999999999993</v>
      </c>
      <c r="X20" s="96">
        <f t="shared" si="1"/>
        <v>8.1999999999999993</v>
      </c>
      <c r="Y20" s="97" t="s">
        <v>168</v>
      </c>
      <c r="Z20" s="154">
        <v>0</v>
      </c>
      <c r="AA20" s="154">
        <v>1058</v>
      </c>
      <c r="AB20" s="154">
        <v>1187</v>
      </c>
      <c r="AC20" s="154">
        <v>1185</v>
      </c>
      <c r="AD20" s="154">
        <v>1187</v>
      </c>
      <c r="AE20" s="154">
        <v>0</v>
      </c>
      <c r="AF20" s="47" t="s">
        <v>90</v>
      </c>
      <c r="AG20" s="47" t="s">
        <v>90</v>
      </c>
      <c r="AH20" s="98" t="s">
        <v>90</v>
      </c>
      <c r="AI20" s="103">
        <v>17123362</v>
      </c>
      <c r="AJ20" s="45">
        <f t="shared" si="7"/>
        <v>1198</v>
      </c>
      <c r="AK20" s="48">
        <f t="shared" si="9"/>
        <v>283.21513002364065</v>
      </c>
      <c r="AL20" s="151">
        <v>0</v>
      </c>
      <c r="AM20" s="151">
        <v>1</v>
      </c>
      <c r="AN20" s="151">
        <v>1</v>
      </c>
      <c r="AO20" s="151">
        <v>1</v>
      </c>
      <c r="AP20" s="151">
        <v>1</v>
      </c>
      <c r="AQ20" s="151">
        <v>0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43285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7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100315988</v>
      </c>
      <c r="T21" s="45">
        <f t="shared" si="4"/>
        <v>4552</v>
      </c>
      <c r="U21" s="46">
        <f t="shared" si="5"/>
        <v>109.248</v>
      </c>
      <c r="V21" s="46">
        <f t="shared" si="6"/>
        <v>4.5519999999999996</v>
      </c>
      <c r="W21" s="96">
        <v>7.4</v>
      </c>
      <c r="X21" s="96">
        <f t="shared" si="1"/>
        <v>7.4</v>
      </c>
      <c r="Y21" s="97" t="s">
        <v>168</v>
      </c>
      <c r="Z21" s="154">
        <v>0</v>
      </c>
      <c r="AA21" s="154">
        <v>1047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17124518</v>
      </c>
      <c r="AJ21" s="45">
        <f t="shared" si="7"/>
        <v>1156</v>
      </c>
      <c r="AK21" s="48">
        <f t="shared" si="9"/>
        <v>253.95430579964852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43285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7</v>
      </c>
      <c r="G22" s="118">
        <v>77</v>
      </c>
      <c r="H22" s="150">
        <f t="shared" si="0"/>
        <v>54.225352112676056</v>
      </c>
      <c r="I22" s="150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100320546</v>
      </c>
      <c r="T22" s="45">
        <f t="shared" si="4"/>
        <v>4558</v>
      </c>
      <c r="U22" s="46">
        <f t="shared" si="5"/>
        <v>109.392</v>
      </c>
      <c r="V22" s="46">
        <f t="shared" si="6"/>
        <v>4.5579999999999998</v>
      </c>
      <c r="W22" s="96">
        <v>6.7</v>
      </c>
      <c r="X22" s="96">
        <f t="shared" si="1"/>
        <v>6.7</v>
      </c>
      <c r="Y22" s="97" t="s">
        <v>168</v>
      </c>
      <c r="Z22" s="154">
        <v>0</v>
      </c>
      <c r="AA22" s="154">
        <v>1068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17125711</v>
      </c>
      <c r="AJ22" s="45">
        <f t="shared" si="7"/>
        <v>1193</v>
      </c>
      <c r="AK22" s="48">
        <f t="shared" si="9"/>
        <v>261.73760421237387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1.1200000000000001</v>
      </c>
      <c r="AV22" s="50" t="s">
        <v>126</v>
      </c>
      <c r="BB22" s="136" t="s">
        <v>156</v>
      </c>
    </row>
    <row r="23" spans="1:54" x14ac:dyDescent="0.35">
      <c r="A23" s="331">
        <v>43285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6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100325192</v>
      </c>
      <c r="T23" s="45">
        <f t="shared" si="4"/>
        <v>4646</v>
      </c>
      <c r="U23" s="46">
        <f t="shared" si="5"/>
        <v>111.504</v>
      </c>
      <c r="V23" s="46">
        <f t="shared" si="6"/>
        <v>4.6459999999999999</v>
      </c>
      <c r="W23" s="96">
        <v>6</v>
      </c>
      <c r="X23" s="96">
        <f>W23</f>
        <v>6</v>
      </c>
      <c r="Y23" s="97" t="s">
        <v>168</v>
      </c>
      <c r="Z23" s="154">
        <v>0</v>
      </c>
      <c r="AA23" s="154">
        <v>1048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17126929</v>
      </c>
      <c r="AJ23" s="45">
        <f t="shared" si="7"/>
        <v>1218</v>
      </c>
      <c r="AK23" s="48">
        <f t="shared" si="9"/>
        <v>262.16099870856652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43285</v>
      </c>
      <c r="B24" s="40">
        <v>2.4583333333333299</v>
      </c>
      <c r="C24" s="40">
        <v>0.5</v>
      </c>
      <c r="D24" s="152">
        <v>0</v>
      </c>
      <c r="E24" s="150">
        <f t="shared" si="2"/>
        <v>0</v>
      </c>
      <c r="F24" s="150">
        <v>6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100329555</v>
      </c>
      <c r="T24" s="45">
        <f t="shared" si="4"/>
        <v>4363</v>
      </c>
      <c r="U24" s="46">
        <f>T24*24/1000</f>
        <v>104.712</v>
      </c>
      <c r="V24" s="46">
        <f t="shared" si="6"/>
        <v>4.3630000000000004</v>
      </c>
      <c r="W24" s="96">
        <v>5.4</v>
      </c>
      <c r="X24" s="96">
        <f t="shared" si="1"/>
        <v>5.4</v>
      </c>
      <c r="Y24" s="97" t="s">
        <v>168</v>
      </c>
      <c r="Z24" s="154">
        <v>0</v>
      </c>
      <c r="AA24" s="154">
        <v>1016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17128090</v>
      </c>
      <c r="AJ24" s="45">
        <f t="shared" si="7"/>
        <v>1161</v>
      </c>
      <c r="AK24" s="48">
        <f t="shared" si="9"/>
        <v>266.10130644052254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43285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5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100333870</v>
      </c>
      <c r="T25" s="45">
        <f t="shared" si="4"/>
        <v>4315</v>
      </c>
      <c r="U25" s="46">
        <f>T25*24/1000</f>
        <v>103.56</v>
      </c>
      <c r="V25" s="46">
        <f t="shared" si="6"/>
        <v>4.3150000000000004</v>
      </c>
      <c r="W25" s="96">
        <v>5</v>
      </c>
      <c r="X25" s="96">
        <f t="shared" si="1"/>
        <v>5</v>
      </c>
      <c r="Y25" s="97" t="s">
        <v>168</v>
      </c>
      <c r="Z25" s="154">
        <v>0</v>
      </c>
      <c r="AA25" s="154">
        <v>1016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17129275</v>
      </c>
      <c r="AJ25" s="45">
        <f t="shared" si="7"/>
        <v>1185</v>
      </c>
      <c r="AK25" s="48">
        <f t="shared" si="9"/>
        <v>274.62340672074157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43285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4</v>
      </c>
      <c r="G26" s="118">
        <v>76</v>
      </c>
      <c r="H26" s="150">
        <f t="shared" si="0"/>
        <v>53.521126760563384</v>
      </c>
      <c r="I26" s="150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100337939</v>
      </c>
      <c r="T26" s="45">
        <f t="shared" si="4"/>
        <v>4069</v>
      </c>
      <c r="U26" s="46">
        <f t="shared" si="5"/>
        <v>97.656000000000006</v>
      </c>
      <c r="V26" s="46">
        <f t="shared" si="6"/>
        <v>4.069</v>
      </c>
      <c r="W26" s="96">
        <v>4.5999999999999996</v>
      </c>
      <c r="X26" s="96">
        <f t="shared" si="1"/>
        <v>4.5999999999999996</v>
      </c>
      <c r="Y26" s="97" t="s">
        <v>168</v>
      </c>
      <c r="Z26" s="154">
        <v>0</v>
      </c>
      <c r="AA26" s="154">
        <v>1016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17130397</v>
      </c>
      <c r="AJ26" s="45">
        <f t="shared" si="7"/>
        <v>1122</v>
      </c>
      <c r="AK26" s="48">
        <f t="shared" si="9"/>
        <v>275.7434259031703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1.1000000000000001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43285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2</v>
      </c>
      <c r="G27" s="118">
        <v>76</v>
      </c>
      <c r="H27" s="150">
        <f t="shared" si="0"/>
        <v>53.521126760563384</v>
      </c>
      <c r="I27" s="150">
        <v>75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100342204</v>
      </c>
      <c r="T27" s="45">
        <f t="shared" si="4"/>
        <v>4265</v>
      </c>
      <c r="U27" s="46">
        <f t="shared" si="5"/>
        <v>102.36</v>
      </c>
      <c r="V27" s="46">
        <f t="shared" si="6"/>
        <v>4.2649999999999997</v>
      </c>
      <c r="W27" s="96">
        <v>4.2</v>
      </c>
      <c r="X27" s="96">
        <f t="shared" si="1"/>
        <v>4.2</v>
      </c>
      <c r="Y27" s="97" t="s">
        <v>168</v>
      </c>
      <c r="Z27" s="154">
        <v>0</v>
      </c>
      <c r="AA27" s="154">
        <v>1016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17131547</v>
      </c>
      <c r="AJ27" s="45">
        <f t="shared" si="7"/>
        <v>1150</v>
      </c>
      <c r="AK27" s="48">
        <f t="shared" si="9"/>
        <v>269.63657678780777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43285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1</v>
      </c>
      <c r="G28" s="118">
        <v>76</v>
      </c>
      <c r="H28" s="150">
        <f t="shared" si="0"/>
        <v>53.521126760563384</v>
      </c>
      <c r="I28" s="150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100346592</v>
      </c>
      <c r="T28" s="45">
        <f t="shared" si="4"/>
        <v>4388</v>
      </c>
      <c r="U28" s="46">
        <f t="shared" si="5"/>
        <v>105.312</v>
      </c>
      <c r="V28" s="46">
        <f t="shared" si="6"/>
        <v>4.3879999999999999</v>
      </c>
      <c r="W28" s="96">
        <v>3.7</v>
      </c>
      <c r="X28" s="96">
        <f t="shared" si="1"/>
        <v>3.7</v>
      </c>
      <c r="Y28" s="97" t="s">
        <v>168</v>
      </c>
      <c r="Z28" s="154">
        <v>0</v>
      </c>
      <c r="AA28" s="154">
        <v>1006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17132729</v>
      </c>
      <c r="AJ28" s="45">
        <f>IF(ISBLANK(AI28),"-",AI28-AI27)</f>
        <v>1182</v>
      </c>
      <c r="AK28" s="48">
        <f t="shared" si="9"/>
        <v>269.37101185050136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43285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0</v>
      </c>
      <c r="G29" s="118">
        <v>74</v>
      </c>
      <c r="H29" s="150">
        <f t="shared" si="0"/>
        <v>52.112676056338032</v>
      </c>
      <c r="I29" s="150">
        <v>72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100350959</v>
      </c>
      <c r="T29" s="45">
        <f t="shared" si="4"/>
        <v>4367</v>
      </c>
      <c r="U29" s="46">
        <f t="shared" si="5"/>
        <v>104.80800000000001</v>
      </c>
      <c r="V29" s="46">
        <f t="shared" si="6"/>
        <v>4.367</v>
      </c>
      <c r="W29" s="96">
        <v>3.4</v>
      </c>
      <c r="X29" s="96">
        <f t="shared" si="1"/>
        <v>3.4</v>
      </c>
      <c r="Y29" s="97" t="s">
        <v>168</v>
      </c>
      <c r="Z29" s="154">
        <v>0</v>
      </c>
      <c r="AA29" s="154">
        <v>1006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17133869</v>
      </c>
      <c r="AJ29" s="45">
        <f t="shared" si="7"/>
        <v>1140</v>
      </c>
      <c r="AK29" s="48">
        <f>AJ28/V29</f>
        <v>270.66636134646211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43285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0</v>
      </c>
      <c r="G30" s="118">
        <v>73</v>
      </c>
      <c r="H30" s="150">
        <f t="shared" si="0"/>
        <v>51.408450704225352</v>
      </c>
      <c r="I30" s="150">
        <v>72</v>
      </c>
      <c r="J30" s="41" t="s">
        <v>88</v>
      </c>
      <c r="K30" s="41">
        <f t="shared" si="3"/>
        <v>47.887323943661976</v>
      </c>
      <c r="L30" s="42">
        <f t="shared" si="13"/>
        <v>49.295774647887328</v>
      </c>
      <c r="M30" s="41">
        <f t="shared" si="12"/>
        <v>53.521126760563384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100355299</v>
      </c>
      <c r="T30" s="45">
        <f t="shared" si="4"/>
        <v>4340</v>
      </c>
      <c r="U30" s="46">
        <f t="shared" si="5"/>
        <v>104.16</v>
      </c>
      <c r="V30" s="46">
        <f t="shared" si="6"/>
        <v>4.34</v>
      </c>
      <c r="W30" s="96">
        <v>3.1</v>
      </c>
      <c r="X30" s="96">
        <f t="shared" si="1"/>
        <v>3.1</v>
      </c>
      <c r="Y30" s="97" t="s">
        <v>168</v>
      </c>
      <c r="Z30" s="154">
        <v>0</v>
      </c>
      <c r="AA30" s="154">
        <v>1006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17135035</v>
      </c>
      <c r="AJ30" s="45">
        <f t="shared" si="7"/>
        <v>1166</v>
      </c>
      <c r="AK30" s="48">
        <f>AJ29/V30</f>
        <v>262.67281105990781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1.19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43285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-1</v>
      </c>
      <c r="G31" s="118">
        <v>74</v>
      </c>
      <c r="H31" s="150">
        <f t="shared" si="0"/>
        <v>52.112676056338032</v>
      </c>
      <c r="I31" s="150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100359589</v>
      </c>
      <c r="T31" s="45">
        <f t="shared" si="4"/>
        <v>4290</v>
      </c>
      <c r="U31" s="46">
        <f t="shared" si="5"/>
        <v>102.96</v>
      </c>
      <c r="V31" s="46">
        <f t="shared" si="6"/>
        <v>4.29</v>
      </c>
      <c r="W31" s="96">
        <v>2.8</v>
      </c>
      <c r="X31" s="96">
        <f t="shared" si="1"/>
        <v>2.8</v>
      </c>
      <c r="Y31" s="97" t="s">
        <v>168</v>
      </c>
      <c r="Z31" s="154">
        <v>0</v>
      </c>
      <c r="AA31" s="154">
        <v>1006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17136184</v>
      </c>
      <c r="AJ31" s="45">
        <f t="shared" si="7"/>
        <v>1149</v>
      </c>
      <c r="AK31" s="48">
        <f t="shared" si="9"/>
        <v>267.83216783216784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43285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-2</v>
      </c>
      <c r="G32" s="118">
        <v>74</v>
      </c>
      <c r="H32" s="150">
        <f t="shared" si="0"/>
        <v>52.112676056338032</v>
      </c>
      <c r="I32" s="150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100364030</v>
      </c>
      <c r="T32" s="45">
        <f t="shared" si="4"/>
        <v>4441</v>
      </c>
      <c r="U32" s="46">
        <f t="shared" si="5"/>
        <v>106.584</v>
      </c>
      <c r="V32" s="46">
        <f t="shared" si="6"/>
        <v>4.4409999999999998</v>
      </c>
      <c r="W32" s="96">
        <v>2.5</v>
      </c>
      <c r="X32" s="96">
        <f t="shared" si="1"/>
        <v>2.5</v>
      </c>
      <c r="Y32" s="97" t="s">
        <v>168</v>
      </c>
      <c r="Z32" s="154">
        <v>0</v>
      </c>
      <c r="AA32" s="154">
        <v>1004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17137326</v>
      </c>
      <c r="AJ32" s="45">
        <f t="shared" si="7"/>
        <v>1142</v>
      </c>
      <c r="AK32" s="48">
        <f t="shared" si="9"/>
        <v>257.14929070029274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43285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-3</v>
      </c>
      <c r="G33" s="118">
        <v>74</v>
      </c>
      <c r="H33" s="150">
        <f t="shared" si="0"/>
        <v>52.112676056338032</v>
      </c>
      <c r="I33" s="150">
        <v>71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100368371</v>
      </c>
      <c r="T33" s="45">
        <f t="shared" si="4"/>
        <v>4341</v>
      </c>
      <c r="U33" s="46">
        <f t="shared" si="5"/>
        <v>104.184</v>
      </c>
      <c r="V33" s="46">
        <f t="shared" si="6"/>
        <v>4.3410000000000002</v>
      </c>
      <c r="W33" s="96">
        <v>2.2000000000000002</v>
      </c>
      <c r="X33" s="96">
        <f t="shared" si="1"/>
        <v>2.2000000000000002</v>
      </c>
      <c r="Y33" s="97" t="s">
        <v>168</v>
      </c>
      <c r="Z33" s="154">
        <v>0</v>
      </c>
      <c r="AA33" s="154">
        <v>1015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17138470</v>
      </c>
      <c r="AJ33" s="45">
        <f t="shared" si="7"/>
        <v>1144</v>
      </c>
      <c r="AK33" s="48">
        <f t="shared" si="9"/>
        <v>263.53374798433538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43285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0</v>
      </c>
      <c r="G34" s="118">
        <v>76</v>
      </c>
      <c r="H34" s="150">
        <f t="shared" si="0"/>
        <v>53.521126760563384</v>
      </c>
      <c r="I34" s="150">
        <v>72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100372828</v>
      </c>
      <c r="T34" s="45">
        <f t="shared" si="4"/>
        <v>4457</v>
      </c>
      <c r="U34" s="46">
        <f t="shared" si="5"/>
        <v>106.968</v>
      </c>
      <c r="V34" s="46">
        <f t="shared" si="6"/>
        <v>4.4569999999999999</v>
      </c>
      <c r="W34" s="96">
        <v>2</v>
      </c>
      <c r="X34" s="96">
        <f t="shared" si="1"/>
        <v>2</v>
      </c>
      <c r="Y34" s="97" t="s">
        <v>168</v>
      </c>
      <c r="Z34" s="154">
        <v>0</v>
      </c>
      <c r="AA34" s="154">
        <v>1014</v>
      </c>
      <c r="AB34" s="154">
        <v>1186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17139630</v>
      </c>
      <c r="AJ34" s="45">
        <f t="shared" si="7"/>
        <v>1160</v>
      </c>
      <c r="AK34" s="48">
        <f t="shared" si="9"/>
        <v>260.26475207538704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43285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1</v>
      </c>
      <c r="G35" s="118">
        <v>71</v>
      </c>
      <c r="H35" s="150">
        <f t="shared" si="0"/>
        <v>50</v>
      </c>
      <c r="I35" s="150">
        <v>74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100376640</v>
      </c>
      <c r="T35" s="45">
        <f t="shared" si="4"/>
        <v>3812</v>
      </c>
      <c r="U35" s="46">
        <f t="shared" si="5"/>
        <v>91.488</v>
      </c>
      <c r="V35" s="46">
        <f t="shared" si="6"/>
        <v>3.8119999999999998</v>
      </c>
      <c r="W35" s="96">
        <v>2.8</v>
      </c>
      <c r="X35" s="96">
        <f t="shared" si="1"/>
        <v>2.8</v>
      </c>
      <c r="Y35" s="97" t="s">
        <v>139</v>
      </c>
      <c r="Z35" s="154">
        <v>0</v>
      </c>
      <c r="AA35" s="154">
        <v>0</v>
      </c>
      <c r="AB35" s="154">
        <v>1186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17140708</v>
      </c>
      <c r="AJ35" s="45">
        <f t="shared" si="7"/>
        <v>1078</v>
      </c>
      <c r="AK35" s="48">
        <f t="shared" si="9"/>
        <v>282.79118572927598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43285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3</v>
      </c>
      <c r="G36" s="118">
        <v>74</v>
      </c>
      <c r="H36" s="150">
        <f t="shared" si="0"/>
        <v>52.112676056338032</v>
      </c>
      <c r="I36" s="150">
        <v>76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100380994</v>
      </c>
      <c r="T36" s="45">
        <f t="shared" si="4"/>
        <v>4354</v>
      </c>
      <c r="U36" s="46">
        <f t="shared" si="5"/>
        <v>104.496</v>
      </c>
      <c r="V36" s="46">
        <f t="shared" si="6"/>
        <v>4.3540000000000001</v>
      </c>
      <c r="W36" s="96">
        <v>4.0999999999999996</v>
      </c>
      <c r="X36" s="96">
        <f t="shared" si="1"/>
        <v>4.0999999999999996</v>
      </c>
      <c r="Y36" s="97" t="s">
        <v>139</v>
      </c>
      <c r="Z36" s="154">
        <v>0</v>
      </c>
      <c r="AA36" s="154">
        <v>0</v>
      </c>
      <c r="AB36" s="154">
        <v>1188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17141838</v>
      </c>
      <c r="AJ36" s="45">
        <f t="shared" si="7"/>
        <v>1130</v>
      </c>
      <c r="AK36" s="48">
        <f t="shared" si="9"/>
        <v>259.53146531924665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105548</v>
      </c>
      <c r="U37" s="46">
        <f t="shared" si="5"/>
        <v>2533.152</v>
      </c>
      <c r="V37" s="46">
        <f t="shared" si="6"/>
        <v>105.548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27478</v>
      </c>
      <c r="AK37" s="61">
        <f>$AJ$37/$V37</f>
        <v>260.33652935157465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1.0716666666666668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186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57" t="s">
        <v>187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57" t="s">
        <v>188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32" t="s">
        <v>164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15" t="s">
        <v>179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49" t="s">
        <v>189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49" t="s">
        <v>190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191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171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83" t="s">
        <v>172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32" t="s">
        <v>173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 t="s">
        <v>174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15" t="s">
        <v>182</v>
      </c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209" t="s">
        <v>176</v>
      </c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58" t="s">
        <v>177</v>
      </c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"/>
    <protectedRange sqref="R3:W3" name="Range1_16_1_1_1_1_1_1_2_2_2_2_2_2_2_2_2_2_2_2_2_2_2_2_2_2_2_2_2_2_2_1_2_2_2_2_2_2_2_2_2_2_3_2_2_2_2_2_2_2_2_2_2_1_1_1_1_2_2_1_1_1_1_1_1_1_1_1_1_1_1_1_1_3_1_2_1_1_1_1_1_1_2_1_1_1_1"/>
    <protectedRange sqref="R4:W4" name="Range1_16_1_1_1_1_1_1_2_2_2_2_2_2_2_2_2_2_2_2_2_2_2_2_2_2_2_2_2_2_2_1_2_2_2_2_2_2_2_2_2_2_3_2_2_2_2_2_2_2_2_2_2_1_1_1_1_2_2_1_1_1_1_1_1_1_1_1_1_1_1_1_1_3_1_2_1_1_1_1_1_2_2"/>
    <protectedRange sqref="B49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4:B55" name="Range2_12_5_1_1_1_2_1_1_1_1_1_1_1_1_1_1_1_2_1_1_1_1_1_1_1_1_1_1_1_1_1_1_1_1_1_1_1_1_1_1_2_1_1_1_1_1_1_1_1_1_1_1_2_1_1_1_1_2_1_1_1_1_1_1_1_1_1_1_1_2_1_1_1_1_1_1_1_1_1_1_1_1_1_1_3_1_1_1_1_2_1_1_1_1_1_1_1_2_1_1_1_1_1_1_1_1_1_1_1_1_1_1_1_1_1_1_1_1_1_1_1_1__9"/>
    <protectedRange sqref="B56" name="Range2_12_5_1_1_1_2_1_1_1_1_1_1_1_1_1_1_1_2_1_1_1_1_1_1_1_1_1_1_1_1_1_1_1_1_1_1_1_1_1_1_2_1_1_1_1_1_1_1_1_1_1_1_2_1_1_1_1_2_1_1_1_1_1_1_1_1_1_1_1_2_1_1_1_1_1_1_1_1_1_1_1_1_1_1_3_1_1_1_1_2_1_1_1_1_1_1_1_2_1_1_1_1_1_1_1_1_1_1_1_1_1_1_1_1_1_1_1_1_1_1_1_1__10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475" priority="5" operator="containsText" text="N/A">
      <formula>NOT(ISERROR(SEARCH("N/A",Z13)))</formula>
    </cfRule>
    <cfRule type="cellIs" dxfId="474" priority="17" operator="equal">
      <formula>0</formula>
    </cfRule>
  </conditionalFormatting>
  <conditionalFormatting sqref="Z13:AG36">
    <cfRule type="cellIs" dxfId="473" priority="16" operator="greaterThanOrEqual">
      <formula>1185</formula>
    </cfRule>
  </conditionalFormatting>
  <conditionalFormatting sqref="Z13:AG36">
    <cfRule type="cellIs" dxfId="472" priority="15" operator="between">
      <formula>0.1</formula>
      <formula>1184</formula>
    </cfRule>
  </conditionalFormatting>
  <conditionalFormatting sqref="Z8:Z9 AT13:AT36 AL37:AQ37 AL13:AR36">
    <cfRule type="cellIs" dxfId="471" priority="14" operator="equal">
      <formula>0</formula>
    </cfRule>
  </conditionalFormatting>
  <conditionalFormatting sqref="Z8:Z9 AT13:AT36 AL37:AQ37 AL13:AR36">
    <cfRule type="cellIs" dxfId="470" priority="13" operator="greaterThan">
      <formula>1179</formula>
    </cfRule>
  </conditionalFormatting>
  <conditionalFormatting sqref="Z8:Z9 AT13:AT36 AL37:AQ37 AL13:AR36">
    <cfRule type="cellIs" dxfId="469" priority="12" operator="greaterThan">
      <formula>99</formula>
    </cfRule>
  </conditionalFormatting>
  <conditionalFormatting sqref="Z8:Z9 AT13:AT36 AL37:AQ37 AL13:AR36">
    <cfRule type="cellIs" dxfId="468" priority="11" operator="greaterThan">
      <formula>0.99</formula>
    </cfRule>
  </conditionalFormatting>
  <conditionalFormatting sqref="AD8:AD9">
    <cfRule type="cellIs" dxfId="467" priority="10" operator="equal">
      <formula>0</formula>
    </cfRule>
  </conditionalFormatting>
  <conditionalFormatting sqref="AD8:AD9">
    <cfRule type="cellIs" dxfId="466" priority="9" operator="greaterThan">
      <formula>1179</formula>
    </cfRule>
  </conditionalFormatting>
  <conditionalFormatting sqref="AD8:AD9">
    <cfRule type="cellIs" dxfId="465" priority="8" operator="greaterThan">
      <formula>99</formula>
    </cfRule>
  </conditionalFormatting>
  <conditionalFormatting sqref="AD8:AD9">
    <cfRule type="cellIs" dxfId="464" priority="7" operator="greaterThan">
      <formula>0.99</formula>
    </cfRule>
  </conditionalFormatting>
  <conditionalFormatting sqref="AK13:AK36">
    <cfRule type="cellIs" dxfId="463" priority="6" operator="greaterThan">
      <formula>$AK$8</formula>
    </cfRule>
  </conditionalFormatting>
  <conditionalFormatting sqref="AS13:AS36">
    <cfRule type="containsText" dxfId="462" priority="1" operator="containsText" text="N/A">
      <formula>NOT(ISERROR(SEARCH("N/A",AS13)))</formula>
    </cfRule>
    <cfRule type="cellIs" dxfId="461" priority="4" operator="equal">
      <formula>0</formula>
    </cfRule>
  </conditionalFormatting>
  <conditionalFormatting sqref="AS13:AS36">
    <cfRule type="cellIs" dxfId="460" priority="3" operator="greaterThanOrEqual">
      <formula>1185</formula>
    </cfRule>
  </conditionalFormatting>
  <conditionalFormatting sqref="AS13:AS36">
    <cfRule type="cellIs" dxfId="459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300-000000000000}">
      <formula1>$AY$11:$AY$21</formula1>
    </dataValidation>
    <dataValidation type="list" allowBlank="1" showInputMessage="1" showErrorMessage="1" sqref="AS8:AT9 P11:P12 N11:N12 D8:E9 Q8:V9" xr:uid="{00000000-0002-0000-0300-000001000000}">
      <formula1>#REF!</formula1>
    </dataValidation>
    <dataValidation type="list" allowBlank="1" showInputMessage="1" showErrorMessage="1" sqref="AY33:AZ33" xr:uid="{00000000-0002-0000-0300-000002000000}">
      <formula1>$AY$26:$AY$30</formula1>
    </dataValidation>
    <dataValidation type="list" allowBlank="1" showInputMessage="1" showErrorMessage="1" sqref="R3:R5" xr:uid="{00000000-0002-0000-0300-000003000000}">
      <formula1>$BB$11:$BB$42</formula1>
    </dataValidation>
  </dataValidations>
  <hyperlinks>
    <hyperlink ref="J10:J11" location="'1'!AH8" display="Plant Status" xr:uid="{00000000-0004-0000-0300-000000000000}"/>
  </hyperlinks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030A0"/>
  </sheetPr>
  <dimension ref="A2:BB88"/>
  <sheetViews>
    <sheetView topLeftCell="A40" zoomScaleNormal="100" workbookViewId="0">
      <selection activeCell="B57" sqref="B57:B5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135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11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43286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27542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12" t="s">
        <v>51</v>
      </c>
      <c r="X10" s="212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10" t="s">
        <v>55</v>
      </c>
      <c r="AI10" s="210" t="s">
        <v>56</v>
      </c>
      <c r="AJ10" s="314" t="s">
        <v>57</v>
      </c>
      <c r="AK10" s="329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124</v>
      </c>
      <c r="AR10" s="212" t="s">
        <v>64</v>
      </c>
      <c r="AS10" s="212" t="s">
        <v>65</v>
      </c>
      <c r="AT10" s="312" t="s">
        <v>66</v>
      </c>
      <c r="AU10" s="212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127</v>
      </c>
      <c r="G11" s="212" t="s">
        <v>74</v>
      </c>
      <c r="H11" s="212" t="s">
        <v>75</v>
      </c>
      <c r="I11" s="212" t="s">
        <v>127</v>
      </c>
      <c r="J11" s="309"/>
      <c r="K11" s="212" t="s">
        <v>75</v>
      </c>
      <c r="L11" s="212" t="s">
        <v>75</v>
      </c>
      <c r="M11" s="212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4'!S36</f>
        <v>100380994</v>
      </c>
      <c r="T11" s="322"/>
      <c r="U11" s="323"/>
      <c r="V11" s="324"/>
      <c r="W11" s="212" t="s">
        <v>75</v>
      </c>
      <c r="X11" s="212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4'!AI36</f>
        <v>17141838</v>
      </c>
      <c r="AJ11" s="314"/>
      <c r="AK11" s="330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13"/>
      <c r="AU11" s="213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43286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74</v>
      </c>
      <c r="H13" s="150">
        <f t="shared" ref="H13:H36" si="0">G13/1.42</f>
        <v>52.112676056338032</v>
      </c>
      <c r="I13" s="150">
        <v>78</v>
      </c>
      <c r="J13" s="41" t="s">
        <v>88</v>
      </c>
      <c r="K13" s="41">
        <f>L13-(2/1.42)</f>
        <v>47.183098591549296</v>
      </c>
      <c r="L13" s="42">
        <f>(G13-5)/1.42</f>
        <v>48.591549295774648</v>
      </c>
      <c r="M13" s="41">
        <f>L13+(6/1.42)</f>
        <v>52.816901408450704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100385088</v>
      </c>
      <c r="T13" s="45">
        <f>IF(ISBLANK(S13),"-",S13-S11)</f>
        <v>4094</v>
      </c>
      <c r="U13" s="46">
        <f>T13*24/1000</f>
        <v>98.256</v>
      </c>
      <c r="V13" s="46">
        <f>T13/1000</f>
        <v>4.0940000000000003</v>
      </c>
      <c r="W13" s="96">
        <v>5.4</v>
      </c>
      <c r="X13" s="96">
        <f t="shared" ref="X13:X36" si="1">W13</f>
        <v>5.4</v>
      </c>
      <c r="Y13" s="97" t="s">
        <v>139</v>
      </c>
      <c r="Z13" s="154">
        <v>0</v>
      </c>
      <c r="AA13" s="154">
        <v>0</v>
      </c>
      <c r="AB13" s="154">
        <v>1186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17142880</v>
      </c>
      <c r="AJ13" s="45">
        <f>IF(ISBLANK(AI13),"-",AI13-AI11)</f>
        <v>1042</v>
      </c>
      <c r="AK13" s="48">
        <f>AJ13/V13</f>
        <v>254.51880801172445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43286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6</v>
      </c>
      <c r="G14" s="118">
        <v>75</v>
      </c>
      <c r="H14" s="150">
        <f t="shared" si="0"/>
        <v>52.816901408450704</v>
      </c>
      <c r="I14" s="150">
        <v>78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100389264</v>
      </c>
      <c r="T14" s="45">
        <f t="shared" ref="T14:T36" si="4">IF(ISBLANK(S14),"-",S14-S13)</f>
        <v>4176</v>
      </c>
      <c r="U14" s="46">
        <f t="shared" ref="U14:U37" si="5">T14*24/1000</f>
        <v>100.224</v>
      </c>
      <c r="V14" s="46">
        <f t="shared" ref="V14:V37" si="6">T14/1000</f>
        <v>4.1760000000000002</v>
      </c>
      <c r="W14" s="96">
        <v>6.8</v>
      </c>
      <c r="X14" s="96">
        <f t="shared" si="1"/>
        <v>6.8</v>
      </c>
      <c r="Y14" s="97" t="s">
        <v>139</v>
      </c>
      <c r="Z14" s="154">
        <v>0</v>
      </c>
      <c r="AA14" s="154">
        <v>0</v>
      </c>
      <c r="AB14" s="154">
        <v>1157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17143942</v>
      </c>
      <c r="AJ14" s="45">
        <f t="shared" ref="AJ14:AJ36" si="7">IF(ISBLANK(AI14),"-",AI14-AI13)</f>
        <v>1062</v>
      </c>
      <c r="AK14" s="48">
        <f>AJ14/V14</f>
        <v>254.31034482758619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1.06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43286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75</v>
      </c>
      <c r="H15" s="150">
        <f t="shared" si="0"/>
        <v>52.816901408450704</v>
      </c>
      <c r="I15" s="150">
        <v>80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100394304</v>
      </c>
      <c r="T15" s="45">
        <f>IF(ISBLANK(S15),"-",S15-S14)</f>
        <v>5040</v>
      </c>
      <c r="U15" s="46">
        <f t="shared" si="5"/>
        <v>120.96</v>
      </c>
      <c r="V15" s="46">
        <f t="shared" si="6"/>
        <v>5.04</v>
      </c>
      <c r="W15" s="96">
        <v>7.9</v>
      </c>
      <c r="X15" s="96">
        <f t="shared" si="1"/>
        <v>7.9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17145104</v>
      </c>
      <c r="AJ15" s="45">
        <f t="shared" si="7"/>
        <v>1162</v>
      </c>
      <c r="AK15" s="48">
        <f t="shared" ref="AK15:AK36" si="9">AJ15/V15</f>
        <v>230.55555555555554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43286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9</v>
      </c>
      <c r="G16" s="118">
        <v>75</v>
      </c>
      <c r="H16" s="150">
        <f t="shared" si="0"/>
        <v>52.816901408450704</v>
      </c>
      <c r="I16" s="150">
        <v>80</v>
      </c>
      <c r="J16" s="41" t="s">
        <v>88</v>
      </c>
      <c r="K16" s="41">
        <f t="shared" si="3"/>
        <v>47.887323943661976</v>
      </c>
      <c r="L16" s="42">
        <f>(G16-5)/1.42</f>
        <v>49.295774647887328</v>
      </c>
      <c r="M16" s="41">
        <f>L16+(6/1.42)</f>
        <v>53.521126760563384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100398726</v>
      </c>
      <c r="T16" s="45">
        <f t="shared" si="4"/>
        <v>4422</v>
      </c>
      <c r="U16" s="46">
        <f t="shared" si="5"/>
        <v>106.128</v>
      </c>
      <c r="V16" s="46">
        <f t="shared" si="6"/>
        <v>4.4219999999999997</v>
      </c>
      <c r="W16" s="96">
        <v>9.1</v>
      </c>
      <c r="X16" s="96">
        <f t="shared" si="1"/>
        <v>9.1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17146174</v>
      </c>
      <c r="AJ16" s="45">
        <f t="shared" si="7"/>
        <v>1070</v>
      </c>
      <c r="AK16" s="48">
        <f t="shared" si="9"/>
        <v>241.97195838986886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43286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9</v>
      </c>
      <c r="G17" s="118">
        <v>79</v>
      </c>
      <c r="H17" s="150">
        <f t="shared" si="0"/>
        <v>55.633802816901408</v>
      </c>
      <c r="I17" s="150">
        <v>80</v>
      </c>
      <c r="J17" s="41" t="s">
        <v>88</v>
      </c>
      <c r="K17" s="41">
        <f t="shared" si="3"/>
        <v>50.70422535211268</v>
      </c>
      <c r="L17" s="42">
        <f>(G17-5)/1.42</f>
        <v>52.112676056338032</v>
      </c>
      <c r="M17" s="41">
        <f>L17+(6/1.42)</f>
        <v>56.338028169014088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100403492</v>
      </c>
      <c r="T17" s="45">
        <f t="shared" si="4"/>
        <v>4766</v>
      </c>
      <c r="U17" s="46">
        <f t="shared" si="5"/>
        <v>114.384</v>
      </c>
      <c r="V17" s="46">
        <f t="shared" si="6"/>
        <v>4.766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17147238</v>
      </c>
      <c r="AJ17" s="45">
        <f t="shared" si="7"/>
        <v>1064</v>
      </c>
      <c r="AK17" s="48">
        <f t="shared" si="9"/>
        <v>223.24800671422577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0.8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43286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79</v>
      </c>
      <c r="H18" s="150">
        <f t="shared" si="0"/>
        <v>55.633802816901408</v>
      </c>
      <c r="I18" s="150">
        <v>78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100409220</v>
      </c>
      <c r="T18" s="45">
        <f t="shared" si="4"/>
        <v>5728</v>
      </c>
      <c r="U18" s="46">
        <f t="shared" si="5"/>
        <v>137.47200000000001</v>
      </c>
      <c r="V18" s="46">
        <f t="shared" si="6"/>
        <v>5.7279999999999998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17148392</v>
      </c>
      <c r="AJ18" s="45">
        <f t="shared" si="7"/>
        <v>1154</v>
      </c>
      <c r="AK18" s="48">
        <f t="shared" si="9"/>
        <v>201.46648044692739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1.1299999999999999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43286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78</v>
      </c>
      <c r="H19" s="150">
        <f t="shared" si="0"/>
        <v>54.929577464788736</v>
      </c>
      <c r="I19" s="150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100414855</v>
      </c>
      <c r="T19" s="45">
        <f t="shared" si="4"/>
        <v>5635</v>
      </c>
      <c r="U19" s="46">
        <f t="shared" si="5"/>
        <v>135.24</v>
      </c>
      <c r="V19" s="46">
        <f t="shared" si="6"/>
        <v>5.6349999999999998</v>
      </c>
      <c r="W19" s="96">
        <v>8.9</v>
      </c>
      <c r="X19" s="96">
        <f t="shared" si="1"/>
        <v>8.9</v>
      </c>
      <c r="Y19" s="97" t="s">
        <v>168</v>
      </c>
      <c r="Z19" s="154">
        <v>1026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17149585</v>
      </c>
      <c r="AJ19" s="45">
        <f t="shared" si="7"/>
        <v>1193</v>
      </c>
      <c r="AK19" s="48">
        <f t="shared" si="9"/>
        <v>211.71251109139308</v>
      </c>
      <c r="AL19" s="151">
        <v>1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43286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7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100420238</v>
      </c>
      <c r="T20" s="45">
        <f t="shared" si="4"/>
        <v>5383</v>
      </c>
      <c r="U20" s="46">
        <f>T20*24/1000</f>
        <v>129.19200000000001</v>
      </c>
      <c r="V20" s="46">
        <f t="shared" si="6"/>
        <v>5.383</v>
      </c>
      <c r="W20" s="96">
        <v>8.3000000000000007</v>
      </c>
      <c r="X20" s="96">
        <f t="shared" si="1"/>
        <v>8.3000000000000007</v>
      </c>
      <c r="Y20" s="97" t="s">
        <v>168</v>
      </c>
      <c r="Z20" s="154">
        <v>1057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17150774</v>
      </c>
      <c r="AJ20" s="45">
        <f t="shared" si="7"/>
        <v>1189</v>
      </c>
      <c r="AK20" s="48">
        <f t="shared" si="9"/>
        <v>220.88054987924949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43286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7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100425029</v>
      </c>
      <c r="T21" s="45">
        <f t="shared" si="4"/>
        <v>4791</v>
      </c>
      <c r="U21" s="46">
        <f t="shared" si="5"/>
        <v>114.98399999999999</v>
      </c>
      <c r="V21" s="46">
        <f t="shared" si="6"/>
        <v>4.7910000000000004</v>
      </c>
      <c r="W21" s="96">
        <v>7.5</v>
      </c>
      <c r="X21" s="96">
        <f t="shared" si="1"/>
        <v>7.5</v>
      </c>
      <c r="Y21" s="97" t="s">
        <v>168</v>
      </c>
      <c r="Z21" s="154">
        <v>1121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17151996</v>
      </c>
      <c r="AJ21" s="45">
        <f t="shared" si="7"/>
        <v>1222</v>
      </c>
      <c r="AK21" s="48">
        <f t="shared" si="9"/>
        <v>255.06157378417865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43286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6</v>
      </c>
      <c r="G22" s="118">
        <v>77</v>
      </c>
      <c r="H22" s="150">
        <f t="shared" si="0"/>
        <v>54.225352112676056</v>
      </c>
      <c r="I22" s="150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100429598</v>
      </c>
      <c r="T22" s="45">
        <f t="shared" si="4"/>
        <v>4569</v>
      </c>
      <c r="U22" s="46">
        <f t="shared" si="5"/>
        <v>109.65600000000001</v>
      </c>
      <c r="V22" s="46">
        <f t="shared" si="6"/>
        <v>4.569</v>
      </c>
      <c r="W22" s="96">
        <v>6.6</v>
      </c>
      <c r="X22" s="96">
        <f t="shared" si="1"/>
        <v>6.6</v>
      </c>
      <c r="Y22" s="97" t="s">
        <v>168</v>
      </c>
      <c r="Z22" s="154">
        <v>1078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17153212</v>
      </c>
      <c r="AJ22" s="45">
        <f t="shared" si="7"/>
        <v>1216</v>
      </c>
      <c r="AK22" s="48">
        <f t="shared" si="9"/>
        <v>266.14138761216896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0.98</v>
      </c>
      <c r="AV22" s="50" t="s">
        <v>126</v>
      </c>
      <c r="BB22" s="136" t="s">
        <v>156</v>
      </c>
    </row>
    <row r="23" spans="1:54" x14ac:dyDescent="0.35">
      <c r="A23" s="331">
        <v>43286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6</v>
      </c>
      <c r="G23" s="118">
        <v>77</v>
      </c>
      <c r="H23" s="150">
        <f t="shared" si="0"/>
        <v>54.225352112676056</v>
      </c>
      <c r="I23" s="150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100434169</v>
      </c>
      <c r="T23" s="45">
        <f t="shared" si="4"/>
        <v>4571</v>
      </c>
      <c r="U23" s="46">
        <f t="shared" si="5"/>
        <v>109.70399999999999</v>
      </c>
      <c r="V23" s="46">
        <f t="shared" si="6"/>
        <v>4.5709999999999997</v>
      </c>
      <c r="W23" s="96">
        <v>5.9</v>
      </c>
      <c r="X23" s="96">
        <f>W23</f>
        <v>5.9</v>
      </c>
      <c r="Y23" s="97" t="s">
        <v>168</v>
      </c>
      <c r="Z23" s="154">
        <v>1078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17154462</v>
      </c>
      <c r="AJ23" s="45">
        <f t="shared" si="7"/>
        <v>1250</v>
      </c>
      <c r="AK23" s="48">
        <f t="shared" si="9"/>
        <v>273.46313716910964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43286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5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100438510</v>
      </c>
      <c r="T24" s="45">
        <f t="shared" si="4"/>
        <v>4341</v>
      </c>
      <c r="U24" s="46">
        <f>T24*24/1000</f>
        <v>104.184</v>
      </c>
      <c r="V24" s="46">
        <f t="shared" si="6"/>
        <v>4.3410000000000002</v>
      </c>
      <c r="W24" s="96">
        <v>5.3</v>
      </c>
      <c r="X24" s="96">
        <f t="shared" si="1"/>
        <v>5.3</v>
      </c>
      <c r="Y24" s="97" t="s">
        <v>168</v>
      </c>
      <c r="Z24" s="154">
        <v>1026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17155597</v>
      </c>
      <c r="AJ24" s="45">
        <f t="shared" si="7"/>
        <v>1135</v>
      </c>
      <c r="AK24" s="48">
        <f t="shared" si="9"/>
        <v>261.46049297396911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43286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5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100442801</v>
      </c>
      <c r="T25" s="45">
        <f t="shared" si="4"/>
        <v>4291</v>
      </c>
      <c r="U25" s="46">
        <f>T25*24/1000</f>
        <v>102.98399999999999</v>
      </c>
      <c r="V25" s="46">
        <f t="shared" si="6"/>
        <v>4.2910000000000004</v>
      </c>
      <c r="W25" s="96">
        <v>4.8</v>
      </c>
      <c r="X25" s="96">
        <f t="shared" si="1"/>
        <v>4.8</v>
      </c>
      <c r="Y25" s="97" t="s">
        <v>168</v>
      </c>
      <c r="Z25" s="154">
        <v>1016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17156779</v>
      </c>
      <c r="AJ25" s="45">
        <f t="shared" si="7"/>
        <v>1182</v>
      </c>
      <c r="AK25" s="48">
        <f t="shared" si="9"/>
        <v>275.46026567233741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43286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4</v>
      </c>
      <c r="G26" s="118">
        <v>76</v>
      </c>
      <c r="H26" s="150">
        <f t="shared" si="0"/>
        <v>53.521126760563384</v>
      </c>
      <c r="I26" s="150">
        <v>73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100447068</v>
      </c>
      <c r="T26" s="45">
        <f t="shared" si="4"/>
        <v>4267</v>
      </c>
      <c r="U26" s="46">
        <f t="shared" si="5"/>
        <v>102.408</v>
      </c>
      <c r="V26" s="46">
        <f t="shared" si="6"/>
        <v>4.2670000000000003</v>
      </c>
      <c r="W26" s="96">
        <v>4.4000000000000004</v>
      </c>
      <c r="X26" s="96">
        <f t="shared" si="1"/>
        <v>4.4000000000000004</v>
      </c>
      <c r="Y26" s="97" t="s">
        <v>168</v>
      </c>
      <c r="Z26" s="154">
        <v>1016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17157985</v>
      </c>
      <c r="AJ26" s="45">
        <f t="shared" si="7"/>
        <v>1206</v>
      </c>
      <c r="AK26" s="48">
        <f t="shared" si="9"/>
        <v>282.63416920553078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1.05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43286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4</v>
      </c>
      <c r="G27" s="118">
        <v>76</v>
      </c>
      <c r="H27" s="150">
        <f t="shared" si="0"/>
        <v>53.521126760563384</v>
      </c>
      <c r="I27" s="150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100451159</v>
      </c>
      <c r="T27" s="45">
        <f t="shared" si="4"/>
        <v>4091</v>
      </c>
      <c r="U27" s="46">
        <f t="shared" si="5"/>
        <v>98.183999999999997</v>
      </c>
      <c r="V27" s="46">
        <f t="shared" si="6"/>
        <v>4.0910000000000002</v>
      </c>
      <c r="W27" s="96">
        <v>4</v>
      </c>
      <c r="X27" s="96">
        <f t="shared" si="1"/>
        <v>4</v>
      </c>
      <c r="Y27" s="97" t="s">
        <v>168</v>
      </c>
      <c r="Z27" s="154">
        <v>1016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17159124</v>
      </c>
      <c r="AJ27" s="45">
        <f t="shared" si="7"/>
        <v>1139</v>
      </c>
      <c r="AK27" s="48">
        <f t="shared" si="9"/>
        <v>278.41603519921779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43286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3</v>
      </c>
      <c r="G28" s="118">
        <v>75</v>
      </c>
      <c r="H28" s="150">
        <f t="shared" si="0"/>
        <v>52.816901408450704</v>
      </c>
      <c r="I28" s="150">
        <v>72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100455508</v>
      </c>
      <c r="T28" s="45">
        <f t="shared" si="4"/>
        <v>4349</v>
      </c>
      <c r="U28" s="46">
        <f t="shared" si="5"/>
        <v>104.376</v>
      </c>
      <c r="V28" s="46">
        <f t="shared" si="6"/>
        <v>4.3490000000000002</v>
      </c>
      <c r="W28" s="96">
        <v>3.6</v>
      </c>
      <c r="X28" s="96">
        <f t="shared" si="1"/>
        <v>3.6</v>
      </c>
      <c r="Y28" s="97" t="s">
        <v>168</v>
      </c>
      <c r="Z28" s="154">
        <v>1016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17160287</v>
      </c>
      <c r="AJ28" s="45">
        <f>IF(ISBLANK(AI28),"-",AI28-AI27)</f>
        <v>1163</v>
      </c>
      <c r="AK28" s="48">
        <f t="shared" si="9"/>
        <v>267.41779719475738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43286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3</v>
      </c>
      <c r="G29" s="118">
        <v>75</v>
      </c>
      <c r="H29" s="150">
        <f t="shared" si="0"/>
        <v>52.816901408450704</v>
      </c>
      <c r="I29" s="150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100459847</v>
      </c>
      <c r="T29" s="45">
        <f t="shared" si="4"/>
        <v>4339</v>
      </c>
      <c r="U29" s="46">
        <f t="shared" si="5"/>
        <v>104.136</v>
      </c>
      <c r="V29" s="46">
        <f t="shared" si="6"/>
        <v>4.3390000000000004</v>
      </c>
      <c r="W29" s="96">
        <v>3.2</v>
      </c>
      <c r="X29" s="96">
        <f t="shared" si="1"/>
        <v>3.2</v>
      </c>
      <c r="Y29" s="97" t="s">
        <v>168</v>
      </c>
      <c r="Z29" s="154">
        <v>1015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17161412</v>
      </c>
      <c r="AJ29" s="45">
        <f t="shared" si="7"/>
        <v>1125</v>
      </c>
      <c r="AK29" s="48">
        <f>AJ28/V29</f>
        <v>268.03410924176075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43286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2</v>
      </c>
      <c r="G30" s="118">
        <v>74</v>
      </c>
      <c r="H30" s="150">
        <f t="shared" si="0"/>
        <v>52.112676056338032</v>
      </c>
      <c r="I30" s="150">
        <v>71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100464099</v>
      </c>
      <c r="T30" s="45">
        <f t="shared" si="4"/>
        <v>4252</v>
      </c>
      <c r="U30" s="46">
        <f t="shared" si="5"/>
        <v>102.048</v>
      </c>
      <c r="V30" s="46">
        <f t="shared" si="6"/>
        <v>4.2519999999999998</v>
      </c>
      <c r="W30" s="96">
        <v>2.9</v>
      </c>
      <c r="X30" s="96">
        <f t="shared" si="1"/>
        <v>2.9</v>
      </c>
      <c r="Y30" s="97" t="s">
        <v>168</v>
      </c>
      <c r="Z30" s="154">
        <v>1015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17162527</v>
      </c>
      <c r="AJ30" s="45">
        <f t="shared" si="7"/>
        <v>1115</v>
      </c>
      <c r="AK30" s="48">
        <f>AJ29/V30</f>
        <v>264.58137347130764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1.1000000000000001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43286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2</v>
      </c>
      <c r="G31" s="118">
        <v>73</v>
      </c>
      <c r="H31" s="150">
        <f t="shared" si="0"/>
        <v>51.408450704225352</v>
      </c>
      <c r="I31" s="150">
        <v>71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100468581</v>
      </c>
      <c r="T31" s="45">
        <f t="shared" si="4"/>
        <v>4482</v>
      </c>
      <c r="U31" s="46">
        <f t="shared" si="5"/>
        <v>107.568</v>
      </c>
      <c r="V31" s="46">
        <f t="shared" si="6"/>
        <v>4.4820000000000002</v>
      </c>
      <c r="W31" s="96">
        <v>2.6</v>
      </c>
      <c r="X31" s="96">
        <f t="shared" si="1"/>
        <v>2.6</v>
      </c>
      <c r="Y31" s="97" t="s">
        <v>168</v>
      </c>
      <c r="Z31" s="154">
        <v>1016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17163722</v>
      </c>
      <c r="AJ31" s="45">
        <f t="shared" si="7"/>
        <v>1195</v>
      </c>
      <c r="AK31" s="48">
        <f t="shared" si="9"/>
        <v>266.62204373047746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43286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1</v>
      </c>
      <c r="G32" s="118">
        <v>74</v>
      </c>
      <c r="H32" s="150">
        <f t="shared" si="0"/>
        <v>52.112676056338032</v>
      </c>
      <c r="I32" s="150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100473023</v>
      </c>
      <c r="T32" s="45">
        <f t="shared" si="4"/>
        <v>4442</v>
      </c>
      <c r="U32" s="46">
        <f t="shared" si="5"/>
        <v>106.608</v>
      </c>
      <c r="V32" s="46">
        <f t="shared" si="6"/>
        <v>4.4420000000000002</v>
      </c>
      <c r="W32" s="96">
        <v>2.2999999999999998</v>
      </c>
      <c r="X32" s="96">
        <f t="shared" si="1"/>
        <v>2.2999999999999998</v>
      </c>
      <c r="Y32" s="97" t="s">
        <v>168</v>
      </c>
      <c r="Z32" s="154">
        <v>1016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17164895</v>
      </c>
      <c r="AJ32" s="45">
        <f t="shared" si="7"/>
        <v>1173</v>
      </c>
      <c r="AK32" s="48">
        <f t="shared" si="9"/>
        <v>264.07023863124715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43286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1</v>
      </c>
      <c r="G33" s="118">
        <v>74</v>
      </c>
      <c r="H33" s="150">
        <f t="shared" si="0"/>
        <v>52.112676056338032</v>
      </c>
      <c r="I33" s="150">
        <v>69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100477405</v>
      </c>
      <c r="T33" s="45">
        <f t="shared" si="4"/>
        <v>4382</v>
      </c>
      <c r="U33" s="46">
        <f t="shared" si="5"/>
        <v>105.16800000000001</v>
      </c>
      <c r="V33" s="46">
        <f t="shared" si="6"/>
        <v>4.3819999999999997</v>
      </c>
      <c r="W33" s="96">
        <v>1.9</v>
      </c>
      <c r="X33" s="96">
        <f t="shared" si="1"/>
        <v>1.9</v>
      </c>
      <c r="Y33" s="97" t="s">
        <v>168</v>
      </c>
      <c r="Z33" s="154">
        <v>1015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17166030</v>
      </c>
      <c r="AJ33" s="45">
        <f t="shared" si="7"/>
        <v>1135</v>
      </c>
      <c r="AK33" s="48">
        <f t="shared" si="9"/>
        <v>259.01414879050662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43286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1</v>
      </c>
      <c r="G34" s="118">
        <v>75</v>
      </c>
      <c r="H34" s="150">
        <f t="shared" si="0"/>
        <v>52.816901408450704</v>
      </c>
      <c r="I34" s="150">
        <v>70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100481688</v>
      </c>
      <c r="T34" s="45">
        <f t="shared" si="4"/>
        <v>4283</v>
      </c>
      <c r="U34" s="46">
        <f t="shared" si="5"/>
        <v>102.792</v>
      </c>
      <c r="V34" s="46">
        <f t="shared" si="6"/>
        <v>4.2830000000000004</v>
      </c>
      <c r="W34" s="96">
        <v>1.6</v>
      </c>
      <c r="X34" s="96">
        <f t="shared" si="1"/>
        <v>1.6</v>
      </c>
      <c r="Y34" s="97" t="s">
        <v>168</v>
      </c>
      <c r="Z34" s="154">
        <v>1015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17167104</v>
      </c>
      <c r="AJ34" s="45">
        <f t="shared" si="7"/>
        <v>1074</v>
      </c>
      <c r="AK34" s="48">
        <f t="shared" si="9"/>
        <v>250.75881391547978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1.06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43286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2</v>
      </c>
      <c r="G35" s="118">
        <v>70</v>
      </c>
      <c r="H35" s="150">
        <f t="shared" si="0"/>
        <v>49.295774647887328</v>
      </c>
      <c r="I35" s="150">
        <v>74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100485836</v>
      </c>
      <c r="T35" s="45">
        <f t="shared" si="4"/>
        <v>4148</v>
      </c>
      <c r="U35" s="46">
        <f t="shared" si="5"/>
        <v>99.552000000000007</v>
      </c>
      <c r="V35" s="46">
        <f t="shared" si="6"/>
        <v>4.1479999999999997</v>
      </c>
      <c r="W35" s="96">
        <v>2.2999999999999998</v>
      </c>
      <c r="X35" s="96">
        <f t="shared" si="1"/>
        <v>2.2999999999999998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17168212</v>
      </c>
      <c r="AJ35" s="45">
        <f t="shared" si="7"/>
        <v>1108</v>
      </c>
      <c r="AK35" s="48">
        <f t="shared" si="9"/>
        <v>267.11668273866928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43286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74</v>
      </c>
      <c r="H36" s="150">
        <f t="shared" si="0"/>
        <v>52.112676056338032</v>
      </c>
      <c r="I36" s="150">
        <v>76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100490510</v>
      </c>
      <c r="T36" s="45">
        <f t="shared" si="4"/>
        <v>4674</v>
      </c>
      <c r="U36" s="46">
        <f t="shared" si="5"/>
        <v>112.176</v>
      </c>
      <c r="V36" s="46">
        <f t="shared" si="6"/>
        <v>4.6740000000000004</v>
      </c>
      <c r="W36" s="96">
        <v>3.3</v>
      </c>
      <c r="X36" s="96">
        <f t="shared" si="1"/>
        <v>3.3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17169380</v>
      </c>
      <c r="AJ36" s="45">
        <f t="shared" si="7"/>
        <v>1168</v>
      </c>
      <c r="AK36" s="48">
        <f t="shared" si="9"/>
        <v>249.8930252460419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109516</v>
      </c>
      <c r="U37" s="46">
        <f t="shared" si="5"/>
        <v>2628.384</v>
      </c>
      <c r="V37" s="46">
        <f t="shared" si="6"/>
        <v>109.51600000000001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27542</v>
      </c>
      <c r="AK37" s="61">
        <f>$AJ$37/$V37</f>
        <v>251.48836699660322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1.0633333333333335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193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184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32" t="s">
        <v>166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194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95" t="s">
        <v>195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83" t="s">
        <v>172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173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174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15" t="s">
        <v>175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209" t="s">
        <v>176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 t="s">
        <v>177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"/>
    <protectedRange sqref="R3:W3" name="Range1_16_1_1_1_1_1_1_2_2_2_2_2_2_2_2_2_2_2_2_2_2_2_2_2_2_2_2_2_2_2_1_2_2_2_2_2_2_2_2_2_2_3_2_2_2_2_2_2_2_2_2_2_1_1_1_1_2_2_1_1_1_1_1_1_1_1_1_1_1_1_1_1_3_1_2_1_1_1_1_1_1_2_1_1_1_1"/>
    <protectedRange sqref="R4:W4" name="Range1_16_1_1_1_1_1_1_2_2_2_2_2_2_2_2_2_2_2_2_2_2_2_2_2_2_2_2_2_2_2_1_2_2_2_2_2_2_2_2_2_2_3_2_2_2_2_2_2_2_2_2_2_1_1_1_1_2_2_1_1_1_1_1_1_1_1_1_1_1_1_1_1_3_1_2_1_1_1_1_1_2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58" priority="5" operator="containsText" text="N/A">
      <formula>NOT(ISERROR(SEARCH("N/A",Z13)))</formula>
    </cfRule>
    <cfRule type="cellIs" dxfId="457" priority="17" operator="equal">
      <formula>0</formula>
    </cfRule>
  </conditionalFormatting>
  <conditionalFormatting sqref="Z13:AG36">
    <cfRule type="cellIs" dxfId="456" priority="16" operator="greaterThanOrEqual">
      <formula>1185</formula>
    </cfRule>
  </conditionalFormatting>
  <conditionalFormatting sqref="Z13:AG36">
    <cfRule type="cellIs" dxfId="455" priority="15" operator="between">
      <formula>0.1</formula>
      <formula>1184</formula>
    </cfRule>
  </conditionalFormatting>
  <conditionalFormatting sqref="Z8:Z9 AT13:AT36 AL37:AQ37 AL13:AR36">
    <cfRule type="cellIs" dxfId="454" priority="14" operator="equal">
      <formula>0</formula>
    </cfRule>
  </conditionalFormatting>
  <conditionalFormatting sqref="Z8:Z9 AT13:AT36 AL37:AQ37 AL13:AR36">
    <cfRule type="cellIs" dxfId="453" priority="13" operator="greaterThan">
      <formula>1179</formula>
    </cfRule>
  </conditionalFormatting>
  <conditionalFormatting sqref="Z8:Z9 AT13:AT36 AL37:AQ37 AL13:AR36">
    <cfRule type="cellIs" dxfId="452" priority="12" operator="greaterThan">
      <formula>99</formula>
    </cfRule>
  </conditionalFormatting>
  <conditionalFormatting sqref="Z8:Z9 AT13:AT36 AL37:AQ37 AL13:AR36">
    <cfRule type="cellIs" dxfId="451" priority="11" operator="greaterThan">
      <formula>0.99</formula>
    </cfRule>
  </conditionalFormatting>
  <conditionalFormatting sqref="AD8:AD9">
    <cfRule type="cellIs" dxfId="450" priority="10" operator="equal">
      <formula>0</formula>
    </cfRule>
  </conditionalFormatting>
  <conditionalFormatting sqref="AD8:AD9">
    <cfRule type="cellIs" dxfId="449" priority="9" operator="greaterThan">
      <formula>1179</formula>
    </cfRule>
  </conditionalFormatting>
  <conditionalFormatting sqref="AD8:AD9">
    <cfRule type="cellIs" dxfId="448" priority="8" operator="greaterThan">
      <formula>99</formula>
    </cfRule>
  </conditionalFormatting>
  <conditionalFormatting sqref="AD8:AD9">
    <cfRule type="cellIs" dxfId="447" priority="7" operator="greaterThan">
      <formula>0.99</formula>
    </cfRule>
  </conditionalFormatting>
  <conditionalFormatting sqref="AK13:AK36">
    <cfRule type="cellIs" dxfId="446" priority="6" operator="greaterThan">
      <formula>$AK$8</formula>
    </cfRule>
  </conditionalFormatting>
  <conditionalFormatting sqref="AS13:AS36">
    <cfRule type="containsText" dxfId="445" priority="1" operator="containsText" text="N/A">
      <formula>NOT(ISERROR(SEARCH("N/A",AS13)))</formula>
    </cfRule>
    <cfRule type="cellIs" dxfId="444" priority="4" operator="equal">
      <formula>0</formula>
    </cfRule>
  </conditionalFormatting>
  <conditionalFormatting sqref="AS13:AS36">
    <cfRule type="cellIs" dxfId="443" priority="3" operator="greaterThanOrEqual">
      <formula>1185</formula>
    </cfRule>
  </conditionalFormatting>
  <conditionalFormatting sqref="AS13:AS36">
    <cfRule type="cellIs" dxfId="442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400-000000000000}">
      <formula1>$BB$11:$BB$42</formula1>
    </dataValidation>
    <dataValidation type="list" allowBlank="1" showInputMessage="1" showErrorMessage="1" sqref="AY33:AZ33" xr:uid="{00000000-0002-0000-0400-000001000000}">
      <formula1>$AY$26:$AY$30</formula1>
    </dataValidation>
    <dataValidation type="list" allowBlank="1" showInputMessage="1" showErrorMessage="1" sqref="AS8:AT9 P11:P12 N11:N12 D8:E9 Q8:V9" xr:uid="{00000000-0002-0000-0400-000002000000}">
      <formula1>#REF!</formula1>
    </dataValidation>
    <dataValidation type="list" allowBlank="1" showInputMessage="1" showErrorMessage="1" sqref="J13:J36" xr:uid="{00000000-0002-0000-0400-000003000000}">
      <formula1>$AY$11:$AY$21</formula1>
    </dataValidation>
  </dataValidations>
  <hyperlinks>
    <hyperlink ref="J10:J11" location="'1'!AH8" display="Plant Status" xr:uid="{00000000-0004-0000-0400-000000000000}"/>
  </hyperlinks>
  <pageMargins left="0.7" right="0.7" top="0.75" bottom="0.75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7030A0"/>
  </sheetPr>
  <dimension ref="A2:BB88"/>
  <sheetViews>
    <sheetView topLeftCell="A43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140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11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43287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27353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12" t="s">
        <v>51</v>
      </c>
      <c r="X10" s="212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10" t="s">
        <v>55</v>
      </c>
      <c r="AI10" s="210" t="s">
        <v>56</v>
      </c>
      <c r="AJ10" s="314" t="s">
        <v>57</v>
      </c>
      <c r="AK10" s="329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124</v>
      </c>
      <c r="AR10" s="212" t="s">
        <v>64</v>
      </c>
      <c r="AS10" s="212" t="s">
        <v>65</v>
      </c>
      <c r="AT10" s="312" t="s">
        <v>66</v>
      </c>
      <c r="AU10" s="212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127</v>
      </c>
      <c r="G11" s="212" t="s">
        <v>74</v>
      </c>
      <c r="H11" s="212" t="s">
        <v>75</v>
      </c>
      <c r="I11" s="212" t="s">
        <v>127</v>
      </c>
      <c r="J11" s="309"/>
      <c r="K11" s="212" t="s">
        <v>75</v>
      </c>
      <c r="L11" s="212" t="s">
        <v>75</v>
      </c>
      <c r="M11" s="212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5'!S36</f>
        <v>100490510</v>
      </c>
      <c r="T11" s="322"/>
      <c r="U11" s="323"/>
      <c r="V11" s="324"/>
      <c r="W11" s="212" t="s">
        <v>75</v>
      </c>
      <c r="X11" s="212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5'!AI36</f>
        <v>17169380</v>
      </c>
      <c r="AJ11" s="314"/>
      <c r="AK11" s="330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13"/>
      <c r="AU11" s="213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43287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3</v>
      </c>
      <c r="G13" s="118">
        <v>73</v>
      </c>
      <c r="H13" s="150">
        <f t="shared" ref="H13:H36" si="0">G13/1.42</f>
        <v>51.408450704225352</v>
      </c>
      <c r="I13" s="150">
        <v>77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100495034</v>
      </c>
      <c r="T13" s="45">
        <f>IF(ISBLANK(S13),"-",S13-S11)</f>
        <v>4524</v>
      </c>
      <c r="U13" s="46">
        <f>T13*24/1000</f>
        <v>108.57599999999999</v>
      </c>
      <c r="V13" s="46">
        <f>T13/1000</f>
        <v>4.524</v>
      </c>
      <c r="W13" s="96">
        <v>4.3</v>
      </c>
      <c r="X13" s="96">
        <f t="shared" ref="X13:X36" si="1">W13</f>
        <v>4.3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17170444</v>
      </c>
      <c r="AJ13" s="45">
        <f>IF(ISBLANK(AI13),"-",AI13-AI11)</f>
        <v>1064</v>
      </c>
      <c r="AK13" s="48">
        <f>AJ13/V13</f>
        <v>235.19009725906278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43287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4</v>
      </c>
      <c r="G14" s="118">
        <v>75</v>
      </c>
      <c r="H14" s="150">
        <f t="shared" si="0"/>
        <v>52.816901408450704</v>
      </c>
      <c r="I14" s="150">
        <v>78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100499478</v>
      </c>
      <c r="T14" s="45">
        <f t="shared" ref="T14:T36" si="4">IF(ISBLANK(S14),"-",S14-S13)</f>
        <v>4444</v>
      </c>
      <c r="U14" s="46">
        <f t="shared" ref="U14:U37" si="5">T14*24/1000</f>
        <v>106.65600000000001</v>
      </c>
      <c r="V14" s="46">
        <f t="shared" ref="V14:V37" si="6">T14/1000</f>
        <v>4.444</v>
      </c>
      <c r="W14" s="96">
        <v>5.3</v>
      </c>
      <c r="X14" s="96">
        <f t="shared" si="1"/>
        <v>5.3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17171506</v>
      </c>
      <c r="AJ14" s="45">
        <f t="shared" ref="AJ14:AJ36" si="7">IF(ISBLANK(AI14),"-",AI14-AI13)</f>
        <v>1062</v>
      </c>
      <c r="AK14" s="48">
        <f>AJ14/V14</f>
        <v>238.97389738973897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0.96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43287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6</v>
      </c>
      <c r="G15" s="118">
        <v>76</v>
      </c>
      <c r="H15" s="150">
        <f t="shared" si="0"/>
        <v>53.521126760563384</v>
      </c>
      <c r="I15" s="150">
        <v>78</v>
      </c>
      <c r="J15" s="41" t="s">
        <v>88</v>
      </c>
      <c r="K15" s="41">
        <f t="shared" si="3"/>
        <v>48.591549295774648</v>
      </c>
      <c r="L15" s="42">
        <f>(G15-5)/1.42</f>
        <v>50</v>
      </c>
      <c r="M15" s="41">
        <f>L15+(6/1.42)</f>
        <v>54.225352112676056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100503986</v>
      </c>
      <c r="T15" s="45">
        <f>IF(ISBLANK(S15),"-",S15-S14)</f>
        <v>4508</v>
      </c>
      <c r="U15" s="46">
        <f t="shared" si="5"/>
        <v>108.19199999999999</v>
      </c>
      <c r="V15" s="46">
        <f t="shared" si="6"/>
        <v>4.508</v>
      </c>
      <c r="W15" s="96">
        <v>6.2</v>
      </c>
      <c r="X15" s="96">
        <f t="shared" si="1"/>
        <v>6.2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17172542</v>
      </c>
      <c r="AJ15" s="45">
        <f t="shared" si="7"/>
        <v>1036</v>
      </c>
      <c r="AK15" s="48">
        <f t="shared" ref="AK15:AK36" si="9">AJ15/V15</f>
        <v>229.8136645962733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43287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68</v>
      </c>
      <c r="H16" s="150">
        <f t="shared" si="0"/>
        <v>47.887323943661976</v>
      </c>
      <c r="I16" s="150">
        <v>78</v>
      </c>
      <c r="J16" s="41" t="s">
        <v>88</v>
      </c>
      <c r="K16" s="41">
        <f t="shared" si="3"/>
        <v>42.95774647887324</v>
      </c>
      <c r="L16" s="42">
        <f>(G16-5)/1.42</f>
        <v>44.366197183098592</v>
      </c>
      <c r="M16" s="41">
        <f>L16+(6/1.42)</f>
        <v>48.591549295774648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100508504</v>
      </c>
      <c r="T16" s="45">
        <f t="shared" si="4"/>
        <v>4518</v>
      </c>
      <c r="U16" s="46">
        <f t="shared" si="5"/>
        <v>108.432</v>
      </c>
      <c r="V16" s="46">
        <f t="shared" si="6"/>
        <v>4.5179999999999998</v>
      </c>
      <c r="W16" s="96">
        <v>8</v>
      </c>
      <c r="X16" s="96">
        <f t="shared" si="1"/>
        <v>8</v>
      </c>
      <c r="Y16" s="97" t="s">
        <v>139</v>
      </c>
      <c r="Z16" s="154">
        <v>0</v>
      </c>
      <c r="AA16" s="154">
        <v>0</v>
      </c>
      <c r="AB16" s="154">
        <v>1186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17173614</v>
      </c>
      <c r="AJ16" s="45">
        <f t="shared" si="7"/>
        <v>1072</v>
      </c>
      <c r="AK16" s="48">
        <f t="shared" si="9"/>
        <v>237.27312970340859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43287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79</v>
      </c>
      <c r="H17" s="150">
        <f t="shared" si="0"/>
        <v>55.633802816901408</v>
      </c>
      <c r="I17" s="150">
        <v>80</v>
      </c>
      <c r="J17" s="41" t="s">
        <v>88</v>
      </c>
      <c r="K17" s="41">
        <f t="shared" si="3"/>
        <v>50.70422535211268</v>
      </c>
      <c r="L17" s="42">
        <f>(G17-5)/1.42</f>
        <v>52.112676056338032</v>
      </c>
      <c r="M17" s="41">
        <f>L17+(6/1.42)</f>
        <v>56.338028169014088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100512974</v>
      </c>
      <c r="T17" s="45">
        <f t="shared" si="4"/>
        <v>4470</v>
      </c>
      <c r="U17" s="46">
        <f t="shared" si="5"/>
        <v>107.28</v>
      </c>
      <c r="V17" s="46">
        <f t="shared" si="6"/>
        <v>4.47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17174808</v>
      </c>
      <c r="AJ17" s="45">
        <f t="shared" si="7"/>
        <v>1194</v>
      </c>
      <c r="AK17" s="48">
        <f t="shared" si="9"/>
        <v>267.11409395973158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0.8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43287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7</v>
      </c>
      <c r="G18" s="118">
        <v>78</v>
      </c>
      <c r="H18" s="150">
        <f t="shared" si="0"/>
        <v>54.929577464788736</v>
      </c>
      <c r="I18" s="150">
        <v>77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100517817</v>
      </c>
      <c r="T18" s="45">
        <f t="shared" si="4"/>
        <v>4843</v>
      </c>
      <c r="U18" s="46">
        <f t="shared" si="5"/>
        <v>116.232</v>
      </c>
      <c r="V18" s="46">
        <f t="shared" si="6"/>
        <v>4.843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17175923</v>
      </c>
      <c r="AJ18" s="45">
        <f t="shared" si="7"/>
        <v>1115</v>
      </c>
      <c r="AK18" s="48">
        <f t="shared" si="9"/>
        <v>230.22919677885608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1.06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43287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77</v>
      </c>
      <c r="H19" s="150">
        <f t="shared" si="0"/>
        <v>54.225352112676056</v>
      </c>
      <c r="I19" s="150">
        <v>76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100523057</v>
      </c>
      <c r="T19" s="45">
        <f t="shared" si="4"/>
        <v>5240</v>
      </c>
      <c r="U19" s="46">
        <f t="shared" si="5"/>
        <v>125.76</v>
      </c>
      <c r="V19" s="46">
        <f t="shared" si="6"/>
        <v>5.24</v>
      </c>
      <c r="W19" s="96">
        <v>8.8000000000000007</v>
      </c>
      <c r="X19" s="96">
        <f t="shared" si="1"/>
        <v>8.8000000000000007</v>
      </c>
      <c r="Y19" s="97" t="s">
        <v>168</v>
      </c>
      <c r="Z19" s="154">
        <v>0</v>
      </c>
      <c r="AA19" s="154">
        <v>1018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17177110</v>
      </c>
      <c r="AJ19" s="45">
        <f t="shared" si="7"/>
        <v>1187</v>
      </c>
      <c r="AK19" s="48">
        <f t="shared" si="9"/>
        <v>226.52671755725189</v>
      </c>
      <c r="AL19" s="151">
        <v>0</v>
      </c>
      <c r="AM19" s="151">
        <v>1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43287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6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100527718</v>
      </c>
      <c r="T20" s="45">
        <f t="shared" si="4"/>
        <v>4661</v>
      </c>
      <c r="U20" s="46">
        <f>T20*24/1000</f>
        <v>111.864</v>
      </c>
      <c r="V20" s="46">
        <f t="shared" si="6"/>
        <v>4.6609999999999996</v>
      </c>
      <c r="W20" s="96">
        <v>8.1</v>
      </c>
      <c r="X20" s="96">
        <f t="shared" si="1"/>
        <v>8.1</v>
      </c>
      <c r="Y20" s="97" t="s">
        <v>168</v>
      </c>
      <c r="Z20" s="154">
        <v>0</v>
      </c>
      <c r="AA20" s="154">
        <v>1108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17178307</v>
      </c>
      <c r="AJ20" s="45">
        <f t="shared" si="7"/>
        <v>1197</v>
      </c>
      <c r="AK20" s="48">
        <f t="shared" si="9"/>
        <v>256.81184295215621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43287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6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100532236</v>
      </c>
      <c r="T21" s="45">
        <f t="shared" si="4"/>
        <v>4518</v>
      </c>
      <c r="U21" s="46">
        <f t="shared" si="5"/>
        <v>108.432</v>
      </c>
      <c r="V21" s="46">
        <f t="shared" si="6"/>
        <v>4.5179999999999998</v>
      </c>
      <c r="W21" s="96">
        <v>7.2</v>
      </c>
      <c r="X21" s="96">
        <f t="shared" si="1"/>
        <v>7.2</v>
      </c>
      <c r="Y21" s="97" t="s">
        <v>168</v>
      </c>
      <c r="Z21" s="154">
        <v>0</v>
      </c>
      <c r="AA21" s="154">
        <v>1088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17179520</v>
      </c>
      <c r="AJ21" s="45">
        <f t="shared" si="7"/>
        <v>1213</v>
      </c>
      <c r="AK21" s="48">
        <f t="shared" si="9"/>
        <v>268.481629039398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43287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6</v>
      </c>
      <c r="G22" s="118">
        <v>77</v>
      </c>
      <c r="H22" s="150">
        <f t="shared" si="0"/>
        <v>54.225352112676056</v>
      </c>
      <c r="I22" s="150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100536698</v>
      </c>
      <c r="T22" s="45">
        <f t="shared" si="4"/>
        <v>4462</v>
      </c>
      <c r="U22" s="46">
        <f t="shared" si="5"/>
        <v>107.08799999999999</v>
      </c>
      <c r="V22" s="46">
        <f t="shared" si="6"/>
        <v>4.4619999999999997</v>
      </c>
      <c r="W22" s="96">
        <v>6.4</v>
      </c>
      <c r="X22" s="96">
        <f t="shared" si="1"/>
        <v>6.4</v>
      </c>
      <c r="Y22" s="97" t="s">
        <v>168</v>
      </c>
      <c r="Z22" s="154">
        <v>0</v>
      </c>
      <c r="AA22" s="154">
        <v>1088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17180740</v>
      </c>
      <c r="AJ22" s="45">
        <f t="shared" si="7"/>
        <v>1220</v>
      </c>
      <c r="AK22" s="48">
        <f t="shared" si="9"/>
        <v>273.41999103541013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0.98</v>
      </c>
      <c r="AV22" s="50" t="s">
        <v>126</v>
      </c>
      <c r="BB22" s="136" t="s">
        <v>156</v>
      </c>
    </row>
    <row r="23" spans="1:54" x14ac:dyDescent="0.35">
      <c r="A23" s="331">
        <v>43287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100541018</v>
      </c>
      <c r="T23" s="45">
        <f t="shared" si="4"/>
        <v>4320</v>
      </c>
      <c r="U23" s="46">
        <f t="shared" si="5"/>
        <v>103.68</v>
      </c>
      <c r="V23" s="46">
        <f t="shared" si="6"/>
        <v>4.32</v>
      </c>
      <c r="W23" s="96">
        <v>5.6</v>
      </c>
      <c r="X23" s="96">
        <f>W23</f>
        <v>5.6</v>
      </c>
      <c r="Y23" s="97" t="s">
        <v>168</v>
      </c>
      <c r="Z23" s="154">
        <v>0</v>
      </c>
      <c r="AA23" s="154">
        <v>1088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17181950</v>
      </c>
      <c r="AJ23" s="45">
        <f t="shared" si="7"/>
        <v>1210</v>
      </c>
      <c r="AK23" s="48">
        <f t="shared" si="9"/>
        <v>280.09259259259255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43287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100545315</v>
      </c>
      <c r="T24" s="45">
        <f t="shared" si="4"/>
        <v>4297</v>
      </c>
      <c r="U24" s="46">
        <f>T24*24/1000</f>
        <v>103.128</v>
      </c>
      <c r="V24" s="46">
        <f t="shared" si="6"/>
        <v>4.2969999999999997</v>
      </c>
      <c r="W24" s="96">
        <v>5</v>
      </c>
      <c r="X24" s="96">
        <f t="shared" si="1"/>
        <v>5</v>
      </c>
      <c r="Y24" s="97" t="s">
        <v>168</v>
      </c>
      <c r="Z24" s="154">
        <v>0</v>
      </c>
      <c r="AA24" s="154">
        <v>1017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17183123</v>
      </c>
      <c r="AJ24" s="45">
        <f t="shared" si="7"/>
        <v>1173</v>
      </c>
      <c r="AK24" s="48">
        <f t="shared" si="9"/>
        <v>272.98114963928322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43287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4</v>
      </c>
      <c r="G25" s="118">
        <v>74</v>
      </c>
      <c r="H25" s="150">
        <f t="shared" si="0"/>
        <v>52.112676056338032</v>
      </c>
      <c r="I25" s="150">
        <v>73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100549587</v>
      </c>
      <c r="T25" s="45">
        <f t="shared" si="4"/>
        <v>4272</v>
      </c>
      <c r="U25" s="46">
        <f>T25*24/1000</f>
        <v>102.52800000000001</v>
      </c>
      <c r="V25" s="46">
        <f t="shared" si="6"/>
        <v>4.2720000000000002</v>
      </c>
      <c r="W25" s="96">
        <v>4.5999999999999996</v>
      </c>
      <c r="X25" s="96">
        <f t="shared" si="1"/>
        <v>4.5999999999999996</v>
      </c>
      <c r="Y25" s="97" t="s">
        <v>168</v>
      </c>
      <c r="Z25" s="154">
        <v>0</v>
      </c>
      <c r="AA25" s="154">
        <v>1017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17184292</v>
      </c>
      <c r="AJ25" s="45">
        <f t="shared" si="7"/>
        <v>1169</v>
      </c>
      <c r="AK25" s="48">
        <f t="shared" si="9"/>
        <v>273.64232209737827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43287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3</v>
      </c>
      <c r="G26" s="118">
        <v>75</v>
      </c>
      <c r="H26" s="150">
        <f t="shared" si="0"/>
        <v>52.816901408450704</v>
      </c>
      <c r="I26" s="150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100553751</v>
      </c>
      <c r="T26" s="45">
        <f t="shared" si="4"/>
        <v>4164</v>
      </c>
      <c r="U26" s="46">
        <f t="shared" si="5"/>
        <v>99.936000000000007</v>
      </c>
      <c r="V26" s="46">
        <f t="shared" si="6"/>
        <v>4.1639999999999997</v>
      </c>
      <c r="W26" s="96">
        <v>4.0999999999999996</v>
      </c>
      <c r="X26" s="96">
        <f t="shared" si="1"/>
        <v>4.0999999999999996</v>
      </c>
      <c r="Y26" s="97" t="s">
        <v>168</v>
      </c>
      <c r="Z26" s="154">
        <v>0</v>
      </c>
      <c r="AA26" s="154">
        <v>1016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17185415</v>
      </c>
      <c r="AJ26" s="45">
        <f t="shared" si="7"/>
        <v>1123</v>
      </c>
      <c r="AK26" s="48">
        <f t="shared" si="9"/>
        <v>269.69260326609032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1.08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43287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3</v>
      </c>
      <c r="G27" s="118">
        <v>72</v>
      </c>
      <c r="H27" s="150">
        <f t="shared" si="0"/>
        <v>50.70422535211268</v>
      </c>
      <c r="I27" s="150">
        <v>72</v>
      </c>
      <c r="J27" s="41" t="s">
        <v>88</v>
      </c>
      <c r="K27" s="41">
        <f t="shared" si="3"/>
        <v>49.295774647887328</v>
      </c>
      <c r="L27" s="42">
        <f t="shared" si="10"/>
        <v>50.70422535211268</v>
      </c>
      <c r="M27" s="41">
        <f t="shared" si="12"/>
        <v>54.929577464788736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100557863</v>
      </c>
      <c r="T27" s="45">
        <f t="shared" si="4"/>
        <v>4112</v>
      </c>
      <c r="U27" s="46">
        <f t="shared" si="5"/>
        <v>98.688000000000002</v>
      </c>
      <c r="V27" s="46">
        <f t="shared" si="6"/>
        <v>4.1120000000000001</v>
      </c>
      <c r="W27" s="96">
        <v>3.6</v>
      </c>
      <c r="X27" s="96">
        <f t="shared" si="1"/>
        <v>3.6</v>
      </c>
      <c r="Y27" s="97" t="s">
        <v>168</v>
      </c>
      <c r="Z27" s="154">
        <v>0</v>
      </c>
      <c r="AA27" s="154">
        <v>1016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17186608</v>
      </c>
      <c r="AJ27" s="45">
        <f t="shared" si="7"/>
        <v>1193</v>
      </c>
      <c r="AK27" s="48">
        <f t="shared" si="9"/>
        <v>290.12645914396887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43287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2</v>
      </c>
      <c r="G28" s="118">
        <v>73</v>
      </c>
      <c r="H28" s="150">
        <f t="shared" si="0"/>
        <v>51.408450704225352</v>
      </c>
      <c r="I28" s="150">
        <v>72</v>
      </c>
      <c r="J28" s="41" t="s">
        <v>88</v>
      </c>
      <c r="K28" s="41">
        <f t="shared" si="3"/>
        <v>47.887323943661976</v>
      </c>
      <c r="L28" s="42">
        <f>(G28-3)/1.42</f>
        <v>49.295774647887328</v>
      </c>
      <c r="M28" s="41">
        <f t="shared" si="12"/>
        <v>53.521126760563384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100561955</v>
      </c>
      <c r="T28" s="45">
        <f t="shared" si="4"/>
        <v>4092</v>
      </c>
      <c r="U28" s="46">
        <f t="shared" si="5"/>
        <v>98.207999999999998</v>
      </c>
      <c r="V28" s="46">
        <f t="shared" si="6"/>
        <v>4.0919999999999996</v>
      </c>
      <c r="W28" s="96">
        <v>3.2</v>
      </c>
      <c r="X28" s="96">
        <f t="shared" si="1"/>
        <v>3.2</v>
      </c>
      <c r="Y28" s="97" t="s">
        <v>168</v>
      </c>
      <c r="Z28" s="154">
        <v>0</v>
      </c>
      <c r="AA28" s="154">
        <v>1016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17187739</v>
      </c>
      <c r="AJ28" s="45">
        <f>IF(ISBLANK(AI28),"-",AI28-AI27)</f>
        <v>1131</v>
      </c>
      <c r="AK28" s="48">
        <f t="shared" si="9"/>
        <v>276.39296187683289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43287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2</v>
      </c>
      <c r="G29" s="118">
        <v>74</v>
      </c>
      <c r="H29" s="150">
        <f t="shared" si="0"/>
        <v>52.112676056338032</v>
      </c>
      <c r="I29" s="150">
        <v>71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100566017</v>
      </c>
      <c r="T29" s="45">
        <f t="shared" si="4"/>
        <v>4062</v>
      </c>
      <c r="U29" s="46">
        <f t="shared" si="5"/>
        <v>97.488</v>
      </c>
      <c r="V29" s="46">
        <f t="shared" si="6"/>
        <v>4.0620000000000003</v>
      </c>
      <c r="W29" s="96">
        <v>2.8</v>
      </c>
      <c r="X29" s="96">
        <f t="shared" si="1"/>
        <v>2.8</v>
      </c>
      <c r="Y29" s="97" t="s">
        <v>168</v>
      </c>
      <c r="Z29" s="154">
        <v>0</v>
      </c>
      <c r="AA29" s="154">
        <v>1016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17188878</v>
      </c>
      <c r="AJ29" s="45">
        <f t="shared" si="7"/>
        <v>1139</v>
      </c>
      <c r="AK29" s="48">
        <f>AJ28/V29</f>
        <v>278.43426883308712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43287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1</v>
      </c>
      <c r="G30" s="118">
        <v>74</v>
      </c>
      <c r="H30" s="150">
        <f t="shared" si="0"/>
        <v>52.112676056338032</v>
      </c>
      <c r="I30" s="150">
        <v>71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100570533</v>
      </c>
      <c r="T30" s="45">
        <f t="shared" si="4"/>
        <v>4516</v>
      </c>
      <c r="U30" s="46">
        <f t="shared" si="5"/>
        <v>108.384</v>
      </c>
      <c r="V30" s="46">
        <f t="shared" si="6"/>
        <v>4.516</v>
      </c>
      <c r="W30" s="96">
        <v>2.4</v>
      </c>
      <c r="X30" s="96">
        <f t="shared" si="1"/>
        <v>2.4</v>
      </c>
      <c r="Y30" s="97" t="s">
        <v>168</v>
      </c>
      <c r="Z30" s="154">
        <v>0</v>
      </c>
      <c r="AA30" s="154">
        <v>1015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17190036</v>
      </c>
      <c r="AJ30" s="45">
        <f t="shared" si="7"/>
        <v>1158</v>
      </c>
      <c r="AK30" s="48">
        <f>AJ29/V30</f>
        <v>252.21434898139947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1.1299999999999999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43287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1</v>
      </c>
      <c r="G31" s="118">
        <v>73</v>
      </c>
      <c r="H31" s="150">
        <f t="shared" si="0"/>
        <v>51.408450704225352</v>
      </c>
      <c r="I31" s="150">
        <v>70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100575021</v>
      </c>
      <c r="T31" s="45">
        <f t="shared" si="4"/>
        <v>4488</v>
      </c>
      <c r="U31" s="46">
        <f t="shared" si="5"/>
        <v>107.712</v>
      </c>
      <c r="V31" s="46">
        <f t="shared" si="6"/>
        <v>4.4880000000000004</v>
      </c>
      <c r="W31" s="96">
        <v>2.1</v>
      </c>
      <c r="X31" s="96">
        <f t="shared" si="1"/>
        <v>2.1</v>
      </c>
      <c r="Y31" s="97" t="s">
        <v>168</v>
      </c>
      <c r="Z31" s="154">
        <v>0</v>
      </c>
      <c r="AA31" s="154">
        <v>1015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17191174</v>
      </c>
      <c r="AJ31" s="45">
        <f t="shared" si="7"/>
        <v>1138</v>
      </c>
      <c r="AK31" s="48">
        <f t="shared" si="9"/>
        <v>253.56506238859177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43287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0</v>
      </c>
      <c r="G32" s="118">
        <v>73</v>
      </c>
      <c r="H32" s="150">
        <f t="shared" si="0"/>
        <v>51.408450704225352</v>
      </c>
      <c r="I32" s="150">
        <v>69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100579480</v>
      </c>
      <c r="T32" s="45">
        <f t="shared" si="4"/>
        <v>4459</v>
      </c>
      <c r="U32" s="46">
        <f t="shared" si="5"/>
        <v>107.01600000000001</v>
      </c>
      <c r="V32" s="46">
        <f t="shared" si="6"/>
        <v>4.4589999999999996</v>
      </c>
      <c r="W32" s="96">
        <v>1.7</v>
      </c>
      <c r="X32" s="96">
        <f t="shared" si="1"/>
        <v>1.7</v>
      </c>
      <c r="Y32" s="97" t="s">
        <v>168</v>
      </c>
      <c r="Z32" s="154">
        <v>0</v>
      </c>
      <c r="AA32" s="154">
        <v>1015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17192318</v>
      </c>
      <c r="AJ32" s="45">
        <f t="shared" si="7"/>
        <v>1144</v>
      </c>
      <c r="AK32" s="48">
        <f t="shared" si="9"/>
        <v>256.55976676384842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43287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0</v>
      </c>
      <c r="G33" s="118">
        <v>74</v>
      </c>
      <c r="H33" s="150">
        <f t="shared" si="0"/>
        <v>52.112676056338032</v>
      </c>
      <c r="I33" s="150">
        <v>69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100584158</v>
      </c>
      <c r="T33" s="45">
        <f t="shared" si="4"/>
        <v>4678</v>
      </c>
      <c r="U33" s="46">
        <f t="shared" si="5"/>
        <v>112.27200000000001</v>
      </c>
      <c r="V33" s="46">
        <f t="shared" si="6"/>
        <v>4.6779999999999999</v>
      </c>
      <c r="W33" s="96">
        <v>1.5</v>
      </c>
      <c r="X33" s="96">
        <f t="shared" si="1"/>
        <v>1.5</v>
      </c>
      <c r="Y33" s="97" t="s">
        <v>168</v>
      </c>
      <c r="Z33" s="154">
        <v>0</v>
      </c>
      <c r="AA33" s="154">
        <v>1015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17193469</v>
      </c>
      <c r="AJ33" s="45">
        <f t="shared" si="7"/>
        <v>1151</v>
      </c>
      <c r="AK33" s="48">
        <f t="shared" si="9"/>
        <v>246.04531851218471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43287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0</v>
      </c>
      <c r="G34" s="118">
        <v>75</v>
      </c>
      <c r="H34" s="150">
        <f t="shared" si="0"/>
        <v>52.816901408450704</v>
      </c>
      <c r="I34" s="150">
        <v>71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100588302</v>
      </c>
      <c r="T34" s="45">
        <f t="shared" si="4"/>
        <v>4144</v>
      </c>
      <c r="U34" s="46">
        <f t="shared" si="5"/>
        <v>99.456000000000003</v>
      </c>
      <c r="V34" s="46">
        <f t="shared" si="6"/>
        <v>4.1440000000000001</v>
      </c>
      <c r="W34" s="96">
        <v>1.4</v>
      </c>
      <c r="X34" s="96">
        <f t="shared" si="1"/>
        <v>1.4</v>
      </c>
      <c r="Y34" s="97" t="s">
        <v>139</v>
      </c>
      <c r="Z34" s="154">
        <v>0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17194513</v>
      </c>
      <c r="AJ34" s="45">
        <f t="shared" si="7"/>
        <v>1044</v>
      </c>
      <c r="AK34" s="48">
        <f t="shared" si="9"/>
        <v>251.93050193050192</v>
      </c>
      <c r="AL34" s="151">
        <v>0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0.98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43287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1</v>
      </c>
      <c r="G35" s="118">
        <v>75</v>
      </c>
      <c r="H35" s="150">
        <f t="shared" si="0"/>
        <v>52.816901408450704</v>
      </c>
      <c r="I35" s="150">
        <v>71</v>
      </c>
      <c r="J35" s="41" t="s">
        <v>88</v>
      </c>
      <c r="K35" s="41">
        <f>L35-(2/1.42)</f>
        <v>47.887323943661976</v>
      </c>
      <c r="L35" s="42">
        <f>(G35-5)/1.42</f>
        <v>49.295774647887328</v>
      </c>
      <c r="M35" s="41">
        <f t="shared" si="12"/>
        <v>53.521126760563384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100592243</v>
      </c>
      <c r="T35" s="45">
        <f t="shared" si="4"/>
        <v>3941</v>
      </c>
      <c r="U35" s="46">
        <f t="shared" si="5"/>
        <v>94.584000000000003</v>
      </c>
      <c r="V35" s="46">
        <f t="shared" si="6"/>
        <v>3.9409999999999998</v>
      </c>
      <c r="W35" s="96">
        <v>2.1</v>
      </c>
      <c r="X35" s="96">
        <f t="shared" si="1"/>
        <v>2.1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17195612</v>
      </c>
      <c r="AJ35" s="45">
        <f t="shared" si="7"/>
        <v>1099</v>
      </c>
      <c r="AK35" s="48">
        <f t="shared" si="9"/>
        <v>278.86323268206041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43287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75</v>
      </c>
      <c r="H36" s="150">
        <f t="shared" si="0"/>
        <v>52.816901408450704</v>
      </c>
      <c r="I36" s="150">
        <v>72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100597055</v>
      </c>
      <c r="T36" s="45">
        <f t="shared" si="4"/>
        <v>4812</v>
      </c>
      <c r="U36" s="46">
        <f t="shared" si="5"/>
        <v>115.488</v>
      </c>
      <c r="V36" s="46">
        <f t="shared" si="6"/>
        <v>4.8120000000000003</v>
      </c>
      <c r="W36" s="96">
        <v>2.9</v>
      </c>
      <c r="X36" s="96">
        <f t="shared" si="1"/>
        <v>2.9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17196733</v>
      </c>
      <c r="AJ36" s="45">
        <f t="shared" si="7"/>
        <v>1121</v>
      </c>
      <c r="AK36" s="48">
        <f t="shared" si="9"/>
        <v>232.95926849542809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106545</v>
      </c>
      <c r="U37" s="46">
        <f t="shared" si="5"/>
        <v>2557.08</v>
      </c>
      <c r="V37" s="46">
        <f t="shared" si="6"/>
        <v>106.545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27353</v>
      </c>
      <c r="AK37" s="61">
        <f>$AJ$37/$V37</f>
        <v>256.72720446759587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1.0316666666666665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196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179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32" t="s">
        <v>166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197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198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177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"/>
    <protectedRange sqref="R3:W3" name="Range1_16_1_1_1_1_1_1_2_2_2_2_2_2_2_2_2_2_2_2_2_2_2_2_2_2_2_2_2_2_2_1_2_2_2_2_2_2_2_2_2_2_3_2_2_2_2_2_2_2_2_2_2_1_1_1_1_2_2_1_1_1_1_1_1_1_1_1_1_1_1_1_1_3_1_2_1_1_1_1_1_1_2_1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4:W4" name="Range1_16_1_1_1_1_1_1_2_2_2_2_2_2_2_2_2_2_2_2_2_2_2_2_2_2_2_2_2_2_2_1_2_2_2_2_2_2_2_2_2_2_3_2_2_2_2_2_2_2_2_2_2_1_1_1_1_2_2_1_1_1_1_1_1_1_1_1_1_1_1_1_1_3_1_2_1_1_1_1_1_2_2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41" priority="5" operator="containsText" text="N/A">
      <formula>NOT(ISERROR(SEARCH("N/A",Z13)))</formula>
    </cfRule>
    <cfRule type="cellIs" dxfId="440" priority="17" operator="equal">
      <formula>0</formula>
    </cfRule>
  </conditionalFormatting>
  <conditionalFormatting sqref="Z13:AG36">
    <cfRule type="cellIs" dxfId="439" priority="16" operator="greaterThanOrEqual">
      <formula>1185</formula>
    </cfRule>
  </conditionalFormatting>
  <conditionalFormatting sqref="Z13:AG36">
    <cfRule type="cellIs" dxfId="438" priority="15" operator="between">
      <formula>0.1</formula>
      <formula>1184</formula>
    </cfRule>
  </conditionalFormatting>
  <conditionalFormatting sqref="Z8:Z9 AT13:AT36 AL37:AQ37 AL13:AR36">
    <cfRule type="cellIs" dxfId="437" priority="14" operator="equal">
      <formula>0</formula>
    </cfRule>
  </conditionalFormatting>
  <conditionalFormatting sqref="Z8:Z9 AT13:AT36 AL37:AQ37 AL13:AR36">
    <cfRule type="cellIs" dxfId="436" priority="13" operator="greaterThan">
      <formula>1179</formula>
    </cfRule>
  </conditionalFormatting>
  <conditionalFormatting sqref="Z8:Z9 AT13:AT36 AL37:AQ37 AL13:AR36">
    <cfRule type="cellIs" dxfId="435" priority="12" operator="greaterThan">
      <formula>99</formula>
    </cfRule>
  </conditionalFormatting>
  <conditionalFormatting sqref="Z8:Z9 AT13:AT36 AL37:AQ37 AL13:AR36">
    <cfRule type="cellIs" dxfId="434" priority="11" operator="greaterThan">
      <formula>0.99</formula>
    </cfRule>
  </conditionalFormatting>
  <conditionalFormatting sqref="AD8:AD9">
    <cfRule type="cellIs" dxfId="433" priority="10" operator="equal">
      <formula>0</formula>
    </cfRule>
  </conditionalFormatting>
  <conditionalFormatting sqref="AD8:AD9">
    <cfRule type="cellIs" dxfId="432" priority="9" operator="greaterThan">
      <formula>1179</formula>
    </cfRule>
  </conditionalFormatting>
  <conditionalFormatting sqref="AD8:AD9">
    <cfRule type="cellIs" dxfId="431" priority="8" operator="greaterThan">
      <formula>99</formula>
    </cfRule>
  </conditionalFormatting>
  <conditionalFormatting sqref="AD8:AD9">
    <cfRule type="cellIs" dxfId="430" priority="7" operator="greaterThan">
      <formula>0.99</formula>
    </cfRule>
  </conditionalFormatting>
  <conditionalFormatting sqref="AK13:AK36">
    <cfRule type="cellIs" dxfId="429" priority="6" operator="greaterThan">
      <formula>$AK$8</formula>
    </cfRule>
  </conditionalFormatting>
  <conditionalFormatting sqref="AS13:AS36">
    <cfRule type="containsText" dxfId="428" priority="1" operator="containsText" text="N/A">
      <formula>NOT(ISERROR(SEARCH("N/A",AS13)))</formula>
    </cfRule>
    <cfRule type="cellIs" dxfId="427" priority="4" operator="equal">
      <formula>0</formula>
    </cfRule>
  </conditionalFormatting>
  <conditionalFormatting sqref="AS13:AS36">
    <cfRule type="cellIs" dxfId="426" priority="3" operator="greaterThanOrEqual">
      <formula>1185</formula>
    </cfRule>
  </conditionalFormatting>
  <conditionalFormatting sqref="AS13:AS36">
    <cfRule type="cellIs" dxfId="425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500-000000000000}">
      <formula1>$AY$11:$AY$21</formula1>
    </dataValidation>
    <dataValidation type="list" allowBlank="1" showInputMessage="1" showErrorMessage="1" sqref="AS8:AT9 P11:P12 N11:N12 D8:E9 Q8:V9" xr:uid="{00000000-0002-0000-0500-000001000000}">
      <formula1>#REF!</formula1>
    </dataValidation>
    <dataValidation type="list" allowBlank="1" showInputMessage="1" showErrorMessage="1" sqref="AY33:AZ33" xr:uid="{00000000-0002-0000-0500-000002000000}">
      <formula1>$AY$26:$AY$30</formula1>
    </dataValidation>
    <dataValidation type="list" allowBlank="1" showInputMessage="1" showErrorMessage="1" sqref="R3:R5" xr:uid="{00000000-0002-0000-0500-000003000000}">
      <formula1>$BB$11:$BB$42</formula1>
    </dataValidation>
  </dataValidations>
  <hyperlinks>
    <hyperlink ref="J10:J11" location="'1'!AH8" display="Plant Status" xr:uid="{00000000-0004-0000-0500-000000000000}"/>
  </hyperlinks>
  <pageMargins left="0.7" right="0.7" top="0.75" bottom="0.75" header="0.3" footer="0.3"/>
  <pageSetup paperSize="9" orientation="portrait" horizont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7030A0"/>
  </sheetPr>
  <dimension ref="A2:BB88"/>
  <sheetViews>
    <sheetView topLeftCell="A13" zoomScaleNormal="100" workbookViewId="0">
      <selection activeCell="B56" sqref="B56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138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11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43288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27363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12" t="s">
        <v>51</v>
      </c>
      <c r="X10" s="212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10" t="s">
        <v>55</v>
      </c>
      <c r="AI10" s="210" t="s">
        <v>56</v>
      </c>
      <c r="AJ10" s="314" t="s">
        <v>57</v>
      </c>
      <c r="AK10" s="329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124</v>
      </c>
      <c r="AR10" s="212" t="s">
        <v>64</v>
      </c>
      <c r="AS10" s="212" t="s">
        <v>65</v>
      </c>
      <c r="AT10" s="312" t="s">
        <v>66</v>
      </c>
      <c r="AU10" s="212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127</v>
      </c>
      <c r="G11" s="212" t="s">
        <v>74</v>
      </c>
      <c r="H11" s="212" t="s">
        <v>75</v>
      </c>
      <c r="I11" s="212" t="s">
        <v>127</v>
      </c>
      <c r="J11" s="309"/>
      <c r="K11" s="212" t="s">
        <v>75</v>
      </c>
      <c r="L11" s="212" t="s">
        <v>75</v>
      </c>
      <c r="M11" s="212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6'!S36</f>
        <v>100597055</v>
      </c>
      <c r="T11" s="322"/>
      <c r="U11" s="323"/>
      <c r="V11" s="324"/>
      <c r="W11" s="212" t="s">
        <v>75</v>
      </c>
      <c r="X11" s="212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6'!AI36</f>
        <v>17196733</v>
      </c>
      <c r="AJ11" s="314"/>
      <c r="AK11" s="330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13"/>
      <c r="AU11" s="213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43288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3</v>
      </c>
      <c r="G13" s="118">
        <v>73</v>
      </c>
      <c r="H13" s="150">
        <f t="shared" ref="H13:H36" si="0">G13/1.42</f>
        <v>51.408450704225352</v>
      </c>
      <c r="I13" s="150">
        <v>73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100601309</v>
      </c>
      <c r="T13" s="45">
        <f>IF(ISBLANK(S13),"-",S13-S11)</f>
        <v>4254</v>
      </c>
      <c r="U13" s="46">
        <f>T13*24/1000</f>
        <v>102.096</v>
      </c>
      <c r="V13" s="46">
        <f>T13/1000</f>
        <v>4.2539999999999996</v>
      </c>
      <c r="W13" s="96">
        <v>4.4000000000000004</v>
      </c>
      <c r="X13" s="96">
        <f t="shared" ref="X13:X36" si="1">W13</f>
        <v>4.4000000000000004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17197836</v>
      </c>
      <c r="AJ13" s="45">
        <f>IF(ISBLANK(AI13),"-",AI13-AI11)</f>
        <v>1103</v>
      </c>
      <c r="AK13" s="48">
        <f>AJ13/V13</f>
        <v>259.2853784673249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43288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75</v>
      </c>
      <c r="H14" s="150">
        <f t="shared" si="0"/>
        <v>52.816901408450704</v>
      </c>
      <c r="I14" s="150">
        <v>74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100605916</v>
      </c>
      <c r="T14" s="45">
        <f t="shared" ref="T14:T36" si="4">IF(ISBLANK(S14),"-",S14-S13)</f>
        <v>4607</v>
      </c>
      <c r="U14" s="46">
        <f t="shared" ref="U14:U37" si="5">T14*24/1000</f>
        <v>110.568</v>
      </c>
      <c r="V14" s="46">
        <f t="shared" ref="V14:V37" si="6">T14/1000</f>
        <v>4.6070000000000002</v>
      </c>
      <c r="W14" s="96">
        <v>5.9</v>
      </c>
      <c r="X14" s="96">
        <f t="shared" si="1"/>
        <v>5.9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17198951</v>
      </c>
      <c r="AJ14" s="45">
        <f t="shared" ref="AJ14:AJ36" si="7">IF(ISBLANK(AI14),"-",AI14-AI13)</f>
        <v>1115</v>
      </c>
      <c r="AK14" s="48">
        <f>AJ14/V14</f>
        <v>242.02300846537875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0.87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43288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6</v>
      </c>
      <c r="G15" s="118">
        <v>76</v>
      </c>
      <c r="H15" s="150">
        <f t="shared" si="0"/>
        <v>53.521126760563384</v>
      </c>
      <c r="I15" s="150">
        <v>78</v>
      </c>
      <c r="J15" s="41" t="s">
        <v>88</v>
      </c>
      <c r="K15" s="41">
        <f t="shared" si="3"/>
        <v>48.591549295774648</v>
      </c>
      <c r="L15" s="42">
        <f>(G15-5)/1.42</f>
        <v>50</v>
      </c>
      <c r="M15" s="41">
        <f>L15+(6/1.42)</f>
        <v>54.225352112676056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100610674</v>
      </c>
      <c r="T15" s="45">
        <f>IF(ISBLANK(S15),"-",S15-S14)</f>
        <v>4758</v>
      </c>
      <c r="U15" s="46">
        <f t="shared" si="5"/>
        <v>114.19199999999999</v>
      </c>
      <c r="V15" s="46">
        <f t="shared" si="6"/>
        <v>4.758</v>
      </c>
      <c r="W15" s="96">
        <v>7.3</v>
      </c>
      <c r="X15" s="96">
        <f t="shared" si="1"/>
        <v>7.3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17200061</v>
      </c>
      <c r="AJ15" s="45">
        <f t="shared" si="7"/>
        <v>1110</v>
      </c>
      <c r="AK15" s="48">
        <f t="shared" ref="AK15:AK36" si="9">AJ15/V15</f>
        <v>233.29129886506936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43288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76</v>
      </c>
      <c r="H16" s="150">
        <f t="shared" si="0"/>
        <v>53.521126760563384</v>
      </c>
      <c r="I16" s="150">
        <v>79</v>
      </c>
      <c r="J16" s="41" t="s">
        <v>88</v>
      </c>
      <c r="K16" s="41">
        <f t="shared" si="3"/>
        <v>48.591549295774648</v>
      </c>
      <c r="L16" s="42">
        <f>(G16-5)/1.42</f>
        <v>50</v>
      </c>
      <c r="M16" s="41">
        <f>L16+(6/1.42)</f>
        <v>54.225352112676056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100614897</v>
      </c>
      <c r="T16" s="45">
        <f t="shared" si="4"/>
        <v>4223</v>
      </c>
      <c r="U16" s="46">
        <f t="shared" si="5"/>
        <v>101.352</v>
      </c>
      <c r="V16" s="46">
        <f t="shared" si="6"/>
        <v>4.2229999999999999</v>
      </c>
      <c r="W16" s="96">
        <v>8.8000000000000007</v>
      </c>
      <c r="X16" s="96">
        <f t="shared" si="1"/>
        <v>8.8000000000000007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17201163</v>
      </c>
      <c r="AJ16" s="45">
        <f t="shared" si="7"/>
        <v>1102</v>
      </c>
      <c r="AK16" s="48">
        <f t="shared" si="9"/>
        <v>260.9519299076486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43288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9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100619370</v>
      </c>
      <c r="T17" s="45">
        <f t="shared" si="4"/>
        <v>4473</v>
      </c>
      <c r="U17" s="46">
        <f t="shared" si="5"/>
        <v>107.352</v>
      </c>
      <c r="V17" s="46">
        <f t="shared" si="6"/>
        <v>4.4729999999999999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1076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17202196</v>
      </c>
      <c r="AJ17" s="45">
        <f t="shared" si="7"/>
        <v>1033</v>
      </c>
      <c r="AK17" s="48">
        <f t="shared" si="9"/>
        <v>230.94120277218869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0.8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43288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9</v>
      </c>
      <c r="G18" s="118">
        <v>81</v>
      </c>
      <c r="H18" s="150">
        <f t="shared" si="0"/>
        <v>57.04225352112676</v>
      </c>
      <c r="I18" s="150">
        <v>80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100624125</v>
      </c>
      <c r="T18" s="45">
        <f t="shared" si="4"/>
        <v>4755</v>
      </c>
      <c r="U18" s="46">
        <f t="shared" si="5"/>
        <v>114.12</v>
      </c>
      <c r="V18" s="46">
        <f t="shared" si="6"/>
        <v>4.7549999999999999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17203253</v>
      </c>
      <c r="AJ18" s="45">
        <f t="shared" si="7"/>
        <v>1057</v>
      </c>
      <c r="AK18" s="48">
        <f t="shared" si="9"/>
        <v>222.29232386961095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1.04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43288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77</v>
      </c>
      <c r="H19" s="150">
        <f t="shared" si="0"/>
        <v>54.225352112676056</v>
      </c>
      <c r="I19" s="150">
        <v>76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100629109</v>
      </c>
      <c r="T19" s="45">
        <f t="shared" si="4"/>
        <v>4984</v>
      </c>
      <c r="U19" s="46">
        <f t="shared" si="5"/>
        <v>119.616</v>
      </c>
      <c r="V19" s="46">
        <f t="shared" si="6"/>
        <v>4.984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17204347</v>
      </c>
      <c r="AJ19" s="45">
        <f t="shared" si="7"/>
        <v>1094</v>
      </c>
      <c r="AK19" s="48">
        <f t="shared" si="9"/>
        <v>219.5024077046549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43288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8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100634686</v>
      </c>
      <c r="T20" s="45">
        <f t="shared" si="4"/>
        <v>5577</v>
      </c>
      <c r="U20" s="46">
        <f>T20*24/1000</f>
        <v>133.84800000000001</v>
      </c>
      <c r="V20" s="46">
        <f t="shared" si="6"/>
        <v>5.577</v>
      </c>
      <c r="W20" s="96">
        <v>9.1</v>
      </c>
      <c r="X20" s="96">
        <f t="shared" si="1"/>
        <v>9.1</v>
      </c>
      <c r="Y20" s="97" t="s">
        <v>168</v>
      </c>
      <c r="Z20" s="154">
        <v>1016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17205536</v>
      </c>
      <c r="AJ20" s="45">
        <f t="shared" si="7"/>
        <v>1189</v>
      </c>
      <c r="AK20" s="48">
        <f t="shared" si="9"/>
        <v>213.1970593509055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43288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7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100639342</v>
      </c>
      <c r="T21" s="45">
        <f t="shared" si="4"/>
        <v>4656</v>
      </c>
      <c r="U21" s="46">
        <f t="shared" si="5"/>
        <v>111.744</v>
      </c>
      <c r="V21" s="46">
        <f t="shared" si="6"/>
        <v>4.6559999999999997</v>
      </c>
      <c r="W21" s="96">
        <v>8.4</v>
      </c>
      <c r="X21" s="96">
        <f t="shared" si="1"/>
        <v>8.4</v>
      </c>
      <c r="Y21" s="97" t="s">
        <v>168</v>
      </c>
      <c r="Z21" s="154">
        <v>1087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17206699</v>
      </c>
      <c r="AJ21" s="45">
        <f t="shared" si="7"/>
        <v>1163</v>
      </c>
      <c r="AK21" s="48">
        <f t="shared" si="9"/>
        <v>249.7852233676976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43288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7</v>
      </c>
      <c r="G22" s="118">
        <v>77</v>
      </c>
      <c r="H22" s="150">
        <f t="shared" si="0"/>
        <v>54.225352112676056</v>
      </c>
      <c r="I22" s="150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100644040</v>
      </c>
      <c r="T22" s="45">
        <f t="shared" si="4"/>
        <v>4698</v>
      </c>
      <c r="U22" s="46">
        <f t="shared" si="5"/>
        <v>112.752</v>
      </c>
      <c r="V22" s="46">
        <f t="shared" si="6"/>
        <v>4.6980000000000004</v>
      </c>
      <c r="W22" s="96">
        <v>7.6</v>
      </c>
      <c r="X22" s="96">
        <f t="shared" si="1"/>
        <v>7.6</v>
      </c>
      <c r="Y22" s="97" t="s">
        <v>168</v>
      </c>
      <c r="Z22" s="154">
        <v>1128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17207928</v>
      </c>
      <c r="AJ22" s="45">
        <f t="shared" si="7"/>
        <v>1229</v>
      </c>
      <c r="AK22" s="48">
        <f t="shared" si="9"/>
        <v>261.60068114091098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1.1100000000000001</v>
      </c>
      <c r="AV22" s="50" t="s">
        <v>126</v>
      </c>
      <c r="BB22" s="136" t="s">
        <v>156</v>
      </c>
    </row>
    <row r="23" spans="1:54" x14ac:dyDescent="0.35">
      <c r="A23" s="331">
        <v>43288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6</v>
      </c>
      <c r="G23" s="118">
        <v>75</v>
      </c>
      <c r="H23" s="150">
        <f t="shared" si="0"/>
        <v>52.816901408450704</v>
      </c>
      <c r="I23" s="150">
        <v>74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100648622</v>
      </c>
      <c r="T23" s="45">
        <f t="shared" si="4"/>
        <v>4582</v>
      </c>
      <c r="U23" s="46">
        <f t="shared" si="5"/>
        <v>109.968</v>
      </c>
      <c r="V23" s="46">
        <f t="shared" si="6"/>
        <v>4.5819999999999999</v>
      </c>
      <c r="W23" s="96">
        <v>6.4</v>
      </c>
      <c r="X23" s="96">
        <f>W23</f>
        <v>6.4</v>
      </c>
      <c r="Y23" s="97" t="s">
        <v>168</v>
      </c>
      <c r="Z23" s="154">
        <v>1088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17209152</v>
      </c>
      <c r="AJ23" s="45">
        <f t="shared" si="7"/>
        <v>1224</v>
      </c>
      <c r="AK23" s="48">
        <f t="shared" si="9"/>
        <v>267.1322566564819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43288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6</v>
      </c>
      <c r="G24" s="118">
        <v>74</v>
      </c>
      <c r="H24" s="150">
        <f t="shared" si="0"/>
        <v>52.112676056338032</v>
      </c>
      <c r="I24" s="150">
        <v>73</v>
      </c>
      <c r="J24" s="41" t="s">
        <v>88</v>
      </c>
      <c r="K24" s="41">
        <f t="shared" si="3"/>
        <v>50.70422535211268</v>
      </c>
      <c r="L24" s="42">
        <f t="shared" si="10"/>
        <v>52.112676056338032</v>
      </c>
      <c r="M24" s="41">
        <f t="shared" si="11"/>
        <v>53.532676056338033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100653245</v>
      </c>
      <c r="T24" s="45">
        <f t="shared" si="4"/>
        <v>4623</v>
      </c>
      <c r="U24" s="46">
        <f>T24*24/1000</f>
        <v>110.952</v>
      </c>
      <c r="V24" s="46">
        <f t="shared" si="6"/>
        <v>4.6230000000000002</v>
      </c>
      <c r="W24" s="96">
        <v>5.8</v>
      </c>
      <c r="X24" s="96">
        <f t="shared" si="1"/>
        <v>5.8</v>
      </c>
      <c r="Y24" s="97" t="s">
        <v>168</v>
      </c>
      <c r="Z24" s="154">
        <v>1045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17210378</v>
      </c>
      <c r="AJ24" s="45">
        <f t="shared" si="7"/>
        <v>1226</v>
      </c>
      <c r="AK24" s="48">
        <f t="shared" si="9"/>
        <v>265.19576032879081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43288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5</v>
      </c>
      <c r="G25" s="118">
        <v>74</v>
      </c>
      <c r="H25" s="150">
        <f t="shared" si="0"/>
        <v>52.112676056338032</v>
      </c>
      <c r="I25" s="150">
        <v>73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100657707</v>
      </c>
      <c r="T25" s="45">
        <f t="shared" si="4"/>
        <v>4462</v>
      </c>
      <c r="U25" s="46">
        <f>T25*24/1000</f>
        <v>107.08799999999999</v>
      </c>
      <c r="V25" s="46">
        <f t="shared" si="6"/>
        <v>4.4619999999999997</v>
      </c>
      <c r="W25" s="96">
        <v>5.2</v>
      </c>
      <c r="X25" s="96">
        <f t="shared" si="1"/>
        <v>5.2</v>
      </c>
      <c r="Y25" s="97" t="s">
        <v>168</v>
      </c>
      <c r="Z25" s="154">
        <v>1017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17211562</v>
      </c>
      <c r="AJ25" s="45">
        <f t="shared" si="7"/>
        <v>1184</v>
      </c>
      <c r="AK25" s="48">
        <f t="shared" si="9"/>
        <v>265.35186015239805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43288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5</v>
      </c>
      <c r="G26" s="118">
        <v>74</v>
      </c>
      <c r="H26" s="150">
        <f t="shared" si="0"/>
        <v>52.112676056338032</v>
      </c>
      <c r="I26" s="150">
        <v>72</v>
      </c>
      <c r="J26" s="41" t="s">
        <v>88</v>
      </c>
      <c r="K26" s="41">
        <f t="shared" si="3"/>
        <v>50.70422535211268</v>
      </c>
      <c r="L26" s="42">
        <f t="shared" si="10"/>
        <v>52.112676056338032</v>
      </c>
      <c r="M26" s="41">
        <f t="shared" ref="M26:M36" si="12">L26+(6/1.42)</f>
        <v>56.338028169014088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100662021</v>
      </c>
      <c r="T26" s="45">
        <f t="shared" si="4"/>
        <v>4314</v>
      </c>
      <c r="U26" s="46">
        <f t="shared" si="5"/>
        <v>103.536</v>
      </c>
      <c r="V26" s="46">
        <f t="shared" si="6"/>
        <v>4.3140000000000001</v>
      </c>
      <c r="W26" s="96">
        <v>4.7</v>
      </c>
      <c r="X26" s="96">
        <f t="shared" si="1"/>
        <v>4.7</v>
      </c>
      <c r="Y26" s="97" t="s">
        <v>168</v>
      </c>
      <c r="Z26" s="154">
        <v>1016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17212739</v>
      </c>
      <c r="AJ26" s="45">
        <f t="shared" si="7"/>
        <v>1177</v>
      </c>
      <c r="AK26" s="48">
        <f t="shared" si="9"/>
        <v>272.83263792304126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1.06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43288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4</v>
      </c>
      <c r="G27" s="118">
        <v>75</v>
      </c>
      <c r="H27" s="150">
        <f t="shared" si="0"/>
        <v>52.816901408450704</v>
      </c>
      <c r="I27" s="150">
        <v>72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100666381</v>
      </c>
      <c r="T27" s="45">
        <f t="shared" si="4"/>
        <v>4360</v>
      </c>
      <c r="U27" s="46">
        <f t="shared" si="5"/>
        <v>104.64</v>
      </c>
      <c r="V27" s="46">
        <f t="shared" si="6"/>
        <v>4.3600000000000003</v>
      </c>
      <c r="W27" s="96">
        <v>4.2</v>
      </c>
      <c r="X27" s="96">
        <f t="shared" si="1"/>
        <v>4.2</v>
      </c>
      <c r="Y27" s="97" t="s">
        <v>168</v>
      </c>
      <c r="Z27" s="154">
        <v>1015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17213892</v>
      </c>
      <c r="AJ27" s="45">
        <f t="shared" si="7"/>
        <v>1153</v>
      </c>
      <c r="AK27" s="48">
        <f t="shared" si="9"/>
        <v>264.44954128440367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43288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4</v>
      </c>
      <c r="G28" s="118">
        <v>75</v>
      </c>
      <c r="H28" s="150">
        <f t="shared" si="0"/>
        <v>52.816901408450704</v>
      </c>
      <c r="I28" s="150">
        <v>71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100670707</v>
      </c>
      <c r="T28" s="45">
        <f t="shared" si="4"/>
        <v>4326</v>
      </c>
      <c r="U28" s="46">
        <f t="shared" si="5"/>
        <v>103.824</v>
      </c>
      <c r="V28" s="46">
        <f t="shared" si="6"/>
        <v>4.3259999999999996</v>
      </c>
      <c r="W28" s="96">
        <v>3.7</v>
      </c>
      <c r="X28" s="96">
        <f t="shared" si="1"/>
        <v>3.7</v>
      </c>
      <c r="Y28" s="97" t="s">
        <v>168</v>
      </c>
      <c r="Z28" s="154">
        <v>1015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17215057</v>
      </c>
      <c r="AJ28" s="45">
        <f>IF(ISBLANK(AI28),"-",AI28-AI27)</f>
        <v>1165</v>
      </c>
      <c r="AK28" s="48">
        <f t="shared" si="9"/>
        <v>269.30189551548779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43288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3</v>
      </c>
      <c r="G29" s="118">
        <v>75</v>
      </c>
      <c r="H29" s="150">
        <f t="shared" si="0"/>
        <v>52.816901408450704</v>
      </c>
      <c r="I29" s="150">
        <v>71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100675212</v>
      </c>
      <c r="T29" s="45">
        <f t="shared" si="4"/>
        <v>4505</v>
      </c>
      <c r="U29" s="46">
        <f t="shared" si="5"/>
        <v>108.12</v>
      </c>
      <c r="V29" s="46">
        <f t="shared" si="6"/>
        <v>4.5049999999999999</v>
      </c>
      <c r="W29" s="96">
        <v>3.4</v>
      </c>
      <c r="X29" s="96">
        <f t="shared" si="1"/>
        <v>3.4</v>
      </c>
      <c r="Y29" s="97" t="s">
        <v>168</v>
      </c>
      <c r="Z29" s="154">
        <v>1015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17216202</v>
      </c>
      <c r="AJ29" s="45">
        <f t="shared" si="7"/>
        <v>1145</v>
      </c>
      <c r="AK29" s="48">
        <f>AJ28/V29</f>
        <v>258.6015538290788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43288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3</v>
      </c>
      <c r="G30" s="118">
        <v>75</v>
      </c>
      <c r="H30" s="150">
        <f t="shared" si="0"/>
        <v>52.816901408450704</v>
      </c>
      <c r="I30" s="150">
        <v>70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100679951</v>
      </c>
      <c r="T30" s="45">
        <f t="shared" si="4"/>
        <v>4739</v>
      </c>
      <c r="U30" s="46">
        <f t="shared" si="5"/>
        <v>113.736</v>
      </c>
      <c r="V30" s="46">
        <f t="shared" si="6"/>
        <v>4.7389999999999999</v>
      </c>
      <c r="W30" s="96">
        <v>3</v>
      </c>
      <c r="X30" s="96">
        <f t="shared" si="1"/>
        <v>3</v>
      </c>
      <c r="Y30" s="97" t="s">
        <v>168</v>
      </c>
      <c r="Z30" s="154">
        <v>1015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17217368</v>
      </c>
      <c r="AJ30" s="45">
        <f t="shared" si="7"/>
        <v>1166</v>
      </c>
      <c r="AK30" s="48">
        <f>AJ29/V30</f>
        <v>241.61215446296688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1.1000000000000001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43288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2</v>
      </c>
      <c r="G31" s="118">
        <v>75</v>
      </c>
      <c r="H31" s="150">
        <f t="shared" si="0"/>
        <v>52.816901408450704</v>
      </c>
      <c r="I31" s="150">
        <v>70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100684617</v>
      </c>
      <c r="T31" s="45">
        <f t="shared" si="4"/>
        <v>4666</v>
      </c>
      <c r="U31" s="46">
        <f t="shared" si="5"/>
        <v>111.98399999999999</v>
      </c>
      <c r="V31" s="46">
        <f t="shared" si="6"/>
        <v>4.6660000000000004</v>
      </c>
      <c r="W31" s="96">
        <v>2.7</v>
      </c>
      <c r="X31" s="96">
        <f t="shared" si="1"/>
        <v>2.7</v>
      </c>
      <c r="Y31" s="97" t="s">
        <v>168</v>
      </c>
      <c r="Z31" s="154">
        <v>1015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17218505</v>
      </c>
      <c r="AJ31" s="45">
        <f t="shared" si="7"/>
        <v>1137</v>
      </c>
      <c r="AK31" s="48">
        <f t="shared" si="9"/>
        <v>243.67766823831974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43288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2</v>
      </c>
      <c r="G32" s="118">
        <v>75</v>
      </c>
      <c r="H32" s="150">
        <f t="shared" si="0"/>
        <v>52.816901408450704</v>
      </c>
      <c r="I32" s="150">
        <v>69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100689262</v>
      </c>
      <c r="T32" s="45">
        <f t="shared" si="4"/>
        <v>4645</v>
      </c>
      <c r="U32" s="46">
        <f t="shared" si="5"/>
        <v>111.48</v>
      </c>
      <c r="V32" s="46">
        <f t="shared" si="6"/>
        <v>4.6449999999999996</v>
      </c>
      <c r="W32" s="96">
        <v>2.4</v>
      </c>
      <c r="X32" s="96">
        <f t="shared" si="1"/>
        <v>2.4</v>
      </c>
      <c r="Y32" s="97" t="s">
        <v>168</v>
      </c>
      <c r="Z32" s="154">
        <v>1015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17219647</v>
      </c>
      <c r="AJ32" s="45">
        <f t="shared" si="7"/>
        <v>1142</v>
      </c>
      <c r="AK32" s="48">
        <f t="shared" si="9"/>
        <v>245.8557588805167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43288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1</v>
      </c>
      <c r="G33" s="118">
        <v>74</v>
      </c>
      <c r="H33" s="150">
        <f t="shared" si="0"/>
        <v>52.112676056338032</v>
      </c>
      <c r="I33" s="150">
        <v>69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100693933</v>
      </c>
      <c r="T33" s="45">
        <f t="shared" si="4"/>
        <v>4671</v>
      </c>
      <c r="U33" s="46">
        <f t="shared" si="5"/>
        <v>112.104</v>
      </c>
      <c r="V33" s="46">
        <f t="shared" si="6"/>
        <v>4.6710000000000003</v>
      </c>
      <c r="W33" s="96">
        <v>2.1</v>
      </c>
      <c r="X33" s="96">
        <f t="shared" si="1"/>
        <v>2.1</v>
      </c>
      <c r="Y33" s="97" t="s">
        <v>168</v>
      </c>
      <c r="Z33" s="154">
        <v>1015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17220786</v>
      </c>
      <c r="AJ33" s="45">
        <f t="shared" si="7"/>
        <v>1139</v>
      </c>
      <c r="AK33" s="48">
        <f t="shared" si="9"/>
        <v>243.84500107043459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43288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1</v>
      </c>
      <c r="G34" s="118">
        <v>77</v>
      </c>
      <c r="H34" s="150">
        <f t="shared" si="0"/>
        <v>54.225352112676056</v>
      </c>
      <c r="I34" s="150">
        <v>70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100698824</v>
      </c>
      <c r="T34" s="45">
        <f t="shared" si="4"/>
        <v>4891</v>
      </c>
      <c r="U34" s="46">
        <f t="shared" si="5"/>
        <v>117.384</v>
      </c>
      <c r="V34" s="46">
        <f t="shared" si="6"/>
        <v>4.891</v>
      </c>
      <c r="W34" s="96">
        <v>1.9</v>
      </c>
      <c r="X34" s="96">
        <f t="shared" si="1"/>
        <v>1.9</v>
      </c>
      <c r="Y34" s="97" t="s">
        <v>168</v>
      </c>
      <c r="Z34" s="154">
        <v>1014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17221956</v>
      </c>
      <c r="AJ34" s="45">
        <f t="shared" si="7"/>
        <v>1170</v>
      </c>
      <c r="AK34" s="48">
        <f t="shared" si="9"/>
        <v>239.21488448170109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0.98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43288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2</v>
      </c>
      <c r="G35" s="118">
        <v>70</v>
      </c>
      <c r="H35" s="150">
        <f t="shared" si="0"/>
        <v>49.295774647887328</v>
      </c>
      <c r="I35" s="150">
        <v>74</v>
      </c>
      <c r="J35" s="41" t="s">
        <v>88</v>
      </c>
      <c r="K35" s="41">
        <f>L35-(2/1.42)</f>
        <v>44.366197183098592</v>
      </c>
      <c r="L35" s="42">
        <f>(G35-5)/1.42</f>
        <v>45.774647887323944</v>
      </c>
      <c r="M35" s="41">
        <f t="shared" si="12"/>
        <v>50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100702814</v>
      </c>
      <c r="T35" s="45">
        <f t="shared" si="4"/>
        <v>3990</v>
      </c>
      <c r="U35" s="46">
        <f t="shared" si="5"/>
        <v>95.76</v>
      </c>
      <c r="V35" s="46">
        <f t="shared" si="6"/>
        <v>3.99</v>
      </c>
      <c r="W35" s="96">
        <v>3</v>
      </c>
      <c r="X35" s="96">
        <f t="shared" si="1"/>
        <v>3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17222990</v>
      </c>
      <c r="AJ35" s="45">
        <f t="shared" si="7"/>
        <v>1034</v>
      </c>
      <c r="AK35" s="48">
        <f t="shared" si="9"/>
        <v>259.14786967418547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43288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74</v>
      </c>
      <c r="H36" s="150">
        <f t="shared" si="0"/>
        <v>52.112676056338032</v>
      </c>
      <c r="I36" s="150">
        <v>70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100706964</v>
      </c>
      <c r="T36" s="45">
        <f t="shared" si="4"/>
        <v>4150</v>
      </c>
      <c r="U36" s="46">
        <f t="shared" si="5"/>
        <v>99.6</v>
      </c>
      <c r="V36" s="46">
        <f t="shared" si="6"/>
        <v>4.1500000000000004</v>
      </c>
      <c r="W36" s="96">
        <v>4.5999999999999996</v>
      </c>
      <c r="X36" s="96">
        <f t="shared" si="1"/>
        <v>4.5999999999999996</v>
      </c>
      <c r="Y36" s="97" t="s">
        <v>139</v>
      </c>
      <c r="Z36" s="154">
        <v>0</v>
      </c>
      <c r="AA36" s="154">
        <v>0</v>
      </c>
      <c r="AB36" s="154">
        <v>1188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17224096</v>
      </c>
      <c r="AJ36" s="45">
        <f t="shared" si="7"/>
        <v>1106</v>
      </c>
      <c r="AK36" s="48">
        <f t="shared" si="9"/>
        <v>266.50602409638554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109909</v>
      </c>
      <c r="U37" s="46">
        <f t="shared" si="5"/>
        <v>2637.8159999999998</v>
      </c>
      <c r="V37" s="46">
        <f t="shared" si="6"/>
        <v>109.90900000000001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27363</v>
      </c>
      <c r="AK37" s="61">
        <f>$AJ$37/$V37</f>
        <v>248.96050368941579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1.0266666666666666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199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200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15" t="s">
        <v>201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202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171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83" t="s">
        <v>172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173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174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15" t="s">
        <v>175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209" t="s">
        <v>176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 t="s">
        <v>177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"/>
    <protectedRange sqref="R3:W3" name="Range1_16_1_1_1_1_1_1_2_2_2_2_2_2_2_2_2_2_2_2_2_2_2_2_2_2_2_2_2_2_2_1_2_2_2_2_2_2_2_2_2_2_3_2_2_2_2_2_2_2_2_2_2_1_1_1_1_2_2_1_1_1_1_1_1_1_1_1_1_1_1_1_1_3_1_2_1_1_1_1_1_1_2_1_1_1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7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R4:W4" name="Range1_16_1_1_1_1_1_1_2_2_2_2_2_2_2_2_2_2_2_2_2_2_2_2_2_2_2_2_2_2_2_1_2_2_2_2_2_2_2_2_2_2_3_2_2_2_2_2_2_2_2_2_2_1_1_1_1_2_2_1_1_1_1_1_1_1_1_1_1_1_1_1_1_3_1_2_1_1_1_1_1_2_2_2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24" priority="5" operator="containsText" text="N/A">
      <formula>NOT(ISERROR(SEARCH("N/A",Z13)))</formula>
    </cfRule>
    <cfRule type="cellIs" dxfId="423" priority="17" operator="equal">
      <formula>0</formula>
    </cfRule>
  </conditionalFormatting>
  <conditionalFormatting sqref="Z13:AG36">
    <cfRule type="cellIs" dxfId="422" priority="16" operator="greaterThanOrEqual">
      <formula>1185</formula>
    </cfRule>
  </conditionalFormatting>
  <conditionalFormatting sqref="Z13:AG36">
    <cfRule type="cellIs" dxfId="421" priority="15" operator="between">
      <formula>0.1</formula>
      <formula>1184</formula>
    </cfRule>
  </conditionalFormatting>
  <conditionalFormatting sqref="Z8:Z9 AT13:AT36 AL37:AQ37 AL13:AR36">
    <cfRule type="cellIs" dxfId="420" priority="14" operator="equal">
      <formula>0</formula>
    </cfRule>
  </conditionalFormatting>
  <conditionalFormatting sqref="Z8:Z9 AT13:AT36 AL37:AQ37 AL13:AR36">
    <cfRule type="cellIs" dxfId="419" priority="13" operator="greaterThan">
      <formula>1179</formula>
    </cfRule>
  </conditionalFormatting>
  <conditionalFormatting sqref="Z8:Z9 AT13:AT36 AL37:AQ37 AL13:AR36">
    <cfRule type="cellIs" dxfId="418" priority="12" operator="greaterThan">
      <formula>99</formula>
    </cfRule>
  </conditionalFormatting>
  <conditionalFormatting sqref="Z8:Z9 AT13:AT36 AL37:AQ37 AL13:AR36">
    <cfRule type="cellIs" dxfId="417" priority="11" operator="greaterThan">
      <formula>0.99</formula>
    </cfRule>
  </conditionalFormatting>
  <conditionalFormatting sqref="AD8:AD9">
    <cfRule type="cellIs" dxfId="416" priority="10" operator="equal">
      <formula>0</formula>
    </cfRule>
  </conditionalFormatting>
  <conditionalFormatting sqref="AD8:AD9">
    <cfRule type="cellIs" dxfId="415" priority="9" operator="greaterThan">
      <formula>1179</formula>
    </cfRule>
  </conditionalFormatting>
  <conditionalFormatting sqref="AD8:AD9">
    <cfRule type="cellIs" dxfId="414" priority="8" operator="greaterThan">
      <formula>99</formula>
    </cfRule>
  </conditionalFormatting>
  <conditionalFormatting sqref="AD8:AD9">
    <cfRule type="cellIs" dxfId="413" priority="7" operator="greaterThan">
      <formula>0.99</formula>
    </cfRule>
  </conditionalFormatting>
  <conditionalFormatting sqref="AK13:AK36">
    <cfRule type="cellIs" dxfId="412" priority="6" operator="greaterThan">
      <formula>$AK$8</formula>
    </cfRule>
  </conditionalFormatting>
  <conditionalFormatting sqref="AS13:AS36">
    <cfRule type="containsText" dxfId="411" priority="1" operator="containsText" text="N/A">
      <formula>NOT(ISERROR(SEARCH("N/A",AS13)))</formula>
    </cfRule>
    <cfRule type="cellIs" dxfId="410" priority="4" operator="equal">
      <formula>0</formula>
    </cfRule>
  </conditionalFormatting>
  <conditionalFormatting sqref="AS13:AS36">
    <cfRule type="cellIs" dxfId="409" priority="3" operator="greaterThanOrEqual">
      <formula>1185</formula>
    </cfRule>
  </conditionalFormatting>
  <conditionalFormatting sqref="AS13:AS36">
    <cfRule type="cellIs" dxfId="408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600-000000000000}">
      <formula1>$BB$11:$BB$42</formula1>
    </dataValidation>
    <dataValidation type="list" allowBlank="1" showInputMessage="1" showErrorMessage="1" sqref="AY33:AZ33" xr:uid="{00000000-0002-0000-0600-000001000000}">
      <formula1>$AY$26:$AY$30</formula1>
    </dataValidation>
    <dataValidation type="list" allowBlank="1" showInputMessage="1" showErrorMessage="1" sqref="AS8:AT9 P11:P12 N11:N12 D8:E9 Q8:V9" xr:uid="{00000000-0002-0000-0600-000002000000}">
      <formula1>#REF!</formula1>
    </dataValidation>
    <dataValidation type="list" allowBlank="1" showInputMessage="1" showErrorMessage="1" sqref="J13:J36" xr:uid="{00000000-0002-0000-0600-000003000000}">
      <formula1>$AY$11:$AY$21</formula1>
    </dataValidation>
  </dataValidations>
  <hyperlinks>
    <hyperlink ref="J10:J11" location="'1'!AH8" display="Plant Status" xr:uid="{00000000-0004-0000-0600-000000000000}"/>
  </hyperlinks>
  <pageMargins left="0.7" right="0.7" top="0.75" bottom="0.75" header="0.3" footer="0.3"/>
  <pageSetup paperSize="9" orientation="portrait" horizont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7030A0"/>
  </sheetPr>
  <dimension ref="A2:BB88"/>
  <sheetViews>
    <sheetView topLeftCell="A13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148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11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43289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27012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12" t="s">
        <v>51</v>
      </c>
      <c r="X10" s="212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10" t="s">
        <v>55</v>
      </c>
      <c r="AI10" s="210" t="s">
        <v>56</v>
      </c>
      <c r="AJ10" s="314" t="s">
        <v>57</v>
      </c>
      <c r="AK10" s="329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124</v>
      </c>
      <c r="AR10" s="212" t="s">
        <v>64</v>
      </c>
      <c r="AS10" s="212" t="s">
        <v>65</v>
      </c>
      <c r="AT10" s="312" t="s">
        <v>66</v>
      </c>
      <c r="AU10" s="212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127</v>
      </c>
      <c r="G11" s="212" t="s">
        <v>74</v>
      </c>
      <c r="H11" s="212" t="s">
        <v>75</v>
      </c>
      <c r="I11" s="212" t="s">
        <v>127</v>
      </c>
      <c r="J11" s="309"/>
      <c r="K11" s="212" t="s">
        <v>75</v>
      </c>
      <c r="L11" s="212" t="s">
        <v>75</v>
      </c>
      <c r="M11" s="212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7'!S36</f>
        <v>100706964</v>
      </c>
      <c r="T11" s="322"/>
      <c r="U11" s="323"/>
      <c r="V11" s="324"/>
      <c r="W11" s="212" t="s">
        <v>75</v>
      </c>
      <c r="X11" s="212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7'!AI36</f>
        <v>17224096</v>
      </c>
      <c r="AJ11" s="314"/>
      <c r="AK11" s="330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13"/>
      <c r="AU11" s="213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43289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74</v>
      </c>
      <c r="H13" s="150">
        <f t="shared" ref="H13:H36" si="0">G13/1.42</f>
        <v>52.112676056338032</v>
      </c>
      <c r="I13" s="150">
        <v>76</v>
      </c>
      <c r="J13" s="41" t="s">
        <v>88</v>
      </c>
      <c r="K13" s="41">
        <f>L13-(2/1.42)</f>
        <v>47.183098591549296</v>
      </c>
      <c r="L13" s="42">
        <f>(G13-5)/1.42</f>
        <v>48.591549295774648</v>
      </c>
      <c r="M13" s="41">
        <f>L13+(6/1.42)</f>
        <v>52.816901408450704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100711664</v>
      </c>
      <c r="T13" s="45">
        <f>IF(ISBLANK(S13),"-",S13-S11)</f>
        <v>4700</v>
      </c>
      <c r="U13" s="46">
        <f>T13*24/1000</f>
        <v>112.8</v>
      </c>
      <c r="V13" s="46">
        <f>T13/1000</f>
        <v>4.7</v>
      </c>
      <c r="W13" s="96">
        <v>6.2</v>
      </c>
      <c r="X13" s="96">
        <f t="shared" ref="X13:X36" si="1">W13</f>
        <v>6.2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17225242</v>
      </c>
      <c r="AJ13" s="45">
        <f>IF(ISBLANK(AI13),"-",AI13-AI11)</f>
        <v>1146</v>
      </c>
      <c r="AK13" s="48">
        <f>AJ13/V13</f>
        <v>243.82978723404256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43289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6</v>
      </c>
      <c r="G14" s="118">
        <v>74</v>
      </c>
      <c r="H14" s="150">
        <f t="shared" si="0"/>
        <v>52.112676056338032</v>
      </c>
      <c r="I14" s="150">
        <v>78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100715812</v>
      </c>
      <c r="T14" s="45">
        <f t="shared" ref="T14:T36" si="4">IF(ISBLANK(S14),"-",S14-S13)</f>
        <v>4148</v>
      </c>
      <c r="U14" s="46">
        <f t="shared" ref="U14:U37" si="5">T14*24/1000</f>
        <v>99.552000000000007</v>
      </c>
      <c r="V14" s="46">
        <f t="shared" ref="V14:V37" si="6">T14/1000</f>
        <v>4.1479999999999997</v>
      </c>
      <c r="W14" s="96">
        <v>7.5</v>
      </c>
      <c r="X14" s="96">
        <f t="shared" si="1"/>
        <v>7.5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17226316</v>
      </c>
      <c r="AJ14" s="45">
        <f t="shared" ref="AJ14:AJ36" si="7">IF(ISBLANK(AI14),"-",AI14-AI13)</f>
        <v>1074</v>
      </c>
      <c r="AK14" s="48">
        <f>AJ14/V14</f>
        <v>258.91996142719387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0.96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43289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75</v>
      </c>
      <c r="H15" s="150">
        <f t="shared" si="0"/>
        <v>52.816901408450704</v>
      </c>
      <c r="I15" s="150">
        <v>78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100720146</v>
      </c>
      <c r="T15" s="45">
        <f>IF(ISBLANK(S15),"-",S15-S14)</f>
        <v>4334</v>
      </c>
      <c r="U15" s="46">
        <f t="shared" si="5"/>
        <v>104.01600000000001</v>
      </c>
      <c r="V15" s="46">
        <f t="shared" si="6"/>
        <v>4.3339999999999996</v>
      </c>
      <c r="W15" s="96">
        <v>9</v>
      </c>
      <c r="X15" s="96">
        <f t="shared" si="1"/>
        <v>9</v>
      </c>
      <c r="Y15" s="97" t="s">
        <v>139</v>
      </c>
      <c r="Z15" s="154">
        <v>0</v>
      </c>
      <c r="AA15" s="154">
        <v>0</v>
      </c>
      <c r="AB15" s="154">
        <v>1188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17227436</v>
      </c>
      <c r="AJ15" s="45">
        <f t="shared" si="7"/>
        <v>1120</v>
      </c>
      <c r="AK15" s="48">
        <f t="shared" ref="AK15:AK36" si="9">AJ15/V15</f>
        <v>258.42178126442087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43289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75</v>
      </c>
      <c r="H16" s="150">
        <f t="shared" si="0"/>
        <v>52.816901408450704</v>
      </c>
      <c r="I16" s="150">
        <v>80</v>
      </c>
      <c r="J16" s="41" t="s">
        <v>88</v>
      </c>
      <c r="K16" s="41">
        <f t="shared" si="3"/>
        <v>47.887323943661976</v>
      </c>
      <c r="L16" s="42">
        <f>(G16-5)/1.42</f>
        <v>49.295774647887328</v>
      </c>
      <c r="M16" s="41">
        <f>L16+(6/1.42)</f>
        <v>53.521126760563384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100724588</v>
      </c>
      <c r="T16" s="45">
        <f t="shared" si="4"/>
        <v>4442</v>
      </c>
      <c r="U16" s="46">
        <f t="shared" si="5"/>
        <v>106.608</v>
      </c>
      <c r="V16" s="46">
        <f t="shared" si="6"/>
        <v>4.4420000000000002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1006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17228444</v>
      </c>
      <c r="AJ16" s="45">
        <f t="shared" si="7"/>
        <v>1008</v>
      </c>
      <c r="AK16" s="48">
        <f t="shared" si="9"/>
        <v>226.92480864475462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43289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100729434</v>
      </c>
      <c r="T17" s="45">
        <f t="shared" si="4"/>
        <v>4846</v>
      </c>
      <c r="U17" s="46">
        <f t="shared" si="5"/>
        <v>116.304</v>
      </c>
      <c r="V17" s="46">
        <f t="shared" si="6"/>
        <v>4.8460000000000001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1146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17229530</v>
      </c>
      <c r="AJ17" s="45">
        <f t="shared" si="7"/>
        <v>1086</v>
      </c>
      <c r="AK17" s="48">
        <f t="shared" si="9"/>
        <v>224.10235245563351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43289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9</v>
      </c>
      <c r="G18" s="118">
        <v>82</v>
      </c>
      <c r="H18" s="150">
        <f t="shared" si="0"/>
        <v>57.74647887323944</v>
      </c>
      <c r="I18" s="150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100733939</v>
      </c>
      <c r="T18" s="45">
        <f t="shared" si="4"/>
        <v>4505</v>
      </c>
      <c r="U18" s="46">
        <f t="shared" si="5"/>
        <v>108.12</v>
      </c>
      <c r="V18" s="46">
        <f t="shared" si="6"/>
        <v>4.5049999999999999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1096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17230475</v>
      </c>
      <c r="AJ18" s="45">
        <f t="shared" si="7"/>
        <v>945</v>
      </c>
      <c r="AK18" s="48">
        <f t="shared" si="9"/>
        <v>209.7669256381798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0.98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43289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81</v>
      </c>
      <c r="H19" s="150">
        <f t="shared" si="0"/>
        <v>57.04225352112676</v>
      </c>
      <c r="I19" s="150">
        <v>78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100738974</v>
      </c>
      <c r="T19" s="45">
        <f t="shared" si="4"/>
        <v>5035</v>
      </c>
      <c r="U19" s="46">
        <f t="shared" si="5"/>
        <v>120.84</v>
      </c>
      <c r="V19" s="46">
        <f t="shared" si="6"/>
        <v>5.0350000000000001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1147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17231484</v>
      </c>
      <c r="AJ19" s="45">
        <f t="shared" si="7"/>
        <v>1009</v>
      </c>
      <c r="AK19" s="48">
        <f t="shared" si="9"/>
        <v>200.39721946375371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43289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7</v>
      </c>
      <c r="G20" s="118">
        <v>81</v>
      </c>
      <c r="H20" s="150">
        <f t="shared" si="0"/>
        <v>57.04225352112676</v>
      </c>
      <c r="I20" s="150">
        <v>78</v>
      </c>
      <c r="J20" s="41" t="s">
        <v>88</v>
      </c>
      <c r="K20" s="41">
        <f t="shared" si="3"/>
        <v>55.633802816901408</v>
      </c>
      <c r="L20" s="42">
        <f t="shared" si="10"/>
        <v>57.04225352112676</v>
      </c>
      <c r="M20" s="41">
        <f t="shared" ref="M20:M24" si="11">L20+1.42</f>
        <v>58.462253521126762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100744140</v>
      </c>
      <c r="T20" s="45">
        <f t="shared" si="4"/>
        <v>5166</v>
      </c>
      <c r="U20" s="46">
        <f>T20*24/1000</f>
        <v>123.98399999999999</v>
      </c>
      <c r="V20" s="46">
        <f t="shared" si="6"/>
        <v>5.1660000000000004</v>
      </c>
      <c r="W20" s="96">
        <v>9.5</v>
      </c>
      <c r="X20" s="96">
        <f t="shared" si="1"/>
        <v>9.5</v>
      </c>
      <c r="Y20" s="97" t="s">
        <v>139</v>
      </c>
      <c r="Z20" s="154">
        <v>0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17232600</v>
      </c>
      <c r="AJ20" s="45">
        <f t="shared" si="7"/>
        <v>1116</v>
      </c>
      <c r="AK20" s="48">
        <f t="shared" si="9"/>
        <v>216.02787456445992</v>
      </c>
      <c r="AL20" s="151">
        <v>0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43289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6</v>
      </c>
      <c r="G21" s="118">
        <v>77</v>
      </c>
      <c r="H21" s="150">
        <f t="shared" si="0"/>
        <v>54.225352112676056</v>
      </c>
      <c r="I21" s="150">
        <v>75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100749731</v>
      </c>
      <c r="T21" s="45">
        <f t="shared" si="4"/>
        <v>5591</v>
      </c>
      <c r="U21" s="46">
        <f t="shared" si="5"/>
        <v>134.184</v>
      </c>
      <c r="V21" s="46">
        <f t="shared" si="6"/>
        <v>5.5910000000000002</v>
      </c>
      <c r="W21" s="96">
        <v>8.8000000000000007</v>
      </c>
      <c r="X21" s="96">
        <f t="shared" si="1"/>
        <v>8.8000000000000007</v>
      </c>
      <c r="Y21" s="97" t="s">
        <v>168</v>
      </c>
      <c r="Z21" s="154">
        <v>0</v>
      </c>
      <c r="AA21" s="154">
        <v>1027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17233799</v>
      </c>
      <c r="AJ21" s="45">
        <f t="shared" si="7"/>
        <v>1199</v>
      </c>
      <c r="AK21" s="48">
        <f t="shared" si="9"/>
        <v>214.45179753174745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43289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6</v>
      </c>
      <c r="G22" s="118">
        <v>76</v>
      </c>
      <c r="H22" s="150">
        <f t="shared" si="0"/>
        <v>53.521126760563384</v>
      </c>
      <c r="I22" s="150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100754549</v>
      </c>
      <c r="T22" s="45">
        <f t="shared" si="4"/>
        <v>4818</v>
      </c>
      <c r="U22" s="46">
        <f t="shared" si="5"/>
        <v>115.63200000000001</v>
      </c>
      <c r="V22" s="46">
        <f t="shared" si="6"/>
        <v>4.8179999999999996</v>
      </c>
      <c r="W22" s="96">
        <v>8.1999999999999993</v>
      </c>
      <c r="X22" s="96">
        <f t="shared" si="1"/>
        <v>8.1999999999999993</v>
      </c>
      <c r="Y22" s="97" t="s">
        <v>168</v>
      </c>
      <c r="Z22" s="154">
        <v>0</v>
      </c>
      <c r="AA22" s="154">
        <v>1016</v>
      </c>
      <c r="AB22" s="154">
        <v>1186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17234962</v>
      </c>
      <c r="AJ22" s="45">
        <f t="shared" si="7"/>
        <v>1163</v>
      </c>
      <c r="AK22" s="48">
        <f t="shared" si="9"/>
        <v>241.38646741386469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1.03</v>
      </c>
      <c r="AV22" s="50" t="s">
        <v>126</v>
      </c>
      <c r="BB22" s="136" t="s">
        <v>156</v>
      </c>
    </row>
    <row r="23" spans="1:54" x14ac:dyDescent="0.35">
      <c r="A23" s="331">
        <v>43289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75</v>
      </c>
      <c r="H23" s="150">
        <f t="shared" si="0"/>
        <v>52.816901408450704</v>
      </c>
      <c r="I23" s="150">
        <v>73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100759220</v>
      </c>
      <c r="T23" s="45">
        <f t="shared" si="4"/>
        <v>4671</v>
      </c>
      <c r="U23" s="46">
        <f t="shared" si="5"/>
        <v>112.104</v>
      </c>
      <c r="V23" s="46">
        <f t="shared" si="6"/>
        <v>4.6710000000000003</v>
      </c>
      <c r="W23" s="96">
        <v>7.6</v>
      </c>
      <c r="X23" s="96">
        <f>W23</f>
        <v>7.6</v>
      </c>
      <c r="Y23" s="97" t="s">
        <v>168</v>
      </c>
      <c r="Z23" s="154">
        <v>0</v>
      </c>
      <c r="AA23" s="154">
        <v>1017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17236150</v>
      </c>
      <c r="AJ23" s="45">
        <f t="shared" si="7"/>
        <v>1188</v>
      </c>
      <c r="AK23" s="48">
        <f t="shared" si="9"/>
        <v>254.33526011560693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43289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74</v>
      </c>
      <c r="H24" s="150">
        <f t="shared" si="0"/>
        <v>52.112676056338032</v>
      </c>
      <c r="I24" s="150">
        <v>72</v>
      </c>
      <c r="J24" s="41" t="s">
        <v>88</v>
      </c>
      <c r="K24" s="41">
        <f t="shared" si="3"/>
        <v>50.70422535211268</v>
      </c>
      <c r="L24" s="42">
        <f t="shared" si="10"/>
        <v>52.112676056338032</v>
      </c>
      <c r="M24" s="41">
        <f t="shared" si="11"/>
        <v>53.532676056338033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100763735</v>
      </c>
      <c r="T24" s="45">
        <f t="shared" si="4"/>
        <v>4515</v>
      </c>
      <c r="U24" s="46">
        <f>T24*24/1000</f>
        <v>108.36</v>
      </c>
      <c r="V24" s="46">
        <f t="shared" si="6"/>
        <v>4.5149999999999997</v>
      </c>
      <c r="W24" s="96">
        <v>7.1</v>
      </c>
      <c r="X24" s="96">
        <f t="shared" si="1"/>
        <v>7.1</v>
      </c>
      <c r="Y24" s="97" t="s">
        <v>168</v>
      </c>
      <c r="Z24" s="154">
        <v>0</v>
      </c>
      <c r="AA24" s="154">
        <v>1016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17237344</v>
      </c>
      <c r="AJ24" s="45">
        <f t="shared" si="7"/>
        <v>1194</v>
      </c>
      <c r="AK24" s="48">
        <f t="shared" si="9"/>
        <v>264.45182724252493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43289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4</v>
      </c>
      <c r="G25" s="118">
        <v>74</v>
      </c>
      <c r="H25" s="150">
        <f t="shared" si="0"/>
        <v>52.112676056338032</v>
      </c>
      <c r="I25" s="150">
        <v>71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100768060</v>
      </c>
      <c r="T25" s="45">
        <f t="shared" si="4"/>
        <v>4325</v>
      </c>
      <c r="U25" s="46">
        <f>T25*24/1000</f>
        <v>103.8</v>
      </c>
      <c r="V25" s="46">
        <f t="shared" si="6"/>
        <v>4.3250000000000002</v>
      </c>
      <c r="W25" s="96">
        <v>6.5</v>
      </c>
      <c r="X25" s="96">
        <f t="shared" si="1"/>
        <v>6.5</v>
      </c>
      <c r="Y25" s="97" t="s">
        <v>168</v>
      </c>
      <c r="Z25" s="154">
        <v>0</v>
      </c>
      <c r="AA25" s="154">
        <v>1016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17238489</v>
      </c>
      <c r="AJ25" s="45">
        <f t="shared" si="7"/>
        <v>1145</v>
      </c>
      <c r="AK25" s="48">
        <f t="shared" si="9"/>
        <v>264.73988439306356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43289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3</v>
      </c>
      <c r="G26" s="118">
        <v>74</v>
      </c>
      <c r="H26" s="150">
        <f t="shared" si="0"/>
        <v>52.112676056338032</v>
      </c>
      <c r="I26" s="150">
        <v>71</v>
      </c>
      <c r="J26" s="41" t="s">
        <v>88</v>
      </c>
      <c r="K26" s="41">
        <f t="shared" si="3"/>
        <v>50.70422535211268</v>
      </c>
      <c r="L26" s="42">
        <f t="shared" si="10"/>
        <v>52.112676056338032</v>
      </c>
      <c r="M26" s="41">
        <f t="shared" ref="M26:M36" si="12">L26+(6/1.42)</f>
        <v>56.338028169014088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100772215</v>
      </c>
      <c r="T26" s="45">
        <f t="shared" si="4"/>
        <v>4155</v>
      </c>
      <c r="U26" s="46">
        <f t="shared" si="5"/>
        <v>99.72</v>
      </c>
      <c r="V26" s="46">
        <f t="shared" si="6"/>
        <v>4.1550000000000002</v>
      </c>
      <c r="W26" s="96">
        <v>5.9</v>
      </c>
      <c r="X26" s="96">
        <f t="shared" si="1"/>
        <v>5.9</v>
      </c>
      <c r="Y26" s="97" t="s">
        <v>168</v>
      </c>
      <c r="Z26" s="154">
        <v>0</v>
      </c>
      <c r="AA26" s="154">
        <v>1016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17239499</v>
      </c>
      <c r="AJ26" s="45">
        <f t="shared" si="7"/>
        <v>1010</v>
      </c>
      <c r="AK26" s="48">
        <f t="shared" si="9"/>
        <v>243.08062575210587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1.05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43289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3</v>
      </c>
      <c r="G27" s="118">
        <v>76</v>
      </c>
      <c r="H27" s="150">
        <f t="shared" si="0"/>
        <v>53.521126760563384</v>
      </c>
      <c r="I27" s="150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100777120</v>
      </c>
      <c r="T27" s="45">
        <f t="shared" si="4"/>
        <v>4905</v>
      </c>
      <c r="U27" s="46">
        <f t="shared" si="5"/>
        <v>117.72</v>
      </c>
      <c r="V27" s="46">
        <f t="shared" si="6"/>
        <v>4.9050000000000002</v>
      </c>
      <c r="W27" s="96">
        <v>5.4</v>
      </c>
      <c r="X27" s="96">
        <f t="shared" si="1"/>
        <v>5.4</v>
      </c>
      <c r="Y27" s="97" t="s">
        <v>168</v>
      </c>
      <c r="Z27" s="154">
        <v>0</v>
      </c>
      <c r="AA27" s="154">
        <v>1016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17240843</v>
      </c>
      <c r="AJ27" s="45">
        <f t="shared" si="7"/>
        <v>1344</v>
      </c>
      <c r="AK27" s="48">
        <f t="shared" si="9"/>
        <v>274.00611620795104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43289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2</v>
      </c>
      <c r="G28" s="118">
        <v>77</v>
      </c>
      <c r="H28" s="150">
        <f t="shared" si="0"/>
        <v>54.225352112676056</v>
      </c>
      <c r="I28" s="150">
        <v>75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100781969</v>
      </c>
      <c r="T28" s="45">
        <f t="shared" si="4"/>
        <v>4849</v>
      </c>
      <c r="U28" s="46">
        <f t="shared" si="5"/>
        <v>116.376</v>
      </c>
      <c r="V28" s="46">
        <f t="shared" si="6"/>
        <v>4.8490000000000002</v>
      </c>
      <c r="W28" s="96">
        <v>5</v>
      </c>
      <c r="X28" s="96">
        <f t="shared" si="1"/>
        <v>5</v>
      </c>
      <c r="Y28" s="97" t="s">
        <v>168</v>
      </c>
      <c r="Z28" s="154">
        <v>0</v>
      </c>
      <c r="AA28" s="154">
        <v>1016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17242002</v>
      </c>
      <c r="AJ28" s="45">
        <f>IF(ISBLANK(AI28),"-",AI28-AI27)</f>
        <v>1159</v>
      </c>
      <c r="AK28" s="48">
        <f t="shared" si="9"/>
        <v>239.01835429985562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43289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2</v>
      </c>
      <c r="G29" s="118">
        <v>75</v>
      </c>
      <c r="H29" s="150">
        <f t="shared" si="0"/>
        <v>52.816901408450704</v>
      </c>
      <c r="I29" s="150">
        <v>74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100786828</v>
      </c>
      <c r="T29" s="45">
        <f t="shared" si="4"/>
        <v>4859</v>
      </c>
      <c r="U29" s="46">
        <f t="shared" si="5"/>
        <v>116.616</v>
      </c>
      <c r="V29" s="46">
        <f t="shared" si="6"/>
        <v>4.859</v>
      </c>
      <c r="W29" s="96">
        <v>4.5999999999999996</v>
      </c>
      <c r="X29" s="96">
        <f t="shared" si="1"/>
        <v>4.5999999999999996</v>
      </c>
      <c r="Y29" s="97" t="s">
        <v>168</v>
      </c>
      <c r="Z29" s="154">
        <v>0</v>
      </c>
      <c r="AA29" s="154">
        <v>1016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17243163</v>
      </c>
      <c r="AJ29" s="45">
        <f t="shared" si="7"/>
        <v>1161</v>
      </c>
      <c r="AK29" s="48">
        <f>AJ28/V29</f>
        <v>238.52644577073471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43289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1</v>
      </c>
      <c r="G30" s="118">
        <v>75</v>
      </c>
      <c r="H30" s="150">
        <f t="shared" si="0"/>
        <v>52.816901408450704</v>
      </c>
      <c r="I30" s="150">
        <v>74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100791689</v>
      </c>
      <c r="T30" s="45">
        <f t="shared" si="4"/>
        <v>4861</v>
      </c>
      <c r="U30" s="46">
        <f t="shared" si="5"/>
        <v>116.664</v>
      </c>
      <c r="V30" s="46">
        <f t="shared" si="6"/>
        <v>4.8609999999999998</v>
      </c>
      <c r="W30" s="96">
        <v>4.2</v>
      </c>
      <c r="X30" s="96">
        <f t="shared" si="1"/>
        <v>4.2</v>
      </c>
      <c r="Y30" s="97" t="s">
        <v>168</v>
      </c>
      <c r="Z30" s="154">
        <v>0</v>
      </c>
      <c r="AA30" s="154">
        <v>1016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17244319</v>
      </c>
      <c r="AJ30" s="45">
        <f t="shared" si="7"/>
        <v>1156</v>
      </c>
      <c r="AK30" s="48">
        <f>AJ29/V30</f>
        <v>238.83974490845506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0.97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43289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1</v>
      </c>
      <c r="G31" s="118">
        <v>75</v>
      </c>
      <c r="H31" s="150">
        <f t="shared" si="0"/>
        <v>52.816901408450704</v>
      </c>
      <c r="I31" s="150">
        <v>74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100796592</v>
      </c>
      <c r="T31" s="45">
        <f t="shared" si="4"/>
        <v>4903</v>
      </c>
      <c r="U31" s="46">
        <f t="shared" si="5"/>
        <v>117.672</v>
      </c>
      <c r="V31" s="46">
        <f t="shared" si="6"/>
        <v>4.9029999999999996</v>
      </c>
      <c r="W31" s="96">
        <v>3.7</v>
      </c>
      <c r="X31" s="96">
        <f t="shared" si="1"/>
        <v>3.7</v>
      </c>
      <c r="Y31" s="97" t="s">
        <v>168</v>
      </c>
      <c r="Z31" s="154">
        <v>0</v>
      </c>
      <c r="AA31" s="154">
        <v>1016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17245479</v>
      </c>
      <c r="AJ31" s="45">
        <f t="shared" si="7"/>
        <v>1160</v>
      </c>
      <c r="AK31" s="48">
        <f t="shared" si="9"/>
        <v>236.58984295329392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43289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1</v>
      </c>
      <c r="G32" s="118">
        <v>75</v>
      </c>
      <c r="H32" s="150">
        <f t="shared" si="0"/>
        <v>52.816901408450704</v>
      </c>
      <c r="I32" s="150">
        <v>74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100801355</v>
      </c>
      <c r="T32" s="45">
        <f t="shared" si="4"/>
        <v>4763</v>
      </c>
      <c r="U32" s="46">
        <f t="shared" si="5"/>
        <v>114.312</v>
      </c>
      <c r="V32" s="46">
        <f t="shared" si="6"/>
        <v>4.7629999999999999</v>
      </c>
      <c r="W32" s="96">
        <v>3.3</v>
      </c>
      <c r="X32" s="96">
        <f t="shared" si="1"/>
        <v>3.3</v>
      </c>
      <c r="Y32" s="97" t="s">
        <v>168</v>
      </c>
      <c r="Z32" s="154">
        <v>0</v>
      </c>
      <c r="AA32" s="154">
        <v>1016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17246622</v>
      </c>
      <c r="AJ32" s="45">
        <f t="shared" si="7"/>
        <v>1143</v>
      </c>
      <c r="AK32" s="48">
        <f t="shared" si="9"/>
        <v>239.97480579466722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43289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0</v>
      </c>
      <c r="G33" s="118">
        <v>76</v>
      </c>
      <c r="H33" s="150">
        <f t="shared" si="0"/>
        <v>53.521126760563384</v>
      </c>
      <c r="I33" s="150">
        <v>74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100806317</v>
      </c>
      <c r="T33" s="45">
        <f t="shared" si="4"/>
        <v>4962</v>
      </c>
      <c r="U33" s="46">
        <f t="shared" si="5"/>
        <v>119.08799999999999</v>
      </c>
      <c r="V33" s="46">
        <f t="shared" si="6"/>
        <v>4.9619999999999997</v>
      </c>
      <c r="W33" s="96">
        <v>3</v>
      </c>
      <c r="X33" s="96">
        <f t="shared" si="1"/>
        <v>3</v>
      </c>
      <c r="Y33" s="97" t="s">
        <v>168</v>
      </c>
      <c r="Z33" s="154">
        <v>0</v>
      </c>
      <c r="AA33" s="154">
        <v>1017</v>
      </c>
      <c r="AB33" s="154">
        <v>1186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17247772</v>
      </c>
      <c r="AJ33" s="45">
        <f t="shared" si="7"/>
        <v>1150</v>
      </c>
      <c r="AK33" s="48">
        <f t="shared" si="9"/>
        <v>231.76138653768643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43289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0</v>
      </c>
      <c r="G34" s="118">
        <v>77</v>
      </c>
      <c r="H34" s="150">
        <f t="shared" si="0"/>
        <v>54.225352112676056</v>
      </c>
      <c r="I34" s="150">
        <v>73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100811297</v>
      </c>
      <c r="T34" s="45">
        <f t="shared" si="4"/>
        <v>4980</v>
      </c>
      <c r="U34" s="46">
        <f t="shared" si="5"/>
        <v>119.52</v>
      </c>
      <c r="V34" s="46">
        <f t="shared" si="6"/>
        <v>4.9800000000000004</v>
      </c>
      <c r="W34" s="96">
        <v>2.7</v>
      </c>
      <c r="X34" s="96">
        <f t="shared" si="1"/>
        <v>2.7</v>
      </c>
      <c r="Y34" s="97" t="s">
        <v>168</v>
      </c>
      <c r="Z34" s="154">
        <v>0</v>
      </c>
      <c r="AA34" s="154">
        <v>1016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17248932</v>
      </c>
      <c r="AJ34" s="45">
        <f t="shared" si="7"/>
        <v>1160</v>
      </c>
      <c r="AK34" s="48">
        <f t="shared" si="9"/>
        <v>232.93172690763049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43289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1</v>
      </c>
      <c r="G35" s="118">
        <v>74</v>
      </c>
      <c r="H35" s="150">
        <f t="shared" si="0"/>
        <v>52.112676056338032</v>
      </c>
      <c r="I35" s="150">
        <v>72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100816454</v>
      </c>
      <c r="T35" s="45">
        <f t="shared" si="4"/>
        <v>5157</v>
      </c>
      <c r="U35" s="46">
        <f t="shared" si="5"/>
        <v>123.768</v>
      </c>
      <c r="V35" s="46">
        <f t="shared" si="6"/>
        <v>5.157</v>
      </c>
      <c r="W35" s="96">
        <v>3.1</v>
      </c>
      <c r="X35" s="96">
        <f t="shared" si="1"/>
        <v>3.1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17250012</v>
      </c>
      <c r="AJ35" s="45">
        <f t="shared" si="7"/>
        <v>1080</v>
      </c>
      <c r="AK35" s="48">
        <f t="shared" si="9"/>
        <v>209.42408376963351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43289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74</v>
      </c>
      <c r="H36" s="150">
        <f t="shared" si="0"/>
        <v>52.112676056338032</v>
      </c>
      <c r="I36" s="150">
        <v>74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100821260</v>
      </c>
      <c r="T36" s="45">
        <f t="shared" si="4"/>
        <v>4806</v>
      </c>
      <c r="U36" s="46">
        <f t="shared" si="5"/>
        <v>115.34399999999999</v>
      </c>
      <c r="V36" s="46">
        <f t="shared" si="6"/>
        <v>4.806</v>
      </c>
      <c r="W36" s="96">
        <v>4.3</v>
      </c>
      <c r="X36" s="96">
        <f t="shared" si="1"/>
        <v>4.3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17251108</v>
      </c>
      <c r="AJ36" s="45">
        <f t="shared" si="7"/>
        <v>1096</v>
      </c>
      <c r="AK36" s="48">
        <f t="shared" si="9"/>
        <v>228.04827299209322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114296</v>
      </c>
      <c r="U37" s="46">
        <f t="shared" si="5"/>
        <v>2743.1039999999998</v>
      </c>
      <c r="V37" s="46">
        <f t="shared" si="6"/>
        <v>114.29600000000001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27012</v>
      </c>
      <c r="AK37" s="61">
        <f>$AJ$37/$V37</f>
        <v>236.33372996430319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1.0016666666666667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203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204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205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182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177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"/>
    <protectedRange sqref="R3:W3" name="Range1_16_1_1_1_1_1_1_2_2_2_2_2_2_2_2_2_2_2_2_2_2_2_2_2_2_2_2_2_2_2_1_2_2_2_2_2_2_2_2_2_2_3_2_2_2_2_2_2_2_2_2_2_1_1_1_1_2_2_1_1_1_1_1_1_1_1_1_1_1_1_1_1_3_1_2_1_1_1_1_1_1_2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R4:W4" name="Range1_16_1_1_1_1_1_1_2_2_2_2_2_2_2_2_2_2_2_2_2_2_2_2_2_2_2_2_2_2_2_1_2_2_2_2_2_2_2_2_2_2_3_2_2_2_2_2_2_2_2_2_2_1_1_1_1_2_2_1_1_1_1_1_1_1_1_1_1_1_1_1_1_3_1_2_1_1_1_1_1_2_2_2_2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407" priority="5" operator="containsText" text="N/A">
      <formula>NOT(ISERROR(SEARCH("N/A",Z13)))</formula>
    </cfRule>
    <cfRule type="cellIs" dxfId="406" priority="17" operator="equal">
      <formula>0</formula>
    </cfRule>
  </conditionalFormatting>
  <conditionalFormatting sqref="Z13:AG36">
    <cfRule type="cellIs" dxfId="405" priority="16" operator="greaterThanOrEqual">
      <formula>1185</formula>
    </cfRule>
  </conditionalFormatting>
  <conditionalFormatting sqref="Z13:AG36">
    <cfRule type="cellIs" dxfId="404" priority="15" operator="between">
      <formula>0.1</formula>
      <formula>1184</formula>
    </cfRule>
  </conditionalFormatting>
  <conditionalFormatting sqref="Z8:Z9 AT13:AT36 AL37:AQ37 AL13:AR36">
    <cfRule type="cellIs" dxfId="403" priority="14" operator="equal">
      <formula>0</formula>
    </cfRule>
  </conditionalFormatting>
  <conditionalFormatting sqref="Z8:Z9 AT13:AT36 AL37:AQ37 AL13:AR36">
    <cfRule type="cellIs" dxfId="402" priority="13" operator="greaterThan">
      <formula>1179</formula>
    </cfRule>
  </conditionalFormatting>
  <conditionalFormatting sqref="Z8:Z9 AT13:AT36 AL37:AQ37 AL13:AR36">
    <cfRule type="cellIs" dxfId="401" priority="12" operator="greaterThan">
      <formula>99</formula>
    </cfRule>
  </conditionalFormatting>
  <conditionalFormatting sqref="Z8:Z9 AT13:AT36 AL37:AQ37 AL13:AR36">
    <cfRule type="cellIs" dxfId="400" priority="11" operator="greaterThan">
      <formula>0.99</formula>
    </cfRule>
  </conditionalFormatting>
  <conditionalFormatting sqref="AD8:AD9">
    <cfRule type="cellIs" dxfId="399" priority="10" operator="equal">
      <formula>0</formula>
    </cfRule>
  </conditionalFormatting>
  <conditionalFormatting sqref="AD8:AD9">
    <cfRule type="cellIs" dxfId="398" priority="9" operator="greaterThan">
      <formula>1179</formula>
    </cfRule>
  </conditionalFormatting>
  <conditionalFormatting sqref="AD8:AD9">
    <cfRule type="cellIs" dxfId="397" priority="8" operator="greaterThan">
      <formula>99</formula>
    </cfRule>
  </conditionalFormatting>
  <conditionalFormatting sqref="AD8:AD9">
    <cfRule type="cellIs" dxfId="396" priority="7" operator="greaterThan">
      <formula>0.99</formula>
    </cfRule>
  </conditionalFormatting>
  <conditionalFormatting sqref="AK13:AK36">
    <cfRule type="cellIs" dxfId="395" priority="6" operator="greaterThan">
      <formula>$AK$8</formula>
    </cfRule>
  </conditionalFormatting>
  <conditionalFormatting sqref="AS13:AS36">
    <cfRule type="containsText" dxfId="394" priority="1" operator="containsText" text="N/A">
      <formula>NOT(ISERROR(SEARCH("N/A",AS13)))</formula>
    </cfRule>
    <cfRule type="cellIs" dxfId="393" priority="4" operator="equal">
      <formula>0</formula>
    </cfRule>
  </conditionalFormatting>
  <conditionalFormatting sqref="AS13:AS36">
    <cfRule type="cellIs" dxfId="392" priority="3" operator="greaterThanOrEqual">
      <formula>1185</formula>
    </cfRule>
  </conditionalFormatting>
  <conditionalFormatting sqref="AS13:AS36">
    <cfRule type="cellIs" dxfId="391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700-000000000000}">
      <formula1>$AY$11:$AY$21</formula1>
    </dataValidation>
    <dataValidation type="list" allowBlank="1" showInputMessage="1" showErrorMessage="1" sqref="AS8:AT9 P11:P12 N11:N12 D8:E9 Q8:V9" xr:uid="{00000000-0002-0000-0700-000001000000}">
      <formula1>#REF!</formula1>
    </dataValidation>
    <dataValidation type="list" allowBlank="1" showInputMessage="1" showErrorMessage="1" sqref="AY33:AZ33" xr:uid="{00000000-0002-0000-0700-000002000000}">
      <formula1>$AY$26:$AY$30</formula1>
    </dataValidation>
    <dataValidation type="list" allowBlank="1" showInputMessage="1" showErrorMessage="1" sqref="R3:R5" xr:uid="{00000000-0002-0000-0700-000003000000}">
      <formula1>$BB$11:$BB$42</formula1>
    </dataValidation>
  </dataValidations>
  <hyperlinks>
    <hyperlink ref="J10:J11" location="'1'!AH8" display="Plant Status" xr:uid="{00000000-0004-0000-0700-000000000000}"/>
  </hyperlinks>
  <pageMargins left="0.7" right="0.7" top="0.75" bottom="0.75" header="0.3" footer="0.3"/>
  <pageSetup paperSize="9" orientation="portrait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030A0"/>
  </sheetPr>
  <dimension ref="A2:BB88"/>
  <sheetViews>
    <sheetView topLeftCell="Q7" zoomScaleNormal="100" workbookViewId="0">
      <selection activeCell="B55" sqref="B5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161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158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11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43290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27022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12" t="s">
        <v>51</v>
      </c>
      <c r="X10" s="212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10" t="s">
        <v>55</v>
      </c>
      <c r="AI10" s="210" t="s">
        <v>56</v>
      </c>
      <c r="AJ10" s="314" t="s">
        <v>57</v>
      </c>
      <c r="AK10" s="329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124</v>
      </c>
      <c r="AR10" s="212" t="s">
        <v>64</v>
      </c>
      <c r="AS10" s="212" t="s">
        <v>65</v>
      </c>
      <c r="AT10" s="312" t="s">
        <v>66</v>
      </c>
      <c r="AU10" s="212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127</v>
      </c>
      <c r="G11" s="212" t="s">
        <v>74</v>
      </c>
      <c r="H11" s="212" t="s">
        <v>75</v>
      </c>
      <c r="I11" s="212" t="s">
        <v>127</v>
      </c>
      <c r="J11" s="309"/>
      <c r="K11" s="212" t="s">
        <v>75</v>
      </c>
      <c r="L11" s="212" t="s">
        <v>75</v>
      </c>
      <c r="M11" s="212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8'!S36</f>
        <v>100821260</v>
      </c>
      <c r="T11" s="322"/>
      <c r="U11" s="323"/>
      <c r="V11" s="324"/>
      <c r="W11" s="212" t="s">
        <v>75</v>
      </c>
      <c r="X11" s="212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8'!AI36</f>
        <v>17251108</v>
      </c>
      <c r="AJ11" s="314"/>
      <c r="AK11" s="330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13"/>
      <c r="AU11" s="213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43290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69</v>
      </c>
      <c r="H13" s="150">
        <f t="shared" ref="H13:H36" si="0">G13/1.42</f>
        <v>48.591549295774648</v>
      </c>
      <c r="I13" s="150">
        <v>77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100825958</v>
      </c>
      <c r="T13" s="45">
        <f>IF(ISBLANK(S13),"-",S13-S11)</f>
        <v>4698</v>
      </c>
      <c r="U13" s="46">
        <f>T13*24/1000</f>
        <v>112.752</v>
      </c>
      <c r="V13" s="46">
        <f>T13/1000</f>
        <v>4.6980000000000004</v>
      </c>
      <c r="W13" s="96">
        <v>5.9</v>
      </c>
      <c r="X13" s="96">
        <f t="shared" ref="X13:X36" si="1">W13</f>
        <v>5.9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17252234</v>
      </c>
      <c r="AJ13" s="45">
        <f>IF(ISBLANK(AI13),"-",AI13-AI11)</f>
        <v>1126</v>
      </c>
      <c r="AK13" s="48">
        <f>AJ13/V13</f>
        <v>239.67645806726264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43290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71</v>
      </c>
      <c r="H14" s="150">
        <f t="shared" si="0"/>
        <v>50</v>
      </c>
      <c r="I14" s="150">
        <v>78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100830377</v>
      </c>
      <c r="T14" s="45">
        <f t="shared" ref="T14:T36" si="4">IF(ISBLANK(S14),"-",S14-S13)</f>
        <v>4419</v>
      </c>
      <c r="U14" s="46">
        <f t="shared" ref="U14:U37" si="5">T14*24/1000</f>
        <v>106.056</v>
      </c>
      <c r="V14" s="46">
        <f t="shared" ref="V14:V37" si="6">T14/1000</f>
        <v>4.4189999999999996</v>
      </c>
      <c r="W14" s="96">
        <v>7.5</v>
      </c>
      <c r="X14" s="96">
        <f t="shared" si="1"/>
        <v>7.5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17253310</v>
      </c>
      <c r="AJ14" s="45">
        <f t="shared" ref="AJ14:AJ36" si="7">IF(ISBLANK(AI14),"-",AI14-AI13)</f>
        <v>1076</v>
      </c>
      <c r="AK14" s="48">
        <f>AJ14/V14</f>
        <v>243.49400316813762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43290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7</v>
      </c>
      <c r="G15" s="118">
        <v>71</v>
      </c>
      <c r="H15" s="150">
        <f t="shared" si="0"/>
        <v>50</v>
      </c>
      <c r="I15" s="150">
        <v>78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100835015</v>
      </c>
      <c r="T15" s="45">
        <f>IF(ISBLANK(S15),"-",S15-S14)</f>
        <v>4638</v>
      </c>
      <c r="U15" s="46">
        <f t="shared" si="5"/>
        <v>111.312</v>
      </c>
      <c r="V15" s="46">
        <f t="shared" si="6"/>
        <v>4.6379999999999999</v>
      </c>
      <c r="W15" s="96">
        <v>9.1</v>
      </c>
      <c r="X15" s="96">
        <f t="shared" si="1"/>
        <v>9.1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17254405</v>
      </c>
      <c r="AJ15" s="45">
        <f t="shared" si="7"/>
        <v>1095</v>
      </c>
      <c r="AK15" s="48">
        <f t="shared" ref="AK15:AK36" si="9">AJ15/V15</f>
        <v>236.09314359637776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43290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75</v>
      </c>
      <c r="H16" s="150">
        <f t="shared" si="0"/>
        <v>52.816901408450704</v>
      </c>
      <c r="I16" s="150">
        <v>79</v>
      </c>
      <c r="J16" s="41" t="s">
        <v>88</v>
      </c>
      <c r="K16" s="41">
        <f t="shared" si="3"/>
        <v>47.887323943661976</v>
      </c>
      <c r="L16" s="42">
        <f>(G16-5)/1.42</f>
        <v>49.295774647887328</v>
      </c>
      <c r="M16" s="41">
        <f>L16+(6/1.42)</f>
        <v>53.521126760563384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100839904</v>
      </c>
      <c r="T16" s="45">
        <f t="shared" si="4"/>
        <v>4889</v>
      </c>
      <c r="U16" s="46">
        <f t="shared" si="5"/>
        <v>117.336</v>
      </c>
      <c r="V16" s="46">
        <f t="shared" si="6"/>
        <v>4.8890000000000002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1117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17255440</v>
      </c>
      <c r="AJ16" s="45">
        <f t="shared" si="7"/>
        <v>1035</v>
      </c>
      <c r="AK16" s="48">
        <f t="shared" si="9"/>
        <v>211.69973409695234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43290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9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100844899</v>
      </c>
      <c r="T17" s="45">
        <f t="shared" si="4"/>
        <v>4995</v>
      </c>
      <c r="U17" s="46">
        <f t="shared" si="5"/>
        <v>119.88</v>
      </c>
      <c r="V17" s="46">
        <f t="shared" si="6"/>
        <v>4.9950000000000001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17256455</v>
      </c>
      <c r="AJ17" s="45">
        <f t="shared" si="7"/>
        <v>1015</v>
      </c>
      <c r="AK17" s="48">
        <f t="shared" si="9"/>
        <v>203.2032032032032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43290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79</v>
      </c>
      <c r="H18" s="150">
        <f t="shared" si="0"/>
        <v>55.633802816901408</v>
      </c>
      <c r="I18" s="150">
        <v>77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100849848</v>
      </c>
      <c r="T18" s="45">
        <f t="shared" si="4"/>
        <v>4949</v>
      </c>
      <c r="U18" s="46">
        <f t="shared" si="5"/>
        <v>118.776</v>
      </c>
      <c r="V18" s="46">
        <f t="shared" si="6"/>
        <v>4.9489999999999998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17257481</v>
      </c>
      <c r="AJ18" s="45">
        <f t="shared" si="7"/>
        <v>1026</v>
      </c>
      <c r="AK18" s="48">
        <f t="shared" si="9"/>
        <v>207.31460901192162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1.03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43290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80</v>
      </c>
      <c r="H19" s="150">
        <f t="shared" si="0"/>
        <v>56.338028169014088</v>
      </c>
      <c r="I19" s="150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100855296</v>
      </c>
      <c r="T19" s="45">
        <f t="shared" si="4"/>
        <v>5448</v>
      </c>
      <c r="U19" s="46">
        <f t="shared" si="5"/>
        <v>130.75200000000001</v>
      </c>
      <c r="V19" s="46">
        <f t="shared" si="6"/>
        <v>5.4480000000000004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17258549</v>
      </c>
      <c r="AJ19" s="45">
        <f t="shared" si="7"/>
        <v>1068</v>
      </c>
      <c r="AK19" s="48">
        <f t="shared" si="9"/>
        <v>196.0352422907489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43290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7</v>
      </c>
      <c r="G20" s="118">
        <v>77</v>
      </c>
      <c r="H20" s="150">
        <f t="shared" si="0"/>
        <v>54.225352112676056</v>
      </c>
      <c r="I20" s="150">
        <v>75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100860978</v>
      </c>
      <c r="T20" s="45">
        <f t="shared" si="4"/>
        <v>5682</v>
      </c>
      <c r="U20" s="46">
        <f>T20*24/1000</f>
        <v>136.36799999999999</v>
      </c>
      <c r="V20" s="46">
        <f t="shared" si="6"/>
        <v>5.6820000000000004</v>
      </c>
      <c r="W20" s="96">
        <v>9.1</v>
      </c>
      <c r="X20" s="96">
        <f t="shared" si="1"/>
        <v>9.1</v>
      </c>
      <c r="Y20" s="97" t="s">
        <v>168</v>
      </c>
      <c r="Z20" s="154">
        <v>1017</v>
      </c>
      <c r="AA20" s="154">
        <v>0</v>
      </c>
      <c r="AB20" s="154">
        <v>1186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17259723</v>
      </c>
      <c r="AJ20" s="45">
        <f t="shared" si="7"/>
        <v>1174</v>
      </c>
      <c r="AK20" s="48">
        <f t="shared" si="9"/>
        <v>206.61738824357619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43290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6</v>
      </c>
      <c r="G21" s="118">
        <v>77</v>
      </c>
      <c r="H21" s="150">
        <f t="shared" si="0"/>
        <v>54.225352112676056</v>
      </c>
      <c r="I21" s="150">
        <v>74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100865740</v>
      </c>
      <c r="T21" s="45">
        <f t="shared" si="4"/>
        <v>4762</v>
      </c>
      <c r="U21" s="46">
        <f t="shared" si="5"/>
        <v>114.288</v>
      </c>
      <c r="V21" s="46">
        <f t="shared" si="6"/>
        <v>4.7619999999999996</v>
      </c>
      <c r="W21" s="96">
        <v>8.5</v>
      </c>
      <c r="X21" s="96">
        <f t="shared" si="1"/>
        <v>8.5</v>
      </c>
      <c r="Y21" s="97" t="s">
        <v>168</v>
      </c>
      <c r="Z21" s="154">
        <v>1016</v>
      </c>
      <c r="AA21" s="154">
        <v>0</v>
      </c>
      <c r="AB21" s="154">
        <v>1188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17260910</v>
      </c>
      <c r="AJ21" s="45">
        <f t="shared" si="7"/>
        <v>1187</v>
      </c>
      <c r="AK21" s="48">
        <f t="shared" si="9"/>
        <v>249.26501469970603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43290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5</v>
      </c>
      <c r="G22" s="118">
        <v>76</v>
      </c>
      <c r="H22" s="150">
        <f t="shared" si="0"/>
        <v>53.521126760563384</v>
      </c>
      <c r="I22" s="150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100870355</v>
      </c>
      <c r="T22" s="45">
        <f t="shared" si="4"/>
        <v>4615</v>
      </c>
      <c r="U22" s="46">
        <f t="shared" si="5"/>
        <v>110.76</v>
      </c>
      <c r="V22" s="46">
        <f t="shared" si="6"/>
        <v>4.6150000000000002</v>
      </c>
      <c r="W22" s="96">
        <v>7.9</v>
      </c>
      <c r="X22" s="96">
        <f t="shared" si="1"/>
        <v>7.9</v>
      </c>
      <c r="Y22" s="97" t="s">
        <v>168</v>
      </c>
      <c r="Z22" s="154">
        <v>1016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17262083</v>
      </c>
      <c r="AJ22" s="45">
        <f t="shared" si="7"/>
        <v>1173</v>
      </c>
      <c r="AK22" s="48">
        <f t="shared" si="9"/>
        <v>254.17118093174429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0.98</v>
      </c>
      <c r="AV22" s="50" t="s">
        <v>126</v>
      </c>
      <c r="BB22" s="136" t="s">
        <v>156</v>
      </c>
    </row>
    <row r="23" spans="1:54" x14ac:dyDescent="0.35">
      <c r="A23" s="331">
        <v>43290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76</v>
      </c>
      <c r="H23" s="150">
        <f t="shared" si="0"/>
        <v>53.521126760563384</v>
      </c>
      <c r="I23" s="150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100874890</v>
      </c>
      <c r="T23" s="45">
        <f t="shared" si="4"/>
        <v>4535</v>
      </c>
      <c r="U23" s="46">
        <f t="shared" si="5"/>
        <v>108.84</v>
      </c>
      <c r="V23" s="46">
        <f t="shared" si="6"/>
        <v>4.5350000000000001</v>
      </c>
      <c r="W23" s="96">
        <v>7.3</v>
      </c>
      <c r="X23" s="96">
        <f>W23</f>
        <v>7.3</v>
      </c>
      <c r="Y23" s="97" t="s">
        <v>168</v>
      </c>
      <c r="Z23" s="154">
        <v>1017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17263297</v>
      </c>
      <c r="AJ23" s="45">
        <f t="shared" si="7"/>
        <v>1214</v>
      </c>
      <c r="AK23" s="48">
        <f t="shared" si="9"/>
        <v>267.6957001102536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43290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75</v>
      </c>
      <c r="H24" s="150">
        <f t="shared" si="0"/>
        <v>52.816901408450704</v>
      </c>
      <c r="I24" s="150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100879148</v>
      </c>
      <c r="T24" s="45">
        <f t="shared" si="4"/>
        <v>4258</v>
      </c>
      <c r="U24" s="46">
        <f>T24*24/1000</f>
        <v>102.19199999999999</v>
      </c>
      <c r="V24" s="46">
        <f t="shared" si="6"/>
        <v>4.258</v>
      </c>
      <c r="W24" s="96">
        <v>6.8</v>
      </c>
      <c r="X24" s="96">
        <f t="shared" si="1"/>
        <v>6.8</v>
      </c>
      <c r="Y24" s="97" t="s">
        <v>168</v>
      </c>
      <c r="Z24" s="154">
        <v>1017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17264458</v>
      </c>
      <c r="AJ24" s="45">
        <f t="shared" si="7"/>
        <v>1161</v>
      </c>
      <c r="AK24" s="48">
        <f t="shared" si="9"/>
        <v>272.6632221700329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43290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4</v>
      </c>
      <c r="G25" s="118">
        <v>75</v>
      </c>
      <c r="H25" s="150">
        <f t="shared" si="0"/>
        <v>52.816901408450704</v>
      </c>
      <c r="I25" s="150">
        <v>72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100883430</v>
      </c>
      <c r="T25" s="45">
        <f t="shared" si="4"/>
        <v>4282</v>
      </c>
      <c r="U25" s="46">
        <f>T25*24/1000</f>
        <v>102.768</v>
      </c>
      <c r="V25" s="46">
        <f t="shared" si="6"/>
        <v>4.282</v>
      </c>
      <c r="W25" s="96">
        <v>6.3</v>
      </c>
      <c r="X25" s="96">
        <f t="shared" si="1"/>
        <v>6.3</v>
      </c>
      <c r="Y25" s="97" t="s">
        <v>168</v>
      </c>
      <c r="Z25" s="154">
        <v>1016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17265577</v>
      </c>
      <c r="AJ25" s="45">
        <f t="shared" si="7"/>
        <v>1119</v>
      </c>
      <c r="AK25" s="48">
        <f t="shared" si="9"/>
        <v>261.32648295189165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43290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4</v>
      </c>
      <c r="G26" s="118">
        <v>76</v>
      </c>
      <c r="H26" s="150">
        <f t="shared" si="0"/>
        <v>53.521126760563384</v>
      </c>
      <c r="I26" s="150">
        <v>72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100887974</v>
      </c>
      <c r="T26" s="45">
        <f t="shared" si="4"/>
        <v>4544</v>
      </c>
      <c r="U26" s="46">
        <f t="shared" si="5"/>
        <v>109.056</v>
      </c>
      <c r="V26" s="46">
        <f t="shared" si="6"/>
        <v>4.5439999999999996</v>
      </c>
      <c r="W26" s="96">
        <v>5.8</v>
      </c>
      <c r="X26" s="96">
        <f t="shared" si="1"/>
        <v>5.8</v>
      </c>
      <c r="Y26" s="97" t="s">
        <v>168</v>
      </c>
      <c r="Z26" s="154">
        <v>1016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17266772</v>
      </c>
      <c r="AJ26" s="45">
        <f t="shared" si="7"/>
        <v>1195</v>
      </c>
      <c r="AK26" s="48">
        <f t="shared" si="9"/>
        <v>262.98415492957747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1.0900000000000001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43290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4</v>
      </c>
      <c r="G27" s="118">
        <v>76</v>
      </c>
      <c r="H27" s="150">
        <f t="shared" si="0"/>
        <v>53.521126760563384</v>
      </c>
      <c r="I27" s="150">
        <v>73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100892539</v>
      </c>
      <c r="T27" s="45">
        <f t="shared" si="4"/>
        <v>4565</v>
      </c>
      <c r="U27" s="46">
        <f t="shared" si="5"/>
        <v>109.56</v>
      </c>
      <c r="V27" s="46">
        <f t="shared" si="6"/>
        <v>4.5650000000000004</v>
      </c>
      <c r="W27" s="96">
        <v>5.4</v>
      </c>
      <c r="X27" s="96">
        <f t="shared" si="1"/>
        <v>5.4</v>
      </c>
      <c r="Y27" s="97" t="s">
        <v>168</v>
      </c>
      <c r="Z27" s="154">
        <v>1016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17267953</v>
      </c>
      <c r="AJ27" s="45">
        <f t="shared" si="7"/>
        <v>1181</v>
      </c>
      <c r="AK27" s="48">
        <f t="shared" si="9"/>
        <v>258.70755750273821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43290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3</v>
      </c>
      <c r="G28" s="118">
        <v>75</v>
      </c>
      <c r="H28" s="150">
        <f t="shared" si="0"/>
        <v>52.816901408450704</v>
      </c>
      <c r="I28" s="150">
        <v>72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100897033</v>
      </c>
      <c r="T28" s="45">
        <f t="shared" si="4"/>
        <v>4494</v>
      </c>
      <c r="U28" s="46">
        <f t="shared" si="5"/>
        <v>107.85599999999999</v>
      </c>
      <c r="V28" s="46">
        <f t="shared" si="6"/>
        <v>4.4939999999999998</v>
      </c>
      <c r="W28" s="96">
        <v>5</v>
      </c>
      <c r="X28" s="96">
        <f t="shared" si="1"/>
        <v>5</v>
      </c>
      <c r="Y28" s="97" t="s">
        <v>168</v>
      </c>
      <c r="Z28" s="154">
        <v>1017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17269111</v>
      </c>
      <c r="AJ28" s="45">
        <f>IF(ISBLANK(AI28),"-",AI28-AI27)</f>
        <v>1158</v>
      </c>
      <c r="AK28" s="48">
        <f t="shared" si="9"/>
        <v>257.67690253671566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43290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3</v>
      </c>
      <c r="G29" s="118">
        <v>75</v>
      </c>
      <c r="H29" s="150">
        <f t="shared" si="0"/>
        <v>52.816901408450704</v>
      </c>
      <c r="I29" s="150">
        <v>72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100901660</v>
      </c>
      <c r="T29" s="45">
        <f t="shared" si="4"/>
        <v>4627</v>
      </c>
      <c r="U29" s="46">
        <f t="shared" si="5"/>
        <v>111.048</v>
      </c>
      <c r="V29" s="46">
        <f t="shared" si="6"/>
        <v>4.6269999999999998</v>
      </c>
      <c r="W29" s="96">
        <v>4.5999999999999996</v>
      </c>
      <c r="X29" s="96">
        <f t="shared" si="1"/>
        <v>4.5999999999999996</v>
      </c>
      <c r="Y29" s="97" t="s">
        <v>168</v>
      </c>
      <c r="Z29" s="154">
        <v>1015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17270254</v>
      </c>
      <c r="AJ29" s="45">
        <f t="shared" si="7"/>
        <v>1143</v>
      </c>
      <c r="AK29" s="48">
        <f>AJ28/V29</f>
        <v>250.27015344715801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43290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3</v>
      </c>
      <c r="G30" s="118">
        <v>75</v>
      </c>
      <c r="H30" s="150">
        <f t="shared" si="0"/>
        <v>52.816901408450704</v>
      </c>
      <c r="I30" s="150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100906474</v>
      </c>
      <c r="T30" s="45">
        <f t="shared" si="4"/>
        <v>4814</v>
      </c>
      <c r="U30" s="46">
        <f t="shared" si="5"/>
        <v>115.536</v>
      </c>
      <c r="V30" s="46">
        <f t="shared" si="6"/>
        <v>4.8140000000000001</v>
      </c>
      <c r="W30" s="96">
        <v>4.0999999999999996</v>
      </c>
      <c r="X30" s="96">
        <f t="shared" si="1"/>
        <v>4.0999999999999996</v>
      </c>
      <c r="Y30" s="97" t="s">
        <v>168</v>
      </c>
      <c r="Z30" s="154">
        <v>1016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17271398</v>
      </c>
      <c r="AJ30" s="45">
        <f t="shared" si="7"/>
        <v>1144</v>
      </c>
      <c r="AK30" s="48">
        <f>AJ29/V30</f>
        <v>237.43248857498961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1.02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43290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2</v>
      </c>
      <c r="G31" s="118">
        <v>74</v>
      </c>
      <c r="H31" s="150">
        <f t="shared" si="0"/>
        <v>52.112676056338032</v>
      </c>
      <c r="I31" s="150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100911327</v>
      </c>
      <c r="T31" s="45">
        <f t="shared" si="4"/>
        <v>4853</v>
      </c>
      <c r="U31" s="46">
        <f t="shared" si="5"/>
        <v>116.47199999999999</v>
      </c>
      <c r="V31" s="46">
        <f t="shared" si="6"/>
        <v>4.8529999999999998</v>
      </c>
      <c r="W31" s="96">
        <v>3.6</v>
      </c>
      <c r="X31" s="96">
        <f t="shared" si="1"/>
        <v>3.6</v>
      </c>
      <c r="Y31" s="97" t="s">
        <v>168</v>
      </c>
      <c r="Z31" s="154">
        <v>1017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17272556</v>
      </c>
      <c r="AJ31" s="45">
        <f t="shared" si="7"/>
        <v>1158</v>
      </c>
      <c r="AK31" s="48">
        <f t="shared" si="9"/>
        <v>238.61528951164229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43290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2</v>
      </c>
      <c r="G32" s="118">
        <v>74</v>
      </c>
      <c r="H32" s="150">
        <f t="shared" si="0"/>
        <v>52.112676056338032</v>
      </c>
      <c r="I32" s="150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100916017</v>
      </c>
      <c r="T32" s="45">
        <f t="shared" si="4"/>
        <v>4690</v>
      </c>
      <c r="U32" s="46">
        <f t="shared" si="5"/>
        <v>112.56</v>
      </c>
      <c r="V32" s="46">
        <f t="shared" si="6"/>
        <v>4.6900000000000004</v>
      </c>
      <c r="W32" s="96">
        <v>3.2</v>
      </c>
      <c r="X32" s="96">
        <f t="shared" si="1"/>
        <v>3.2</v>
      </c>
      <c r="Y32" s="97" t="s">
        <v>168</v>
      </c>
      <c r="Z32" s="154">
        <v>1014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17273687</v>
      </c>
      <c r="AJ32" s="45">
        <f t="shared" si="7"/>
        <v>1131</v>
      </c>
      <c r="AK32" s="48">
        <f t="shared" si="9"/>
        <v>241.15138592750532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43290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1</v>
      </c>
      <c r="G33" s="118">
        <v>74</v>
      </c>
      <c r="H33" s="150">
        <f t="shared" si="0"/>
        <v>52.112676056338032</v>
      </c>
      <c r="I33" s="150">
        <v>70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100920787</v>
      </c>
      <c r="T33" s="45">
        <f t="shared" si="4"/>
        <v>4770</v>
      </c>
      <c r="U33" s="46">
        <f t="shared" si="5"/>
        <v>114.48</v>
      </c>
      <c r="V33" s="46">
        <f t="shared" si="6"/>
        <v>4.7699999999999996</v>
      </c>
      <c r="W33" s="96">
        <v>2.9</v>
      </c>
      <c r="X33" s="96">
        <f t="shared" si="1"/>
        <v>2.9</v>
      </c>
      <c r="Y33" s="97" t="s">
        <v>168</v>
      </c>
      <c r="Z33" s="154">
        <v>1015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17274845</v>
      </c>
      <c r="AJ33" s="45">
        <f t="shared" si="7"/>
        <v>1158</v>
      </c>
      <c r="AK33" s="48">
        <f t="shared" si="9"/>
        <v>242.76729559748429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43290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0</v>
      </c>
      <c r="G34" s="118">
        <v>77</v>
      </c>
      <c r="H34" s="150">
        <f t="shared" si="0"/>
        <v>54.225352112676056</v>
      </c>
      <c r="I34" s="150">
        <v>71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100925714</v>
      </c>
      <c r="T34" s="45">
        <f t="shared" si="4"/>
        <v>4927</v>
      </c>
      <c r="U34" s="46">
        <f t="shared" si="5"/>
        <v>118.248</v>
      </c>
      <c r="V34" s="46">
        <f t="shared" si="6"/>
        <v>4.9269999999999996</v>
      </c>
      <c r="W34" s="96">
        <v>2.6</v>
      </c>
      <c r="X34" s="96">
        <f t="shared" si="1"/>
        <v>2.6</v>
      </c>
      <c r="Y34" s="97" t="s">
        <v>168</v>
      </c>
      <c r="Z34" s="154">
        <v>1014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17275988</v>
      </c>
      <c r="AJ34" s="45">
        <f t="shared" si="7"/>
        <v>1143</v>
      </c>
      <c r="AK34" s="48">
        <f t="shared" si="9"/>
        <v>231.98701035112646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43290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1</v>
      </c>
      <c r="G35" s="118">
        <v>74</v>
      </c>
      <c r="H35" s="150">
        <f t="shared" si="0"/>
        <v>52.112676056338032</v>
      </c>
      <c r="I35" s="150">
        <v>71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100930696</v>
      </c>
      <c r="T35" s="45">
        <f t="shared" si="4"/>
        <v>4982</v>
      </c>
      <c r="U35" s="46">
        <f t="shared" si="5"/>
        <v>119.568</v>
      </c>
      <c r="V35" s="46">
        <f t="shared" si="6"/>
        <v>4.9820000000000002</v>
      </c>
      <c r="W35" s="96">
        <v>2.7</v>
      </c>
      <c r="X35" s="96">
        <f t="shared" si="1"/>
        <v>2.7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17277060</v>
      </c>
      <c r="AJ35" s="45">
        <f t="shared" si="7"/>
        <v>1072</v>
      </c>
      <c r="AK35" s="48">
        <f t="shared" si="9"/>
        <v>215.17462866318746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43290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75</v>
      </c>
      <c r="H36" s="150">
        <f t="shared" si="0"/>
        <v>52.816901408450704</v>
      </c>
      <c r="I36" s="150">
        <v>72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100935635</v>
      </c>
      <c r="T36" s="45">
        <f t="shared" si="4"/>
        <v>4939</v>
      </c>
      <c r="U36" s="46">
        <f t="shared" si="5"/>
        <v>118.536</v>
      </c>
      <c r="V36" s="46">
        <f t="shared" si="6"/>
        <v>4.9390000000000001</v>
      </c>
      <c r="W36" s="96">
        <v>3.4</v>
      </c>
      <c r="X36" s="96">
        <f t="shared" si="1"/>
        <v>3.4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17278130</v>
      </c>
      <c r="AJ36" s="45">
        <f t="shared" si="7"/>
        <v>1070</v>
      </c>
      <c r="AK36" s="48">
        <f t="shared" si="9"/>
        <v>216.64304515084024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114375</v>
      </c>
      <c r="U37" s="46">
        <f t="shared" si="5"/>
        <v>2745</v>
      </c>
      <c r="V37" s="46">
        <f t="shared" si="6"/>
        <v>114.375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27022</v>
      </c>
      <c r="AK37" s="61">
        <f>$AJ$37/$V37</f>
        <v>236.25792349726777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1.0333333333333334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206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200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207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208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177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M18:M36 L21:L27 K21:K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"/>
    <protectedRange sqref="R3:W3" name="Range1_16_1_1_1_1_1_1_2_2_2_2_2_2_2_2_2_2_2_2_2_2_2_2_2_2_2_2_2_2_2_1_2_2_2_2_2_2_2_2_2_2_3_2_2_2_2_2_2_2_2_2_2_1_1_1_1_2_2_1_1_1_1_1_1_1_1_1_1_1_1_1_1_3_1_2_1_1_1_1_1_1_2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R4:W4" name="Range1_16_1_1_1_1_1_1_2_2_2_2_2_2_2_2_2_2_2_2_2_2_2_2_2_2_2_2_2_2_2_1_2_2_2_2_2_2_2_2_2_2_3_2_2_2_2_2_2_2_2_2_2_1_1_1_1_2_2_1_1_1_1_1_1_1_1_1_1_1_1_1_1_3_1_2_1_1_1_1_1_2_2_2_2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90" priority="5" operator="containsText" text="N/A">
      <formula>NOT(ISERROR(SEARCH("N/A",Z13)))</formula>
    </cfRule>
    <cfRule type="cellIs" dxfId="389" priority="17" operator="equal">
      <formula>0</formula>
    </cfRule>
  </conditionalFormatting>
  <conditionalFormatting sqref="Z13:AG36">
    <cfRule type="cellIs" dxfId="388" priority="16" operator="greaterThanOrEqual">
      <formula>1185</formula>
    </cfRule>
  </conditionalFormatting>
  <conditionalFormatting sqref="Z13:AG36">
    <cfRule type="cellIs" dxfId="387" priority="15" operator="between">
      <formula>0.1</formula>
      <formula>1184</formula>
    </cfRule>
  </conditionalFormatting>
  <conditionalFormatting sqref="Z8:Z9 AT13:AT36 AL37:AQ37 AL13:AR36">
    <cfRule type="cellIs" dxfId="386" priority="14" operator="equal">
      <formula>0</formula>
    </cfRule>
  </conditionalFormatting>
  <conditionalFormatting sqref="Z8:Z9 AT13:AT36 AL37:AQ37 AL13:AR36">
    <cfRule type="cellIs" dxfId="385" priority="13" operator="greaterThan">
      <formula>1179</formula>
    </cfRule>
  </conditionalFormatting>
  <conditionalFormatting sqref="Z8:Z9 AT13:AT36 AL37:AQ37 AL13:AR36">
    <cfRule type="cellIs" dxfId="384" priority="12" operator="greaterThan">
      <formula>99</formula>
    </cfRule>
  </conditionalFormatting>
  <conditionalFormatting sqref="Z8:Z9 AT13:AT36 AL37:AQ37 AL13:AR36">
    <cfRule type="cellIs" dxfId="383" priority="11" operator="greaterThan">
      <formula>0.99</formula>
    </cfRule>
  </conditionalFormatting>
  <conditionalFormatting sqref="AD8:AD9">
    <cfRule type="cellIs" dxfId="382" priority="10" operator="equal">
      <formula>0</formula>
    </cfRule>
  </conditionalFormatting>
  <conditionalFormatting sqref="AD8:AD9">
    <cfRule type="cellIs" dxfId="381" priority="9" operator="greaterThan">
      <formula>1179</formula>
    </cfRule>
  </conditionalFormatting>
  <conditionalFormatting sqref="AD8:AD9">
    <cfRule type="cellIs" dxfId="380" priority="8" operator="greaterThan">
      <formula>99</formula>
    </cfRule>
  </conditionalFormatting>
  <conditionalFormatting sqref="AD8:AD9">
    <cfRule type="cellIs" dxfId="379" priority="7" operator="greaterThan">
      <formula>0.99</formula>
    </cfRule>
  </conditionalFormatting>
  <conditionalFormatting sqref="AK13:AK36">
    <cfRule type="cellIs" dxfId="378" priority="6" operator="greaterThan">
      <formula>$AK$8</formula>
    </cfRule>
  </conditionalFormatting>
  <conditionalFormatting sqref="AS13:AS36">
    <cfRule type="containsText" dxfId="377" priority="1" operator="containsText" text="N/A">
      <formula>NOT(ISERROR(SEARCH("N/A",AS13)))</formula>
    </cfRule>
    <cfRule type="cellIs" dxfId="376" priority="4" operator="equal">
      <formula>0</formula>
    </cfRule>
  </conditionalFormatting>
  <conditionalFormatting sqref="AS13:AS36">
    <cfRule type="cellIs" dxfId="375" priority="3" operator="greaterThanOrEqual">
      <formula>1185</formula>
    </cfRule>
  </conditionalFormatting>
  <conditionalFormatting sqref="AS13:AS36">
    <cfRule type="cellIs" dxfId="374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800-000000000000}">
      <formula1>$BB$11:$BB$42</formula1>
    </dataValidation>
    <dataValidation type="list" allowBlank="1" showInputMessage="1" showErrorMessage="1" sqref="AY33:AZ33" xr:uid="{00000000-0002-0000-0800-000001000000}">
      <formula1>$AY$26:$AY$30</formula1>
    </dataValidation>
    <dataValidation type="list" allowBlank="1" showInputMessage="1" showErrorMessage="1" sqref="AS8:AT9 P11:P12 N11:N12 D8:E9 Q8:V9" xr:uid="{00000000-0002-0000-0800-000002000000}">
      <formula1>#REF!</formula1>
    </dataValidation>
    <dataValidation type="list" allowBlank="1" showInputMessage="1" showErrorMessage="1" sqref="J13:J36" xr:uid="{00000000-0002-0000-0800-000003000000}">
      <formula1>$AY$11:$AY$21</formula1>
    </dataValidation>
  </dataValidations>
  <hyperlinks>
    <hyperlink ref="J10:J11" location="'1'!AH8" display="Plant Status" xr:uid="{00000000-0004-0000-0800-000000000000}"/>
  </hyperlinks>
  <pageMargins left="0.7" right="0.7" top="0.75" bottom="0.75" header="0.3" footer="0.3"/>
  <pageSetup paperSize="9"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7030A0"/>
  </sheetPr>
  <dimension ref="A2:BB88"/>
  <sheetViews>
    <sheetView topLeftCell="A37" zoomScaleNormal="100" workbookViewId="0">
      <selection activeCell="B54" sqref="B54:B55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132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148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11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43291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27271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12" t="s">
        <v>51</v>
      </c>
      <c r="X10" s="212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10" t="s">
        <v>55</v>
      </c>
      <c r="AI10" s="210" t="s">
        <v>56</v>
      </c>
      <c r="AJ10" s="314" t="s">
        <v>57</v>
      </c>
      <c r="AK10" s="329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124</v>
      </c>
      <c r="AR10" s="212" t="s">
        <v>64</v>
      </c>
      <c r="AS10" s="212" t="s">
        <v>65</v>
      </c>
      <c r="AT10" s="312" t="s">
        <v>66</v>
      </c>
      <c r="AU10" s="212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127</v>
      </c>
      <c r="G11" s="212" t="s">
        <v>74</v>
      </c>
      <c r="H11" s="212" t="s">
        <v>75</v>
      </c>
      <c r="I11" s="212" t="s">
        <v>127</v>
      </c>
      <c r="J11" s="309"/>
      <c r="K11" s="212" t="s">
        <v>75</v>
      </c>
      <c r="L11" s="212" t="s">
        <v>75</v>
      </c>
      <c r="M11" s="212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9'!S36</f>
        <v>100935635</v>
      </c>
      <c r="T11" s="322"/>
      <c r="U11" s="323"/>
      <c r="V11" s="324"/>
      <c r="W11" s="212" t="s">
        <v>75</v>
      </c>
      <c r="X11" s="212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9'!AI36</f>
        <v>17278130</v>
      </c>
      <c r="AJ11" s="314"/>
      <c r="AK11" s="330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13"/>
      <c r="AU11" s="213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43291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69</v>
      </c>
      <c r="H13" s="150">
        <f t="shared" ref="H13:H36" si="0">G13/1.42</f>
        <v>48.591549295774648</v>
      </c>
      <c r="I13" s="150">
        <v>76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100940190</v>
      </c>
      <c r="T13" s="45">
        <f>IF(ISBLANK(S13),"-",S13-S11)</f>
        <v>4555</v>
      </c>
      <c r="U13" s="46">
        <f>T13*24/1000</f>
        <v>109.32</v>
      </c>
      <c r="V13" s="46">
        <f>T13/1000</f>
        <v>4.5549999999999997</v>
      </c>
      <c r="W13" s="96">
        <v>5.0999999999999996</v>
      </c>
      <c r="X13" s="96">
        <f t="shared" ref="X13:X36" si="1">W13</f>
        <v>5.0999999999999996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17279221</v>
      </c>
      <c r="AJ13" s="45">
        <f>IF(ISBLANK(AI13),"-",AI13-AI11)</f>
        <v>1091</v>
      </c>
      <c r="AK13" s="48">
        <f>AJ13/V13</f>
        <v>239.51701427003294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43291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71</v>
      </c>
      <c r="H14" s="150">
        <f t="shared" si="0"/>
        <v>50</v>
      </c>
      <c r="I14" s="150">
        <v>77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100944667</v>
      </c>
      <c r="T14" s="45">
        <f t="shared" ref="T14:T36" si="4">IF(ISBLANK(S14),"-",S14-S13)</f>
        <v>4477</v>
      </c>
      <c r="U14" s="46">
        <f t="shared" ref="U14:U37" si="5">T14*24/1000</f>
        <v>107.44799999999999</v>
      </c>
      <c r="V14" s="46">
        <f t="shared" ref="V14:V37" si="6">T14/1000</f>
        <v>4.4770000000000003</v>
      </c>
      <c r="W14" s="96">
        <v>6.5</v>
      </c>
      <c r="X14" s="96">
        <f t="shared" si="1"/>
        <v>6.5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17280311</v>
      </c>
      <c r="AJ14" s="45">
        <f t="shared" ref="AJ14:AJ36" si="7">IF(ISBLANK(AI14),"-",AI14-AI13)</f>
        <v>1090</v>
      </c>
      <c r="AK14" s="48">
        <f>AJ14/V14</f>
        <v>243.46660710297073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0.97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43291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6</v>
      </c>
      <c r="G15" s="118">
        <v>73</v>
      </c>
      <c r="H15" s="150">
        <f t="shared" si="0"/>
        <v>51.408450704225352</v>
      </c>
      <c r="I15" s="150">
        <v>78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100949119</v>
      </c>
      <c r="T15" s="45">
        <f>IF(ISBLANK(S15),"-",S15-S14)</f>
        <v>4452</v>
      </c>
      <c r="U15" s="46">
        <f t="shared" si="5"/>
        <v>106.848</v>
      </c>
      <c r="V15" s="46">
        <f t="shared" si="6"/>
        <v>4.452</v>
      </c>
      <c r="W15" s="96">
        <v>8.1</v>
      </c>
      <c r="X15" s="96">
        <f t="shared" si="1"/>
        <v>8.1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17281404</v>
      </c>
      <c r="AJ15" s="45">
        <f t="shared" si="7"/>
        <v>1093</v>
      </c>
      <c r="AK15" s="48">
        <f t="shared" ref="AK15:AK36" si="9">AJ15/V15</f>
        <v>245.50763701707098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43291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7</v>
      </c>
      <c r="G16" s="118">
        <v>82</v>
      </c>
      <c r="H16" s="150">
        <f t="shared" si="0"/>
        <v>57.74647887323944</v>
      </c>
      <c r="I16" s="150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100953737</v>
      </c>
      <c r="T16" s="45">
        <f t="shared" si="4"/>
        <v>4618</v>
      </c>
      <c r="U16" s="46">
        <f t="shared" si="5"/>
        <v>110.83199999999999</v>
      </c>
      <c r="V16" s="46">
        <f t="shared" si="6"/>
        <v>4.6180000000000003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17282522</v>
      </c>
      <c r="AJ16" s="45">
        <f t="shared" si="7"/>
        <v>1118</v>
      </c>
      <c r="AK16" s="48">
        <f t="shared" si="9"/>
        <v>242.09614551754004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43291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80</v>
      </c>
      <c r="H17" s="150">
        <f t="shared" si="0"/>
        <v>56.338028169014088</v>
      </c>
      <c r="I17" s="150">
        <v>80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100958395</v>
      </c>
      <c r="T17" s="45">
        <f t="shared" si="4"/>
        <v>4658</v>
      </c>
      <c r="U17" s="46">
        <f t="shared" si="5"/>
        <v>111.792</v>
      </c>
      <c r="V17" s="46">
        <f t="shared" si="6"/>
        <v>4.6580000000000004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17283546</v>
      </c>
      <c r="AJ17" s="45">
        <f t="shared" si="7"/>
        <v>1024</v>
      </c>
      <c r="AK17" s="48">
        <f t="shared" si="9"/>
        <v>219.83683984542719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43291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78</v>
      </c>
      <c r="H18" s="150">
        <f t="shared" si="0"/>
        <v>54.929577464788736</v>
      </c>
      <c r="I18" s="150">
        <v>78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100963740</v>
      </c>
      <c r="T18" s="45">
        <f t="shared" si="4"/>
        <v>5345</v>
      </c>
      <c r="U18" s="46">
        <f t="shared" si="5"/>
        <v>128.28</v>
      </c>
      <c r="V18" s="46">
        <f t="shared" si="6"/>
        <v>5.3449999999999998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17284650</v>
      </c>
      <c r="AJ18" s="45">
        <f t="shared" si="7"/>
        <v>1104</v>
      </c>
      <c r="AK18" s="48">
        <f t="shared" si="9"/>
        <v>206.54817586529467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1.0900000000000001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43291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79</v>
      </c>
      <c r="H19" s="150">
        <f t="shared" si="0"/>
        <v>55.633802816901408</v>
      </c>
      <c r="I19" s="150">
        <v>79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100969056</v>
      </c>
      <c r="T19" s="45">
        <f t="shared" si="4"/>
        <v>5316</v>
      </c>
      <c r="U19" s="46">
        <f t="shared" si="5"/>
        <v>127.584</v>
      </c>
      <c r="V19" s="46">
        <f t="shared" si="6"/>
        <v>5.3159999999999998</v>
      </c>
      <c r="W19" s="96">
        <v>9.3000000000000007</v>
      </c>
      <c r="X19" s="96">
        <f t="shared" si="1"/>
        <v>9.3000000000000007</v>
      </c>
      <c r="Y19" s="97" t="s">
        <v>168</v>
      </c>
      <c r="Z19" s="154">
        <v>0</v>
      </c>
      <c r="AA19" s="154">
        <v>1006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17285776</v>
      </c>
      <c r="AJ19" s="45">
        <f t="shared" si="7"/>
        <v>1126</v>
      </c>
      <c r="AK19" s="48">
        <f t="shared" si="9"/>
        <v>211.81339352896916</v>
      </c>
      <c r="AL19" s="151">
        <v>0</v>
      </c>
      <c r="AM19" s="151">
        <v>1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43291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7</v>
      </c>
      <c r="G20" s="118">
        <v>78</v>
      </c>
      <c r="H20" s="150">
        <f t="shared" si="0"/>
        <v>54.929577464788736</v>
      </c>
      <c r="I20" s="150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100974504</v>
      </c>
      <c r="T20" s="45">
        <f t="shared" si="4"/>
        <v>5448</v>
      </c>
      <c r="U20" s="46">
        <f>T20*24/1000</f>
        <v>130.75200000000001</v>
      </c>
      <c r="V20" s="46">
        <f t="shared" si="6"/>
        <v>5.4480000000000004</v>
      </c>
      <c r="W20" s="96">
        <v>8.8000000000000007</v>
      </c>
      <c r="X20" s="96">
        <f t="shared" si="1"/>
        <v>8.8000000000000007</v>
      </c>
      <c r="Y20" s="97" t="s">
        <v>168</v>
      </c>
      <c r="Z20" s="154">
        <v>0</v>
      </c>
      <c r="AA20" s="154">
        <v>1027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17286945</v>
      </c>
      <c r="AJ20" s="45">
        <f t="shared" si="7"/>
        <v>1169</v>
      </c>
      <c r="AK20" s="48">
        <f t="shared" si="9"/>
        <v>214.57415565345079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43291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5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100979403</v>
      </c>
      <c r="T21" s="45">
        <f t="shared" si="4"/>
        <v>4899</v>
      </c>
      <c r="U21" s="46">
        <f t="shared" si="5"/>
        <v>117.57599999999999</v>
      </c>
      <c r="V21" s="46">
        <f t="shared" si="6"/>
        <v>4.899</v>
      </c>
      <c r="W21" s="96">
        <v>8.1999999999999993</v>
      </c>
      <c r="X21" s="96">
        <f t="shared" si="1"/>
        <v>8.1999999999999993</v>
      </c>
      <c r="Y21" s="97" t="s">
        <v>168</v>
      </c>
      <c r="Z21" s="154">
        <v>0</v>
      </c>
      <c r="AA21" s="154">
        <v>1027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17288128</v>
      </c>
      <c r="AJ21" s="45">
        <f t="shared" si="7"/>
        <v>1183</v>
      </c>
      <c r="AK21" s="48">
        <f t="shared" si="9"/>
        <v>241.47785262298427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43291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4</v>
      </c>
      <c r="G22" s="118">
        <v>77</v>
      </c>
      <c r="H22" s="150">
        <f t="shared" si="0"/>
        <v>54.225352112676056</v>
      </c>
      <c r="I22" s="150">
        <v>77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100984200</v>
      </c>
      <c r="T22" s="45">
        <f t="shared" si="4"/>
        <v>4797</v>
      </c>
      <c r="U22" s="46">
        <f t="shared" si="5"/>
        <v>115.128</v>
      </c>
      <c r="V22" s="46">
        <f t="shared" si="6"/>
        <v>4.7969999999999997</v>
      </c>
      <c r="W22" s="96">
        <v>7.5</v>
      </c>
      <c r="X22" s="96">
        <f t="shared" si="1"/>
        <v>7.5</v>
      </c>
      <c r="Y22" s="97" t="s">
        <v>168</v>
      </c>
      <c r="Z22" s="154">
        <v>0</v>
      </c>
      <c r="AA22" s="154">
        <v>1045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17289314</v>
      </c>
      <c r="AJ22" s="45">
        <f t="shared" si="7"/>
        <v>1186</v>
      </c>
      <c r="AK22" s="48">
        <f t="shared" si="9"/>
        <v>247.23785699395458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1.1299999999999999</v>
      </c>
      <c r="AV22" s="50" t="s">
        <v>126</v>
      </c>
      <c r="BB22" s="136" t="s">
        <v>156</v>
      </c>
    </row>
    <row r="23" spans="1:54" x14ac:dyDescent="0.35">
      <c r="A23" s="331">
        <v>43291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3</v>
      </c>
      <c r="G23" s="118">
        <v>77</v>
      </c>
      <c r="H23" s="150">
        <f t="shared" si="0"/>
        <v>54.225352112676056</v>
      </c>
      <c r="I23" s="150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100988737</v>
      </c>
      <c r="T23" s="45">
        <f t="shared" si="4"/>
        <v>4537</v>
      </c>
      <c r="U23" s="46">
        <f t="shared" si="5"/>
        <v>108.88800000000001</v>
      </c>
      <c r="V23" s="46">
        <f t="shared" si="6"/>
        <v>4.5369999999999999</v>
      </c>
      <c r="W23" s="96">
        <v>6.8</v>
      </c>
      <c r="X23" s="96">
        <f>W23</f>
        <v>6.8</v>
      </c>
      <c r="Y23" s="97" t="s">
        <v>168</v>
      </c>
      <c r="Z23" s="154">
        <v>0</v>
      </c>
      <c r="AA23" s="154">
        <v>1046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17290498</v>
      </c>
      <c r="AJ23" s="45">
        <f t="shared" si="7"/>
        <v>1184</v>
      </c>
      <c r="AK23" s="48">
        <f t="shared" si="9"/>
        <v>260.96539563588277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43291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2</v>
      </c>
      <c r="G24" s="118">
        <v>77</v>
      </c>
      <c r="H24" s="150">
        <f t="shared" si="0"/>
        <v>54.225352112676056</v>
      </c>
      <c r="I24" s="150">
        <v>77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100993214</v>
      </c>
      <c r="T24" s="45">
        <f t="shared" si="4"/>
        <v>4477</v>
      </c>
      <c r="U24" s="46">
        <f>T24*24/1000</f>
        <v>107.44799999999999</v>
      </c>
      <c r="V24" s="46">
        <f t="shared" si="6"/>
        <v>4.4770000000000003</v>
      </c>
      <c r="W24" s="96">
        <v>6.2</v>
      </c>
      <c r="X24" s="96">
        <f t="shared" si="1"/>
        <v>6.2</v>
      </c>
      <c r="Y24" s="97" t="s">
        <v>168</v>
      </c>
      <c r="Z24" s="154">
        <v>0</v>
      </c>
      <c r="AA24" s="154">
        <v>1047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17291684</v>
      </c>
      <c r="AJ24" s="45">
        <f t="shared" si="7"/>
        <v>1186</v>
      </c>
      <c r="AK24" s="48">
        <f t="shared" si="9"/>
        <v>264.90953763681034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43291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1</v>
      </c>
      <c r="G25" s="118">
        <v>76</v>
      </c>
      <c r="H25" s="150">
        <f t="shared" si="0"/>
        <v>53.521126760563384</v>
      </c>
      <c r="I25" s="150">
        <v>76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100997667</v>
      </c>
      <c r="T25" s="45">
        <f t="shared" si="4"/>
        <v>4453</v>
      </c>
      <c r="U25" s="46">
        <f>T25*24/1000</f>
        <v>106.872</v>
      </c>
      <c r="V25" s="46">
        <f t="shared" si="6"/>
        <v>4.4530000000000003</v>
      </c>
      <c r="W25" s="96">
        <v>5.6</v>
      </c>
      <c r="X25" s="96">
        <f t="shared" si="1"/>
        <v>5.6</v>
      </c>
      <c r="Y25" s="97" t="s">
        <v>168</v>
      </c>
      <c r="Z25" s="154">
        <v>0</v>
      </c>
      <c r="AA25" s="154">
        <v>1046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17292857</v>
      </c>
      <c r="AJ25" s="45">
        <f t="shared" si="7"/>
        <v>1173</v>
      </c>
      <c r="AK25" s="48">
        <f t="shared" si="9"/>
        <v>263.41792050303167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43291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2</v>
      </c>
      <c r="G26" s="118">
        <v>77</v>
      </c>
      <c r="H26" s="150">
        <f t="shared" si="0"/>
        <v>54.225352112676056</v>
      </c>
      <c r="I26" s="150">
        <v>76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101002332</v>
      </c>
      <c r="T26" s="45">
        <f t="shared" si="4"/>
        <v>4665</v>
      </c>
      <c r="U26" s="46">
        <f t="shared" si="5"/>
        <v>111.96</v>
      </c>
      <c r="V26" s="46">
        <f t="shared" si="6"/>
        <v>4.665</v>
      </c>
      <c r="W26" s="96">
        <v>4.9000000000000004</v>
      </c>
      <c r="X26" s="96">
        <f t="shared" si="1"/>
        <v>4.9000000000000004</v>
      </c>
      <c r="Y26" s="97" t="s">
        <v>168</v>
      </c>
      <c r="Z26" s="154">
        <v>0</v>
      </c>
      <c r="AA26" s="154">
        <v>1047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17294072</v>
      </c>
      <c r="AJ26" s="45">
        <f t="shared" si="7"/>
        <v>1215</v>
      </c>
      <c r="AK26" s="48">
        <f t="shared" si="9"/>
        <v>260.45016077170419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1.1000000000000001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43291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2</v>
      </c>
      <c r="G27" s="118">
        <v>77</v>
      </c>
      <c r="H27" s="150">
        <f t="shared" si="0"/>
        <v>54.225352112676056</v>
      </c>
      <c r="I27" s="150">
        <v>76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101006686</v>
      </c>
      <c r="T27" s="45">
        <f t="shared" si="4"/>
        <v>4354</v>
      </c>
      <c r="U27" s="46">
        <f t="shared" si="5"/>
        <v>104.496</v>
      </c>
      <c r="V27" s="46">
        <f t="shared" si="6"/>
        <v>4.3540000000000001</v>
      </c>
      <c r="W27" s="96">
        <v>4.5</v>
      </c>
      <c r="X27" s="96">
        <f t="shared" si="1"/>
        <v>4.5</v>
      </c>
      <c r="Y27" s="97" t="s">
        <v>168</v>
      </c>
      <c r="Z27" s="154">
        <v>0</v>
      </c>
      <c r="AA27" s="154">
        <v>1015</v>
      </c>
      <c r="AB27" s="154">
        <v>1186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17295189</v>
      </c>
      <c r="AJ27" s="45">
        <f t="shared" si="7"/>
        <v>1117</v>
      </c>
      <c r="AK27" s="48">
        <f t="shared" si="9"/>
        <v>256.54570509875975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43291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2</v>
      </c>
      <c r="G28" s="118">
        <v>76</v>
      </c>
      <c r="H28" s="150">
        <f t="shared" si="0"/>
        <v>53.521126760563384</v>
      </c>
      <c r="I28" s="150">
        <v>75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101011235</v>
      </c>
      <c r="T28" s="45">
        <f t="shared" si="4"/>
        <v>4549</v>
      </c>
      <c r="U28" s="46">
        <f t="shared" si="5"/>
        <v>109.176</v>
      </c>
      <c r="V28" s="46">
        <f t="shared" si="6"/>
        <v>4.5490000000000004</v>
      </c>
      <c r="W28" s="96">
        <v>4.0999999999999996</v>
      </c>
      <c r="X28" s="96">
        <f t="shared" si="1"/>
        <v>4.0999999999999996</v>
      </c>
      <c r="Y28" s="97" t="s">
        <v>168</v>
      </c>
      <c r="Z28" s="154">
        <v>0</v>
      </c>
      <c r="AA28" s="154">
        <v>1016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17296337</v>
      </c>
      <c r="AJ28" s="45">
        <f>IF(ISBLANK(AI28),"-",AI28-AI27)</f>
        <v>1148</v>
      </c>
      <c r="AK28" s="48">
        <f t="shared" si="9"/>
        <v>252.36315673774453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43291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1</v>
      </c>
      <c r="G29" s="118">
        <v>75</v>
      </c>
      <c r="H29" s="150">
        <f t="shared" si="0"/>
        <v>52.816901408450704</v>
      </c>
      <c r="I29" s="150">
        <v>75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101015945</v>
      </c>
      <c r="T29" s="45">
        <f t="shared" si="4"/>
        <v>4710</v>
      </c>
      <c r="U29" s="46">
        <f t="shared" si="5"/>
        <v>113.04</v>
      </c>
      <c r="V29" s="46">
        <f t="shared" si="6"/>
        <v>4.71</v>
      </c>
      <c r="W29" s="96">
        <v>3.6</v>
      </c>
      <c r="X29" s="96">
        <f t="shared" si="1"/>
        <v>3.6</v>
      </c>
      <c r="Y29" s="97" t="s">
        <v>168</v>
      </c>
      <c r="Z29" s="154">
        <v>0</v>
      </c>
      <c r="AA29" s="154">
        <v>1016</v>
      </c>
      <c r="AB29" s="154">
        <v>1186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17297487</v>
      </c>
      <c r="AJ29" s="45">
        <f t="shared" si="7"/>
        <v>1150</v>
      </c>
      <c r="AK29" s="48">
        <f>AJ28/V29</f>
        <v>243.73673036093419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43291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1</v>
      </c>
      <c r="G30" s="118">
        <v>75</v>
      </c>
      <c r="H30" s="150">
        <f t="shared" si="0"/>
        <v>52.816901408450704</v>
      </c>
      <c r="I30" s="150">
        <v>74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101020576</v>
      </c>
      <c r="T30" s="45">
        <f t="shared" si="4"/>
        <v>4631</v>
      </c>
      <c r="U30" s="46">
        <f t="shared" si="5"/>
        <v>111.14400000000001</v>
      </c>
      <c r="V30" s="46">
        <f t="shared" si="6"/>
        <v>4.6310000000000002</v>
      </c>
      <c r="W30" s="96">
        <v>3.3</v>
      </c>
      <c r="X30" s="96">
        <f t="shared" si="1"/>
        <v>3.3</v>
      </c>
      <c r="Y30" s="97" t="s">
        <v>168</v>
      </c>
      <c r="Z30" s="154">
        <v>0</v>
      </c>
      <c r="AA30" s="154">
        <v>1015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17298648</v>
      </c>
      <c r="AJ30" s="45">
        <f t="shared" si="7"/>
        <v>1161</v>
      </c>
      <c r="AK30" s="48">
        <f>AJ29/V30</f>
        <v>248.3264953573742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1.04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43291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0</v>
      </c>
      <c r="G31" s="118">
        <v>74</v>
      </c>
      <c r="H31" s="150">
        <f t="shared" si="0"/>
        <v>52.112676056338032</v>
      </c>
      <c r="I31" s="150">
        <v>73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101025333</v>
      </c>
      <c r="T31" s="45">
        <f t="shared" si="4"/>
        <v>4757</v>
      </c>
      <c r="U31" s="46">
        <f t="shared" si="5"/>
        <v>114.16800000000001</v>
      </c>
      <c r="V31" s="46">
        <f t="shared" si="6"/>
        <v>4.7569999999999997</v>
      </c>
      <c r="W31" s="96">
        <v>2.9</v>
      </c>
      <c r="X31" s="96">
        <f t="shared" si="1"/>
        <v>2.9</v>
      </c>
      <c r="Y31" s="97" t="s">
        <v>168</v>
      </c>
      <c r="Z31" s="154">
        <v>0</v>
      </c>
      <c r="AA31" s="154">
        <v>1015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17299788</v>
      </c>
      <c r="AJ31" s="45">
        <f t="shared" si="7"/>
        <v>1140</v>
      </c>
      <c r="AK31" s="48">
        <f t="shared" si="9"/>
        <v>239.64683624132857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43291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-1</v>
      </c>
      <c r="G32" s="118">
        <v>74</v>
      </c>
      <c r="H32" s="150">
        <f t="shared" si="0"/>
        <v>52.112676056338032</v>
      </c>
      <c r="I32" s="150">
        <v>73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101030134</v>
      </c>
      <c r="T32" s="45">
        <f t="shared" si="4"/>
        <v>4801</v>
      </c>
      <c r="U32" s="46">
        <f t="shared" si="5"/>
        <v>115.224</v>
      </c>
      <c r="V32" s="46">
        <f t="shared" si="6"/>
        <v>4.8010000000000002</v>
      </c>
      <c r="W32" s="96">
        <v>2.5</v>
      </c>
      <c r="X32" s="96">
        <f t="shared" si="1"/>
        <v>2.5</v>
      </c>
      <c r="Y32" s="97" t="s">
        <v>168</v>
      </c>
      <c r="Z32" s="154">
        <v>0</v>
      </c>
      <c r="AA32" s="154">
        <v>1016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17300935</v>
      </c>
      <c r="AJ32" s="45">
        <f t="shared" si="7"/>
        <v>1147</v>
      </c>
      <c r="AK32" s="48">
        <f t="shared" si="9"/>
        <v>238.90856071651737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43291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-2</v>
      </c>
      <c r="G33" s="118">
        <v>74</v>
      </c>
      <c r="H33" s="150">
        <f t="shared" si="0"/>
        <v>52.112676056338032</v>
      </c>
      <c r="I33" s="150">
        <v>73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101035074</v>
      </c>
      <c r="T33" s="45">
        <f t="shared" si="4"/>
        <v>4940</v>
      </c>
      <c r="U33" s="46">
        <f t="shared" si="5"/>
        <v>118.56</v>
      </c>
      <c r="V33" s="46">
        <f t="shared" si="6"/>
        <v>4.9400000000000004</v>
      </c>
      <c r="W33" s="96">
        <v>2.2000000000000002</v>
      </c>
      <c r="X33" s="96">
        <f t="shared" si="1"/>
        <v>2.2000000000000002</v>
      </c>
      <c r="Y33" s="97" t="s">
        <v>168</v>
      </c>
      <c r="Z33" s="154">
        <v>0</v>
      </c>
      <c r="AA33" s="154">
        <v>1015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17302051</v>
      </c>
      <c r="AJ33" s="45">
        <f t="shared" si="7"/>
        <v>1116</v>
      </c>
      <c r="AK33" s="48">
        <f t="shared" si="9"/>
        <v>225.91093117408906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43291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-3</v>
      </c>
      <c r="G34" s="118">
        <v>76</v>
      </c>
      <c r="H34" s="150">
        <f t="shared" si="0"/>
        <v>53.521126760563384</v>
      </c>
      <c r="I34" s="150">
        <v>72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101040376</v>
      </c>
      <c r="T34" s="45">
        <f t="shared" si="4"/>
        <v>5302</v>
      </c>
      <c r="U34" s="46">
        <f t="shared" si="5"/>
        <v>127.248</v>
      </c>
      <c r="V34" s="46">
        <f t="shared" si="6"/>
        <v>5.3019999999999996</v>
      </c>
      <c r="W34" s="96">
        <v>1.9</v>
      </c>
      <c r="X34" s="96">
        <f t="shared" si="1"/>
        <v>1.9</v>
      </c>
      <c r="Y34" s="97" t="s">
        <v>168</v>
      </c>
      <c r="Z34" s="154">
        <v>0</v>
      </c>
      <c r="AA34" s="154">
        <v>1015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17303192</v>
      </c>
      <c r="AJ34" s="45">
        <f t="shared" si="7"/>
        <v>1141</v>
      </c>
      <c r="AK34" s="48">
        <f t="shared" si="9"/>
        <v>215.2018106374953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43291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0</v>
      </c>
      <c r="G35" s="118">
        <v>74</v>
      </c>
      <c r="H35" s="150">
        <f t="shared" si="0"/>
        <v>52.112676056338032</v>
      </c>
      <c r="I35" s="150">
        <v>73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101045743</v>
      </c>
      <c r="T35" s="45">
        <f t="shared" si="4"/>
        <v>5367</v>
      </c>
      <c r="U35" s="46">
        <f t="shared" si="5"/>
        <v>128.80799999999999</v>
      </c>
      <c r="V35" s="46">
        <f t="shared" si="6"/>
        <v>5.367</v>
      </c>
      <c r="W35" s="96">
        <v>2.2000000000000002</v>
      </c>
      <c r="X35" s="96">
        <f t="shared" si="1"/>
        <v>2.2000000000000002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17304258</v>
      </c>
      <c r="AJ35" s="45">
        <f t="shared" si="7"/>
        <v>1066</v>
      </c>
      <c r="AK35" s="48">
        <f t="shared" si="9"/>
        <v>198.6212036519471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43291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/>
      <c r="G36" s="118">
        <v>74</v>
      </c>
      <c r="H36" s="150">
        <f t="shared" si="0"/>
        <v>52.112676056338032</v>
      </c>
      <c r="I36" s="150">
        <v>74</v>
      </c>
      <c r="J36" s="41" t="s">
        <v>88</v>
      </c>
      <c r="K36" s="41">
        <f t="shared" si="3"/>
        <v>47.183098591549296</v>
      </c>
      <c r="L36" s="42">
        <f>(G36-5)/1.42</f>
        <v>48.591549295774648</v>
      </c>
      <c r="M36" s="41">
        <f t="shared" si="12"/>
        <v>52.816901408450704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101050822</v>
      </c>
      <c r="T36" s="45">
        <f t="shared" si="4"/>
        <v>5079</v>
      </c>
      <c r="U36" s="46">
        <f t="shared" si="5"/>
        <v>121.896</v>
      </c>
      <c r="V36" s="46">
        <f t="shared" si="6"/>
        <v>5.0789999999999997</v>
      </c>
      <c r="W36" s="96">
        <v>3</v>
      </c>
      <c r="X36" s="96">
        <f t="shared" si="1"/>
        <v>3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17305401</v>
      </c>
      <c r="AJ36" s="45">
        <f t="shared" si="7"/>
        <v>1143</v>
      </c>
      <c r="AK36" s="48">
        <f t="shared" si="9"/>
        <v>225.04430005906676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115187</v>
      </c>
      <c r="U37" s="46">
        <f t="shared" si="5"/>
        <v>2764.4879999999998</v>
      </c>
      <c r="V37" s="46">
        <f t="shared" si="6"/>
        <v>115.187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27271</v>
      </c>
      <c r="AK37" s="61">
        <f>$AJ$37/$V37</f>
        <v>236.7541476034622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1.0633333333333332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209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179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210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182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177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3" name="Range1_16_1_1_1_1_1_1_2_2_2_2_2_2_2_2_2_2_2_2_2_2_2_2_2_2_2_2_2_2_2_1_2_2_2_2_2_2_2_2_2_2_3_2_2_2_2_2_2_2_2_2_2_1_1_1_1_2_2_1_1_1_1_1_1_1_1_1_1_1_1_1_1_3_1_2_1_1_1_1_1_1_2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R4:W4" name="Range1_16_1_1_1_1_1_1_2_2_2_2_2_2_2_2_2_2_2_2_2_2_2_2_2_2_2_2_2_2_2_1_2_2_2_2_2_2_2_2_2_2_3_2_2_2_2_2_2_2_2_2_2_1_1_1_1_2_2_1_1_1_1_1_1_1_1_1_1_1_1_1_1_3_1_2_1_1_1_1_1_2_2_2_2_1_1_1"/>
    <protectedRange sqref="R5:W5" name="Range1_16_1_1_1_1_1_1_2_2_2_2_2_2_2_2_2_2_2_2_2_2_2_2_2_2_2_2_2_2_2_1_2_2_2_2_2_2_2_2_2_2_3_2_2_2_2_2_2_2_2_2_2_1_1_1_1_2_2_1_1_1_1_1_1_1_1_1_1_3_1_3_2_1_1_1_1_1_2_1_1_1_1_1_2_1_1_2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73" priority="5" operator="containsText" text="N/A">
      <formula>NOT(ISERROR(SEARCH("N/A",Z13)))</formula>
    </cfRule>
    <cfRule type="cellIs" dxfId="372" priority="17" operator="equal">
      <formula>0</formula>
    </cfRule>
  </conditionalFormatting>
  <conditionalFormatting sqref="Z13:AG36">
    <cfRule type="cellIs" dxfId="371" priority="16" operator="greaterThanOrEqual">
      <formula>1185</formula>
    </cfRule>
  </conditionalFormatting>
  <conditionalFormatting sqref="Z13:AG36">
    <cfRule type="cellIs" dxfId="370" priority="15" operator="between">
      <formula>0.1</formula>
      <formula>1184</formula>
    </cfRule>
  </conditionalFormatting>
  <conditionalFormatting sqref="Z8:Z9 AT13:AT36 AL37:AQ37 AL13:AR36">
    <cfRule type="cellIs" dxfId="369" priority="14" operator="equal">
      <formula>0</formula>
    </cfRule>
  </conditionalFormatting>
  <conditionalFormatting sqref="Z8:Z9 AT13:AT36 AL37:AQ37 AL13:AR36">
    <cfRule type="cellIs" dxfId="368" priority="13" operator="greaterThan">
      <formula>1179</formula>
    </cfRule>
  </conditionalFormatting>
  <conditionalFormatting sqref="Z8:Z9 AT13:AT36 AL37:AQ37 AL13:AR36">
    <cfRule type="cellIs" dxfId="367" priority="12" operator="greaterThan">
      <formula>99</formula>
    </cfRule>
  </conditionalFormatting>
  <conditionalFormatting sqref="Z8:Z9 AT13:AT36 AL37:AQ37 AL13:AR36">
    <cfRule type="cellIs" dxfId="366" priority="11" operator="greaterThan">
      <formula>0.99</formula>
    </cfRule>
  </conditionalFormatting>
  <conditionalFormatting sqref="AD8:AD9">
    <cfRule type="cellIs" dxfId="365" priority="10" operator="equal">
      <formula>0</formula>
    </cfRule>
  </conditionalFormatting>
  <conditionalFormatting sqref="AD8:AD9">
    <cfRule type="cellIs" dxfId="364" priority="9" operator="greaterThan">
      <formula>1179</formula>
    </cfRule>
  </conditionalFormatting>
  <conditionalFormatting sqref="AD8:AD9">
    <cfRule type="cellIs" dxfId="363" priority="8" operator="greaterThan">
      <formula>99</formula>
    </cfRule>
  </conditionalFormatting>
  <conditionalFormatting sqref="AD8:AD9">
    <cfRule type="cellIs" dxfId="362" priority="7" operator="greaterThan">
      <formula>0.99</formula>
    </cfRule>
  </conditionalFormatting>
  <conditionalFormatting sqref="AK13:AK36">
    <cfRule type="cellIs" dxfId="361" priority="6" operator="greaterThan">
      <formula>$AK$8</formula>
    </cfRule>
  </conditionalFormatting>
  <conditionalFormatting sqref="AS13:AS36">
    <cfRule type="containsText" dxfId="360" priority="1" operator="containsText" text="N/A">
      <formula>NOT(ISERROR(SEARCH("N/A",AS13)))</formula>
    </cfRule>
    <cfRule type="cellIs" dxfId="359" priority="4" operator="equal">
      <formula>0</formula>
    </cfRule>
  </conditionalFormatting>
  <conditionalFormatting sqref="AS13:AS36">
    <cfRule type="cellIs" dxfId="358" priority="3" operator="greaterThanOrEqual">
      <formula>1185</formula>
    </cfRule>
  </conditionalFormatting>
  <conditionalFormatting sqref="AS13:AS36">
    <cfRule type="cellIs" dxfId="357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900-000000000000}">
      <formula1>$AY$11:$AY$21</formula1>
    </dataValidation>
    <dataValidation type="list" allowBlank="1" showInputMessage="1" showErrorMessage="1" sqref="AS8:AT9 P11:P12 N11:N12 D8:E9 Q8:V9" xr:uid="{00000000-0002-0000-0900-000001000000}">
      <formula1>#REF!</formula1>
    </dataValidation>
    <dataValidation type="list" allowBlank="1" showInputMessage="1" showErrorMessage="1" sqref="AY33:AZ33" xr:uid="{00000000-0002-0000-0900-000002000000}">
      <formula1>$AY$26:$AY$30</formula1>
    </dataValidation>
    <dataValidation type="list" allowBlank="1" showInputMessage="1" showErrorMessage="1" sqref="R3:R5" xr:uid="{00000000-0002-0000-0900-000003000000}">
      <formula1>$BB$11:$BB$42</formula1>
    </dataValidation>
  </dataValidations>
  <hyperlinks>
    <hyperlink ref="J10:J11" location="'1'!AH8" display="Plant Status" xr:uid="{00000000-0004-0000-0900-000000000000}"/>
  </hyperlinks>
  <pageMargins left="0.7" right="0.7" top="0.75" bottom="0.75" header="0.3" footer="0.3"/>
  <pageSetup paperSize="9" orientation="portrait" horizont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30A0"/>
  </sheetPr>
  <dimension ref="A2:BB88"/>
  <sheetViews>
    <sheetView topLeftCell="A37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150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11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43292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27353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12" t="s">
        <v>51</v>
      </c>
      <c r="X10" s="212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10" t="s">
        <v>55</v>
      </c>
      <c r="AI10" s="210" t="s">
        <v>56</v>
      </c>
      <c r="AJ10" s="314" t="s">
        <v>57</v>
      </c>
      <c r="AK10" s="329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124</v>
      </c>
      <c r="AR10" s="212" t="s">
        <v>64</v>
      </c>
      <c r="AS10" s="212" t="s">
        <v>65</v>
      </c>
      <c r="AT10" s="312" t="s">
        <v>66</v>
      </c>
      <c r="AU10" s="212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127</v>
      </c>
      <c r="G11" s="212" t="s">
        <v>74</v>
      </c>
      <c r="H11" s="212" t="s">
        <v>75</v>
      </c>
      <c r="I11" s="212" t="s">
        <v>127</v>
      </c>
      <c r="J11" s="309"/>
      <c r="K11" s="212" t="s">
        <v>75</v>
      </c>
      <c r="L11" s="212" t="s">
        <v>75</v>
      </c>
      <c r="M11" s="212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10'!S36</f>
        <v>101050822</v>
      </c>
      <c r="T11" s="322"/>
      <c r="U11" s="323"/>
      <c r="V11" s="324"/>
      <c r="W11" s="212" t="s">
        <v>75</v>
      </c>
      <c r="X11" s="212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10'!AI36</f>
        <v>17305401</v>
      </c>
      <c r="AJ11" s="314"/>
      <c r="AK11" s="330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13"/>
      <c r="AU11" s="213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43292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70</v>
      </c>
      <c r="H13" s="150">
        <f t="shared" ref="H13:H36" si="0">G13/1.42</f>
        <v>49.295774647887328</v>
      </c>
      <c r="I13" s="150">
        <v>76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101055457</v>
      </c>
      <c r="T13" s="45">
        <f>IF(ISBLANK(S13),"-",S13-S11)</f>
        <v>4635</v>
      </c>
      <c r="U13" s="46">
        <f>T13*24/1000</f>
        <v>111.24</v>
      </c>
      <c r="V13" s="46">
        <f>T13/1000</f>
        <v>4.6349999999999998</v>
      </c>
      <c r="W13" s="96">
        <v>4.5</v>
      </c>
      <c r="X13" s="96">
        <f t="shared" ref="X13:X36" si="1">W13</f>
        <v>4.5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17306488</v>
      </c>
      <c r="AJ13" s="45">
        <f>IF(ISBLANK(AI13),"-",AI13-AI11)</f>
        <v>1087</v>
      </c>
      <c r="AK13" s="48">
        <f>AJ13/V13</f>
        <v>234.51995685005394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43292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72</v>
      </c>
      <c r="H14" s="150">
        <f t="shared" si="0"/>
        <v>50.70422535211268</v>
      </c>
      <c r="I14" s="150">
        <v>77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101060251</v>
      </c>
      <c r="T14" s="45">
        <f t="shared" ref="T14:T36" si="4">IF(ISBLANK(S14),"-",S14-S13)</f>
        <v>4794</v>
      </c>
      <c r="U14" s="46">
        <f t="shared" ref="U14:U37" si="5">T14*24/1000</f>
        <v>115.056</v>
      </c>
      <c r="V14" s="46">
        <f t="shared" ref="V14:V37" si="6">T14/1000</f>
        <v>4.7939999999999996</v>
      </c>
      <c r="W14" s="96">
        <v>5.9</v>
      </c>
      <c r="X14" s="96">
        <f t="shared" si="1"/>
        <v>5.9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17307585</v>
      </c>
      <c r="AJ14" s="45">
        <f t="shared" ref="AJ14:AJ36" si="7">IF(ISBLANK(AI14),"-",AI14-AI13)</f>
        <v>1097</v>
      </c>
      <c r="AK14" s="48">
        <f>AJ14/V14</f>
        <v>228.8277012932833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1.0900000000000001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43292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6</v>
      </c>
      <c r="G15" s="118">
        <v>73</v>
      </c>
      <c r="H15" s="150">
        <f t="shared" si="0"/>
        <v>51.408450704225352</v>
      </c>
      <c r="I15" s="150">
        <v>78</v>
      </c>
      <c r="J15" s="41" t="s">
        <v>88</v>
      </c>
      <c r="K15" s="41">
        <f t="shared" si="3"/>
        <v>46.478873239436624</v>
      </c>
      <c r="L15" s="42">
        <f>(G15-5)/1.42</f>
        <v>47.887323943661976</v>
      </c>
      <c r="M15" s="41">
        <f>L15+(6/1.42)</f>
        <v>52.112676056338032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101064915</v>
      </c>
      <c r="T15" s="45">
        <f>IF(ISBLANK(S15),"-",S15-S14)</f>
        <v>4664</v>
      </c>
      <c r="U15" s="46">
        <f t="shared" si="5"/>
        <v>111.93600000000001</v>
      </c>
      <c r="V15" s="46">
        <f t="shared" si="6"/>
        <v>4.6639999999999997</v>
      </c>
      <c r="W15" s="96">
        <v>7.4</v>
      </c>
      <c r="X15" s="96">
        <f t="shared" si="1"/>
        <v>7.4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17308650</v>
      </c>
      <c r="AJ15" s="45">
        <f t="shared" si="7"/>
        <v>1065</v>
      </c>
      <c r="AK15" s="48">
        <f t="shared" ref="AK15:AK36" si="9">AJ15/V15</f>
        <v>228.34476843910807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43292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7</v>
      </c>
      <c r="G16" s="118">
        <v>70</v>
      </c>
      <c r="H16" s="150">
        <f t="shared" si="0"/>
        <v>49.295774647887328</v>
      </c>
      <c r="I16" s="150">
        <v>79</v>
      </c>
      <c r="J16" s="41" t="s">
        <v>88</v>
      </c>
      <c r="K16" s="41">
        <f t="shared" si="3"/>
        <v>44.366197183098592</v>
      </c>
      <c r="L16" s="42">
        <f>(G16-5)/1.42</f>
        <v>45.774647887323944</v>
      </c>
      <c r="M16" s="41">
        <f>L16+(6/1.42)</f>
        <v>50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101069715</v>
      </c>
      <c r="T16" s="45">
        <f t="shared" si="4"/>
        <v>4800</v>
      </c>
      <c r="U16" s="46">
        <f t="shared" si="5"/>
        <v>115.2</v>
      </c>
      <c r="V16" s="46">
        <f t="shared" si="6"/>
        <v>4.8</v>
      </c>
      <c r="W16" s="96">
        <v>9</v>
      </c>
      <c r="X16" s="96">
        <f t="shared" si="1"/>
        <v>9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17309699</v>
      </c>
      <c r="AJ16" s="45">
        <f t="shared" si="7"/>
        <v>1049</v>
      </c>
      <c r="AK16" s="48">
        <f t="shared" si="9"/>
        <v>218.54166666666669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43292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9</v>
      </c>
      <c r="G17" s="118">
        <v>80</v>
      </c>
      <c r="H17" s="150">
        <f t="shared" si="0"/>
        <v>56.338028169014088</v>
      </c>
      <c r="I17" s="150">
        <v>80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101074568</v>
      </c>
      <c r="T17" s="45">
        <f t="shared" si="4"/>
        <v>4853</v>
      </c>
      <c r="U17" s="46">
        <f t="shared" si="5"/>
        <v>116.47199999999999</v>
      </c>
      <c r="V17" s="46">
        <f t="shared" si="6"/>
        <v>4.8529999999999998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17310851</v>
      </c>
      <c r="AJ17" s="45">
        <f t="shared" si="7"/>
        <v>1152</v>
      </c>
      <c r="AK17" s="48">
        <f t="shared" si="9"/>
        <v>237.37894086132292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43292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78</v>
      </c>
      <c r="H18" s="150">
        <f t="shared" si="0"/>
        <v>54.929577464788736</v>
      </c>
      <c r="I18" s="150">
        <v>76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101080040</v>
      </c>
      <c r="T18" s="45">
        <f t="shared" si="4"/>
        <v>5472</v>
      </c>
      <c r="U18" s="46">
        <f t="shared" si="5"/>
        <v>131.328</v>
      </c>
      <c r="V18" s="46">
        <f t="shared" si="6"/>
        <v>5.4720000000000004</v>
      </c>
      <c r="W18" s="96">
        <v>9.3000000000000007</v>
      </c>
      <c r="X18" s="96">
        <f t="shared" si="1"/>
        <v>9.3000000000000007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17311960</v>
      </c>
      <c r="AJ18" s="45">
        <f t="shared" si="7"/>
        <v>1109</v>
      </c>
      <c r="AK18" s="48">
        <f t="shared" si="9"/>
        <v>202.66812865497076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0.98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43292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77</v>
      </c>
      <c r="H19" s="150">
        <f t="shared" si="0"/>
        <v>54.225352112676056</v>
      </c>
      <c r="I19" s="150">
        <v>75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101085402</v>
      </c>
      <c r="T19" s="45">
        <f t="shared" si="4"/>
        <v>5362</v>
      </c>
      <c r="U19" s="46">
        <f t="shared" si="5"/>
        <v>128.68799999999999</v>
      </c>
      <c r="V19" s="46">
        <f t="shared" si="6"/>
        <v>5.3620000000000001</v>
      </c>
      <c r="W19" s="96">
        <v>8.8000000000000007</v>
      </c>
      <c r="X19" s="96">
        <f t="shared" si="1"/>
        <v>8.8000000000000007</v>
      </c>
      <c r="Y19" s="97" t="s">
        <v>168</v>
      </c>
      <c r="Z19" s="154">
        <v>1016</v>
      </c>
      <c r="AA19" s="154">
        <v>0</v>
      </c>
      <c r="AB19" s="154">
        <v>1186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17313092</v>
      </c>
      <c r="AJ19" s="45">
        <f t="shared" si="7"/>
        <v>1132</v>
      </c>
      <c r="AK19" s="48">
        <f t="shared" si="9"/>
        <v>211.11525550167846</v>
      </c>
      <c r="AL19" s="151">
        <v>1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43292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7</v>
      </c>
      <c r="G20" s="118">
        <v>76</v>
      </c>
      <c r="H20" s="150">
        <f t="shared" si="0"/>
        <v>53.521126760563384</v>
      </c>
      <c r="I20" s="150">
        <v>74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101090235</v>
      </c>
      <c r="T20" s="45">
        <f t="shared" si="4"/>
        <v>4833</v>
      </c>
      <c r="U20" s="46">
        <f>T20*24/1000</f>
        <v>115.992</v>
      </c>
      <c r="V20" s="46">
        <f t="shared" si="6"/>
        <v>4.8330000000000002</v>
      </c>
      <c r="W20" s="96">
        <v>8.3000000000000007</v>
      </c>
      <c r="X20" s="96">
        <f t="shared" si="1"/>
        <v>8.3000000000000007</v>
      </c>
      <c r="Y20" s="97" t="s">
        <v>168</v>
      </c>
      <c r="Z20" s="154">
        <v>1017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17314264</v>
      </c>
      <c r="AJ20" s="45">
        <f t="shared" si="7"/>
        <v>1172</v>
      </c>
      <c r="AK20" s="48">
        <f t="shared" si="9"/>
        <v>242.4994827229464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43292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6</v>
      </c>
      <c r="G21" s="118">
        <v>75</v>
      </c>
      <c r="H21" s="150">
        <f t="shared" si="0"/>
        <v>52.816901408450704</v>
      </c>
      <c r="I21" s="150">
        <v>73</v>
      </c>
      <c r="J21" s="41" t="s">
        <v>88</v>
      </c>
      <c r="K21" s="41">
        <f t="shared" si="3"/>
        <v>51.408450704225352</v>
      </c>
      <c r="L21" s="42">
        <f t="shared" si="10"/>
        <v>52.816901408450704</v>
      </c>
      <c r="M21" s="41">
        <f t="shared" si="11"/>
        <v>54.236901408450706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101094857</v>
      </c>
      <c r="T21" s="45">
        <f t="shared" si="4"/>
        <v>4622</v>
      </c>
      <c r="U21" s="46">
        <f t="shared" si="5"/>
        <v>110.928</v>
      </c>
      <c r="V21" s="46">
        <f t="shared" si="6"/>
        <v>4.6219999999999999</v>
      </c>
      <c r="W21" s="96">
        <v>7.7</v>
      </c>
      <c r="X21" s="96">
        <f t="shared" si="1"/>
        <v>7.7</v>
      </c>
      <c r="Y21" s="97" t="s">
        <v>168</v>
      </c>
      <c r="Z21" s="154">
        <v>1016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17315449</v>
      </c>
      <c r="AJ21" s="45">
        <f t="shared" si="7"/>
        <v>1185</v>
      </c>
      <c r="AK21" s="48">
        <f t="shared" si="9"/>
        <v>256.38251839030721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43292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5</v>
      </c>
      <c r="G22" s="118">
        <v>76</v>
      </c>
      <c r="H22" s="150">
        <f t="shared" si="0"/>
        <v>53.521126760563384</v>
      </c>
      <c r="I22" s="150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101099289</v>
      </c>
      <c r="T22" s="45">
        <f t="shared" si="4"/>
        <v>4432</v>
      </c>
      <c r="U22" s="46">
        <f t="shared" si="5"/>
        <v>106.36799999999999</v>
      </c>
      <c r="V22" s="46">
        <f t="shared" si="6"/>
        <v>4.4320000000000004</v>
      </c>
      <c r="W22" s="96">
        <v>7.1</v>
      </c>
      <c r="X22" s="96">
        <f t="shared" si="1"/>
        <v>7.1</v>
      </c>
      <c r="Y22" s="97" t="s">
        <v>168</v>
      </c>
      <c r="Z22" s="154">
        <v>1036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17316627</v>
      </c>
      <c r="AJ22" s="45">
        <f t="shared" si="7"/>
        <v>1178</v>
      </c>
      <c r="AK22" s="48">
        <f t="shared" si="9"/>
        <v>265.79422382671476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1.03</v>
      </c>
      <c r="AV22" s="50" t="s">
        <v>126</v>
      </c>
      <c r="BB22" s="136" t="s">
        <v>156</v>
      </c>
    </row>
    <row r="23" spans="1:54" x14ac:dyDescent="0.35">
      <c r="A23" s="331">
        <v>43292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4</v>
      </c>
      <c r="G23" s="118">
        <v>76</v>
      </c>
      <c r="H23" s="150">
        <f t="shared" si="0"/>
        <v>53.521126760563384</v>
      </c>
      <c r="I23" s="150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101103785</v>
      </c>
      <c r="T23" s="45">
        <f t="shared" si="4"/>
        <v>4496</v>
      </c>
      <c r="U23" s="46">
        <f t="shared" si="5"/>
        <v>107.904</v>
      </c>
      <c r="V23" s="46">
        <f t="shared" si="6"/>
        <v>4.4960000000000004</v>
      </c>
      <c r="W23" s="96">
        <v>6.5</v>
      </c>
      <c r="X23" s="96">
        <f>W23</f>
        <v>6.5</v>
      </c>
      <c r="Y23" s="97" t="s">
        <v>168</v>
      </c>
      <c r="Z23" s="154">
        <v>1037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17317798</v>
      </c>
      <c r="AJ23" s="45">
        <f t="shared" si="7"/>
        <v>1171</v>
      </c>
      <c r="AK23" s="48">
        <f t="shared" si="9"/>
        <v>260.45373665480423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43292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75</v>
      </c>
      <c r="H24" s="150">
        <f t="shared" si="0"/>
        <v>52.816901408450704</v>
      </c>
      <c r="I24" s="150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101108280</v>
      </c>
      <c r="T24" s="45">
        <f t="shared" si="4"/>
        <v>4495</v>
      </c>
      <c r="U24" s="46">
        <f>T24*24/1000</f>
        <v>107.88</v>
      </c>
      <c r="V24" s="46">
        <f t="shared" si="6"/>
        <v>4.4950000000000001</v>
      </c>
      <c r="W24" s="96">
        <v>5.9</v>
      </c>
      <c r="X24" s="96">
        <f t="shared" si="1"/>
        <v>5.9</v>
      </c>
      <c r="Y24" s="97" t="s">
        <v>168</v>
      </c>
      <c r="Z24" s="154">
        <v>1037</v>
      </c>
      <c r="AA24" s="154">
        <v>0</v>
      </c>
      <c r="AB24" s="154">
        <v>1186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17318991</v>
      </c>
      <c r="AJ24" s="45">
        <f t="shared" si="7"/>
        <v>1193</v>
      </c>
      <c r="AK24" s="48">
        <f t="shared" si="9"/>
        <v>265.40600667408233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43292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3</v>
      </c>
      <c r="G25" s="118">
        <v>74</v>
      </c>
      <c r="H25" s="150">
        <f t="shared" si="0"/>
        <v>52.112676056338032</v>
      </c>
      <c r="I25" s="150">
        <v>72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101112758</v>
      </c>
      <c r="T25" s="45">
        <f t="shared" si="4"/>
        <v>4478</v>
      </c>
      <c r="U25" s="46">
        <f>T25*24/1000</f>
        <v>107.47199999999999</v>
      </c>
      <c r="V25" s="46">
        <f t="shared" si="6"/>
        <v>4.4779999999999998</v>
      </c>
      <c r="W25" s="96">
        <v>5.3</v>
      </c>
      <c r="X25" s="96">
        <f t="shared" si="1"/>
        <v>5.3</v>
      </c>
      <c r="Y25" s="97" t="s">
        <v>168</v>
      </c>
      <c r="Z25" s="154">
        <v>1017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17320164</v>
      </c>
      <c r="AJ25" s="45">
        <f t="shared" si="7"/>
        <v>1173</v>
      </c>
      <c r="AK25" s="48">
        <f t="shared" si="9"/>
        <v>261.94729790084858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43292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2</v>
      </c>
      <c r="G26" s="118">
        <v>75</v>
      </c>
      <c r="H26" s="150">
        <f t="shared" si="0"/>
        <v>52.816901408450704</v>
      </c>
      <c r="I26" s="150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101117145</v>
      </c>
      <c r="T26" s="45">
        <f t="shared" si="4"/>
        <v>4387</v>
      </c>
      <c r="U26" s="46">
        <f t="shared" si="5"/>
        <v>105.288</v>
      </c>
      <c r="V26" s="46">
        <f t="shared" si="6"/>
        <v>4.3869999999999996</v>
      </c>
      <c r="W26" s="96">
        <v>4.9000000000000004</v>
      </c>
      <c r="X26" s="96">
        <f t="shared" si="1"/>
        <v>4.9000000000000004</v>
      </c>
      <c r="Y26" s="97" t="s">
        <v>168</v>
      </c>
      <c r="Z26" s="154">
        <v>1015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17321326</v>
      </c>
      <c r="AJ26" s="45">
        <f t="shared" si="7"/>
        <v>1162</v>
      </c>
      <c r="AK26" s="48">
        <f t="shared" si="9"/>
        <v>264.87348985639392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1.05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43292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1</v>
      </c>
      <c r="G27" s="118">
        <v>76</v>
      </c>
      <c r="H27" s="150">
        <f t="shared" si="0"/>
        <v>53.521126760563384</v>
      </c>
      <c r="I27" s="150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101121497</v>
      </c>
      <c r="T27" s="45">
        <f t="shared" si="4"/>
        <v>4352</v>
      </c>
      <c r="U27" s="46">
        <f t="shared" si="5"/>
        <v>104.44799999999999</v>
      </c>
      <c r="V27" s="46">
        <f t="shared" si="6"/>
        <v>4.3520000000000003</v>
      </c>
      <c r="W27" s="96">
        <v>4.5</v>
      </c>
      <c r="X27" s="96">
        <f t="shared" si="1"/>
        <v>4.5</v>
      </c>
      <c r="Y27" s="97" t="s">
        <v>168</v>
      </c>
      <c r="Z27" s="154">
        <v>1016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17322456</v>
      </c>
      <c r="AJ27" s="45">
        <f t="shared" si="7"/>
        <v>1130</v>
      </c>
      <c r="AK27" s="48">
        <f t="shared" si="9"/>
        <v>259.65073529411762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43292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0</v>
      </c>
      <c r="G28" s="118">
        <v>76</v>
      </c>
      <c r="H28" s="150">
        <f t="shared" si="0"/>
        <v>53.521126760563384</v>
      </c>
      <c r="I28" s="150">
        <v>75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101126334</v>
      </c>
      <c r="T28" s="45">
        <f t="shared" si="4"/>
        <v>4837</v>
      </c>
      <c r="U28" s="46">
        <f t="shared" si="5"/>
        <v>116.08799999999999</v>
      </c>
      <c r="V28" s="46">
        <f t="shared" si="6"/>
        <v>4.8369999999999997</v>
      </c>
      <c r="W28" s="96">
        <v>4</v>
      </c>
      <c r="X28" s="96">
        <f t="shared" si="1"/>
        <v>4</v>
      </c>
      <c r="Y28" s="97" t="s">
        <v>168</v>
      </c>
      <c r="Z28" s="154">
        <v>1016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17323673</v>
      </c>
      <c r="AJ28" s="45">
        <f>IF(ISBLANK(AI28),"-",AI28-AI27)</f>
        <v>1217</v>
      </c>
      <c r="AK28" s="48">
        <f t="shared" si="9"/>
        <v>251.60223278891877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43292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0</v>
      </c>
      <c r="G29" s="118">
        <v>75</v>
      </c>
      <c r="H29" s="150">
        <f t="shared" si="0"/>
        <v>52.816901408450704</v>
      </c>
      <c r="I29" s="150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101130665</v>
      </c>
      <c r="T29" s="45">
        <f t="shared" si="4"/>
        <v>4331</v>
      </c>
      <c r="U29" s="46">
        <f t="shared" si="5"/>
        <v>103.944</v>
      </c>
      <c r="V29" s="46">
        <f t="shared" si="6"/>
        <v>4.3310000000000004</v>
      </c>
      <c r="W29" s="96">
        <v>3.7</v>
      </c>
      <c r="X29" s="96">
        <f t="shared" si="1"/>
        <v>3.7</v>
      </c>
      <c r="Y29" s="97" t="s">
        <v>168</v>
      </c>
      <c r="Z29" s="154">
        <v>1004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17324765</v>
      </c>
      <c r="AJ29" s="45">
        <f t="shared" si="7"/>
        <v>1092</v>
      </c>
      <c r="AK29" s="48">
        <f>AJ28/V29</f>
        <v>280.99746017086119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43292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-1</v>
      </c>
      <c r="G30" s="118">
        <v>75</v>
      </c>
      <c r="H30" s="150">
        <f t="shared" si="0"/>
        <v>52.816901408450704</v>
      </c>
      <c r="I30" s="150">
        <v>72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101135515</v>
      </c>
      <c r="T30" s="45">
        <f t="shared" si="4"/>
        <v>4850</v>
      </c>
      <c r="U30" s="46">
        <f t="shared" si="5"/>
        <v>116.4</v>
      </c>
      <c r="V30" s="46">
        <f t="shared" si="6"/>
        <v>4.8499999999999996</v>
      </c>
      <c r="W30" s="96">
        <v>3.4</v>
      </c>
      <c r="X30" s="96">
        <f t="shared" si="1"/>
        <v>3.4</v>
      </c>
      <c r="Y30" s="97" t="s">
        <v>168</v>
      </c>
      <c r="Z30" s="154">
        <v>1006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17325956</v>
      </c>
      <c r="AJ30" s="45">
        <f t="shared" si="7"/>
        <v>1191</v>
      </c>
      <c r="AK30" s="48">
        <f>AJ29/V30</f>
        <v>225.15463917525776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0.95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43292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-2</v>
      </c>
      <c r="G31" s="118">
        <v>74</v>
      </c>
      <c r="H31" s="150">
        <f t="shared" si="0"/>
        <v>52.112676056338032</v>
      </c>
      <c r="I31" s="150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101140085</v>
      </c>
      <c r="T31" s="45">
        <f t="shared" si="4"/>
        <v>4570</v>
      </c>
      <c r="U31" s="46">
        <f t="shared" si="5"/>
        <v>109.68</v>
      </c>
      <c r="V31" s="46">
        <f t="shared" si="6"/>
        <v>4.57</v>
      </c>
      <c r="W31" s="96">
        <v>3.1</v>
      </c>
      <c r="X31" s="96">
        <f t="shared" si="1"/>
        <v>3.1</v>
      </c>
      <c r="Y31" s="97" t="s">
        <v>168</v>
      </c>
      <c r="Z31" s="154">
        <v>1005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17327044</v>
      </c>
      <c r="AJ31" s="45">
        <f t="shared" si="7"/>
        <v>1088</v>
      </c>
      <c r="AK31" s="48">
        <f t="shared" si="9"/>
        <v>238.07439824945294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43292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-2</v>
      </c>
      <c r="G32" s="118">
        <v>74</v>
      </c>
      <c r="H32" s="150">
        <f t="shared" si="0"/>
        <v>52.112676056338032</v>
      </c>
      <c r="I32" s="150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101144899</v>
      </c>
      <c r="T32" s="45">
        <f t="shared" si="4"/>
        <v>4814</v>
      </c>
      <c r="U32" s="46">
        <f t="shared" si="5"/>
        <v>115.536</v>
      </c>
      <c r="V32" s="46">
        <f t="shared" si="6"/>
        <v>4.8140000000000001</v>
      </c>
      <c r="W32" s="96">
        <v>2.8</v>
      </c>
      <c r="X32" s="96">
        <f t="shared" si="1"/>
        <v>2.8</v>
      </c>
      <c r="Y32" s="97" t="s">
        <v>168</v>
      </c>
      <c r="Z32" s="154">
        <v>1015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17328187</v>
      </c>
      <c r="AJ32" s="45">
        <f t="shared" si="7"/>
        <v>1143</v>
      </c>
      <c r="AK32" s="48">
        <f t="shared" si="9"/>
        <v>237.43248857498961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43292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-3</v>
      </c>
      <c r="G33" s="118">
        <v>74</v>
      </c>
      <c r="H33" s="150">
        <f t="shared" si="0"/>
        <v>52.112676056338032</v>
      </c>
      <c r="I33" s="150">
        <v>72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101149729</v>
      </c>
      <c r="T33" s="45">
        <f t="shared" si="4"/>
        <v>4830</v>
      </c>
      <c r="U33" s="46">
        <f t="shared" si="5"/>
        <v>115.92</v>
      </c>
      <c r="V33" s="46">
        <f t="shared" si="6"/>
        <v>4.83</v>
      </c>
      <c r="W33" s="96">
        <v>2.5</v>
      </c>
      <c r="X33" s="96">
        <f t="shared" si="1"/>
        <v>2.5</v>
      </c>
      <c r="Y33" s="97" t="s">
        <v>168</v>
      </c>
      <c r="Z33" s="154">
        <v>1016</v>
      </c>
      <c r="AA33" s="154">
        <v>0</v>
      </c>
      <c r="AB33" s="154">
        <v>1186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17329296</v>
      </c>
      <c r="AJ33" s="45">
        <f t="shared" si="7"/>
        <v>1109</v>
      </c>
      <c r="AK33" s="48">
        <f t="shared" si="9"/>
        <v>229.60662525879917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43292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-5</v>
      </c>
      <c r="G34" s="118">
        <v>76</v>
      </c>
      <c r="H34" s="150">
        <f t="shared" si="0"/>
        <v>53.521126760563384</v>
      </c>
      <c r="I34" s="150">
        <v>74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101155535</v>
      </c>
      <c r="T34" s="45">
        <f t="shared" si="4"/>
        <v>5806</v>
      </c>
      <c r="U34" s="46">
        <f t="shared" si="5"/>
        <v>139.34399999999999</v>
      </c>
      <c r="V34" s="46">
        <f t="shared" si="6"/>
        <v>5.806</v>
      </c>
      <c r="W34" s="96">
        <v>2.2000000000000002</v>
      </c>
      <c r="X34" s="96">
        <f t="shared" si="1"/>
        <v>2.2000000000000002</v>
      </c>
      <c r="Y34" s="97" t="s">
        <v>168</v>
      </c>
      <c r="Z34" s="154">
        <v>1025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17330513</v>
      </c>
      <c r="AJ34" s="45">
        <f t="shared" si="7"/>
        <v>1217</v>
      </c>
      <c r="AK34" s="48">
        <f t="shared" si="9"/>
        <v>209.61074750258354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0.84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43292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-5</v>
      </c>
      <c r="G35" s="118">
        <v>73</v>
      </c>
      <c r="H35" s="150">
        <f t="shared" si="0"/>
        <v>51.408450704225352</v>
      </c>
      <c r="I35" s="150">
        <v>70</v>
      </c>
      <c r="J35" s="41" t="s">
        <v>88</v>
      </c>
      <c r="K35" s="41">
        <f>L35-(2/1.42)</f>
        <v>46.478873239436624</v>
      </c>
      <c r="L35" s="42">
        <f>(G35-5)/1.42</f>
        <v>47.887323943661976</v>
      </c>
      <c r="M35" s="41">
        <f t="shared" si="12"/>
        <v>52.112676056338032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101160665</v>
      </c>
      <c r="T35" s="45">
        <f t="shared" si="4"/>
        <v>5130</v>
      </c>
      <c r="U35" s="46">
        <f t="shared" si="5"/>
        <v>123.12</v>
      </c>
      <c r="V35" s="46">
        <f t="shared" si="6"/>
        <v>5.13</v>
      </c>
      <c r="W35" s="96">
        <v>2.5</v>
      </c>
      <c r="X35" s="96">
        <f t="shared" si="1"/>
        <v>2.5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17331621</v>
      </c>
      <c r="AJ35" s="45">
        <f t="shared" si="7"/>
        <v>1108</v>
      </c>
      <c r="AK35" s="48">
        <f t="shared" si="9"/>
        <v>215.98440545808967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43292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68</v>
      </c>
      <c r="H36" s="150">
        <f t="shared" si="0"/>
        <v>47.887323943661976</v>
      </c>
      <c r="I36" s="150">
        <v>66</v>
      </c>
      <c r="J36" s="41" t="s">
        <v>88</v>
      </c>
      <c r="K36" s="41">
        <f t="shared" si="3"/>
        <v>42.95774647887324</v>
      </c>
      <c r="L36" s="42">
        <f>(G36-5)/1.42</f>
        <v>44.366197183098592</v>
      </c>
      <c r="M36" s="41">
        <f t="shared" si="12"/>
        <v>48.591549295774648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101165318</v>
      </c>
      <c r="T36" s="45">
        <f t="shared" si="4"/>
        <v>4653</v>
      </c>
      <c r="U36" s="46">
        <f t="shared" si="5"/>
        <v>111.672</v>
      </c>
      <c r="V36" s="46">
        <f t="shared" si="6"/>
        <v>4.6529999999999996</v>
      </c>
      <c r="W36" s="96">
        <v>4</v>
      </c>
      <c r="X36" s="96">
        <f t="shared" si="1"/>
        <v>4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17332754</v>
      </c>
      <c r="AJ36" s="45">
        <f t="shared" si="7"/>
        <v>1133</v>
      </c>
      <c r="AK36" s="48">
        <f t="shared" si="9"/>
        <v>243.49881796690309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114496</v>
      </c>
      <c r="U37" s="46">
        <f t="shared" si="5"/>
        <v>2747.904</v>
      </c>
      <c r="V37" s="46">
        <f t="shared" si="6"/>
        <v>114.496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27353</v>
      </c>
      <c r="AK37" s="61">
        <f>$AJ$37/$V37</f>
        <v>238.89917551704863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0.9900000000000001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211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184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212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213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177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4" name="Range1_16_1_1_1_1_1_1_2_2_2_2_2_2_2_2_2_2_2_2_2_2_2_2_2_2_2_2_2_2_2_1_2_2_2_2_2_2_2_2_2_2_3_2_2_2_2_2_2_2_2_2_2_1_1_1_1_2_2_1_1_1_1_1_1_1_1_1_1_1_1_1_1_3_1_2_1_1_1_1_1_1_2_1_1_1_1_1"/>
    <protectedRange sqref="R5:W5" name="Range1_16_1_1_1_1_1_1_2_2_2_2_2_2_2_2_2_2_2_2_2_2_2_2_2_2_2_2_2_2_2_1_2_2_2_2_2_2_2_2_2_2_3_2_2_2_2_2_2_2_2_2_2_1_1_1_1_2_2_1_1_1_1_1_1_1_1_1_1_3_1_3_2_1_1_1_1_1_2_1_1_1_1_1_2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3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56" priority="5" operator="containsText" text="N/A">
      <formula>NOT(ISERROR(SEARCH("N/A",Z13)))</formula>
    </cfRule>
    <cfRule type="cellIs" dxfId="355" priority="17" operator="equal">
      <formula>0</formula>
    </cfRule>
  </conditionalFormatting>
  <conditionalFormatting sqref="Z13:AG36">
    <cfRule type="cellIs" dxfId="354" priority="16" operator="greaterThanOrEqual">
      <formula>1185</formula>
    </cfRule>
  </conditionalFormatting>
  <conditionalFormatting sqref="Z13:AG36">
    <cfRule type="cellIs" dxfId="353" priority="15" operator="between">
      <formula>0.1</formula>
      <formula>1184</formula>
    </cfRule>
  </conditionalFormatting>
  <conditionalFormatting sqref="Z8:Z9 AT13:AT36 AL37:AQ37 AL13:AR36">
    <cfRule type="cellIs" dxfId="352" priority="14" operator="equal">
      <formula>0</formula>
    </cfRule>
  </conditionalFormatting>
  <conditionalFormatting sqref="Z8:Z9 AT13:AT36 AL37:AQ37 AL13:AR36">
    <cfRule type="cellIs" dxfId="351" priority="13" operator="greaterThan">
      <formula>1179</formula>
    </cfRule>
  </conditionalFormatting>
  <conditionalFormatting sqref="Z8:Z9 AT13:AT36 AL37:AQ37 AL13:AR36">
    <cfRule type="cellIs" dxfId="350" priority="12" operator="greaterThan">
      <formula>99</formula>
    </cfRule>
  </conditionalFormatting>
  <conditionalFormatting sqref="Z8:Z9 AT13:AT36 AL37:AQ37 AL13:AR36">
    <cfRule type="cellIs" dxfId="349" priority="11" operator="greaterThan">
      <formula>0.99</formula>
    </cfRule>
  </conditionalFormatting>
  <conditionalFormatting sqref="AD8:AD9">
    <cfRule type="cellIs" dxfId="348" priority="10" operator="equal">
      <formula>0</formula>
    </cfRule>
  </conditionalFormatting>
  <conditionalFormatting sqref="AD8:AD9">
    <cfRule type="cellIs" dxfId="347" priority="9" operator="greaterThan">
      <formula>1179</formula>
    </cfRule>
  </conditionalFormatting>
  <conditionalFormatting sqref="AD8:AD9">
    <cfRule type="cellIs" dxfId="346" priority="8" operator="greaterThan">
      <formula>99</formula>
    </cfRule>
  </conditionalFormatting>
  <conditionalFormatting sqref="AD8:AD9">
    <cfRule type="cellIs" dxfId="345" priority="7" operator="greaterThan">
      <formula>0.99</formula>
    </cfRule>
  </conditionalFormatting>
  <conditionalFormatting sqref="AK13:AK36">
    <cfRule type="cellIs" dxfId="344" priority="6" operator="greaterThan">
      <formula>$AK$8</formula>
    </cfRule>
  </conditionalFormatting>
  <conditionalFormatting sqref="AS13:AS36">
    <cfRule type="containsText" dxfId="343" priority="1" operator="containsText" text="N/A">
      <formula>NOT(ISERROR(SEARCH("N/A",AS13)))</formula>
    </cfRule>
    <cfRule type="cellIs" dxfId="342" priority="4" operator="equal">
      <formula>0</formula>
    </cfRule>
  </conditionalFormatting>
  <conditionalFormatting sqref="AS13:AS36">
    <cfRule type="cellIs" dxfId="341" priority="3" operator="greaterThanOrEqual">
      <formula>1185</formula>
    </cfRule>
  </conditionalFormatting>
  <conditionalFormatting sqref="AS13:AS36">
    <cfRule type="cellIs" dxfId="340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A00-000000000000}">
      <formula1>$BB$11:$BB$42</formula1>
    </dataValidation>
    <dataValidation type="list" allowBlank="1" showInputMessage="1" showErrorMessage="1" sqref="AY33:AZ33" xr:uid="{00000000-0002-0000-0A00-000001000000}">
      <formula1>$AY$26:$AY$30</formula1>
    </dataValidation>
    <dataValidation type="list" allowBlank="1" showInputMessage="1" showErrorMessage="1" sqref="AS8:AT9 P11:P12 N11:N12 D8:E9 Q8:V9" xr:uid="{00000000-0002-0000-0A00-000002000000}">
      <formula1>#REF!</formula1>
    </dataValidation>
    <dataValidation type="list" allowBlank="1" showInputMessage="1" showErrorMessage="1" sqref="J13:J36" xr:uid="{00000000-0002-0000-0A00-000003000000}">
      <formula1>$AY$11:$AY$21</formula1>
    </dataValidation>
  </dataValidations>
  <hyperlinks>
    <hyperlink ref="J10:J11" location="'1'!AH8" display="Plant Status" xr:uid="{00000000-0004-0000-0A00-000000000000}"/>
  </hyperlinks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</sheetPr>
  <dimension ref="A2:BB88"/>
  <sheetViews>
    <sheetView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149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135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/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11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16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16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43293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19480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17"/>
      <c r="C9" s="218"/>
      <c r="D9" s="219"/>
      <c r="E9" s="220"/>
      <c r="F9" s="220"/>
      <c r="G9" s="220"/>
      <c r="H9" s="220"/>
      <c r="I9" s="221"/>
      <c r="J9" s="121"/>
      <c r="K9" s="219"/>
      <c r="L9" s="220"/>
      <c r="M9" s="221"/>
      <c r="N9" s="29"/>
      <c r="O9" s="29"/>
      <c r="P9" s="29"/>
      <c r="Q9" s="121"/>
      <c r="R9" s="121"/>
      <c r="S9" s="121"/>
      <c r="T9" s="122"/>
      <c r="U9" s="123"/>
      <c r="V9" s="124"/>
      <c r="W9" s="219"/>
      <c r="X9" s="221"/>
      <c r="Y9" s="30"/>
      <c r="Z9" s="214"/>
      <c r="AA9" s="125"/>
      <c r="AB9" s="126"/>
      <c r="AC9" s="126"/>
      <c r="AD9" s="125"/>
      <c r="AE9" s="125"/>
      <c r="AF9" s="127"/>
      <c r="AG9" s="215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12" t="s">
        <v>51</v>
      </c>
      <c r="X10" s="212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10" t="s">
        <v>55</v>
      </c>
      <c r="AI10" s="210" t="s">
        <v>56</v>
      </c>
      <c r="AJ10" s="314" t="s">
        <v>57</v>
      </c>
      <c r="AK10" s="329" t="s">
        <v>58</v>
      </c>
      <c r="AL10" s="212" t="s">
        <v>59</v>
      </c>
      <c r="AM10" s="212" t="s">
        <v>60</v>
      </c>
      <c r="AN10" s="212" t="s">
        <v>61</v>
      </c>
      <c r="AO10" s="212" t="s">
        <v>62</v>
      </c>
      <c r="AP10" s="212" t="s">
        <v>63</v>
      </c>
      <c r="AQ10" s="212" t="s">
        <v>124</v>
      </c>
      <c r="AR10" s="212" t="s">
        <v>64</v>
      </c>
      <c r="AS10" s="212" t="s">
        <v>65</v>
      </c>
      <c r="AT10" s="312" t="s">
        <v>66</v>
      </c>
      <c r="AU10" s="212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12" t="s">
        <v>72</v>
      </c>
      <c r="C11" s="212" t="s">
        <v>73</v>
      </c>
      <c r="D11" s="212" t="s">
        <v>74</v>
      </c>
      <c r="E11" s="212" t="s">
        <v>75</v>
      </c>
      <c r="F11" s="212" t="s">
        <v>127</v>
      </c>
      <c r="G11" s="212" t="s">
        <v>74</v>
      </c>
      <c r="H11" s="212" t="s">
        <v>75</v>
      </c>
      <c r="I11" s="212" t="s">
        <v>127</v>
      </c>
      <c r="J11" s="309"/>
      <c r="K11" s="212" t="s">
        <v>75</v>
      </c>
      <c r="L11" s="212" t="s">
        <v>75</v>
      </c>
      <c r="M11" s="212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11'!S36</f>
        <v>101165318</v>
      </c>
      <c r="T11" s="322"/>
      <c r="U11" s="323"/>
      <c r="V11" s="324"/>
      <c r="W11" s="212" t="s">
        <v>75</v>
      </c>
      <c r="X11" s="212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11'!AI36</f>
        <v>17332754</v>
      </c>
      <c r="AJ11" s="314"/>
      <c r="AK11" s="330"/>
      <c r="AL11" s="212" t="s">
        <v>84</v>
      </c>
      <c r="AM11" s="212" t="s">
        <v>84</v>
      </c>
      <c r="AN11" s="212" t="s">
        <v>84</v>
      </c>
      <c r="AO11" s="212" t="s">
        <v>84</v>
      </c>
      <c r="AP11" s="212" t="s">
        <v>84</v>
      </c>
      <c r="AQ11" s="212" t="s">
        <v>84</v>
      </c>
      <c r="AR11" s="212" t="s">
        <v>84</v>
      </c>
      <c r="AS11" s="1"/>
      <c r="AT11" s="313"/>
      <c r="AU11" s="213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43293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3</v>
      </c>
      <c r="G13" s="118">
        <v>68</v>
      </c>
      <c r="H13" s="150">
        <f t="shared" ref="H13:H36" si="0">G13/1.42</f>
        <v>47.887323943661976</v>
      </c>
      <c r="I13" s="150">
        <v>65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101169894</v>
      </c>
      <c r="T13" s="45">
        <f>IF(ISBLANK(S13),"-",S13-S11)</f>
        <v>4576</v>
      </c>
      <c r="U13" s="46">
        <f>T13*24/1000</f>
        <v>109.824</v>
      </c>
      <c r="V13" s="46">
        <f>T13/1000</f>
        <v>4.5759999999999996</v>
      </c>
      <c r="W13" s="96">
        <v>5.7</v>
      </c>
      <c r="X13" s="96">
        <f t="shared" ref="X13:X36" si="1">W13</f>
        <v>5.7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17333870</v>
      </c>
      <c r="AJ13" s="45">
        <f>IF(ISBLANK(AI13),"-",AI13-AI11)</f>
        <v>1116</v>
      </c>
      <c r="AK13" s="48">
        <f>AJ13/V13</f>
        <v>243.88111888111891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43293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3</v>
      </c>
      <c r="G14" s="118">
        <v>70</v>
      </c>
      <c r="H14" s="150">
        <f t="shared" si="0"/>
        <v>49.295774647887328</v>
      </c>
      <c r="I14" s="150">
        <v>68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101174520</v>
      </c>
      <c r="T14" s="45">
        <f t="shared" ref="T14:T36" si="4">IF(ISBLANK(S14),"-",S14-S13)</f>
        <v>4626</v>
      </c>
      <c r="U14" s="46">
        <f t="shared" ref="U14:U37" si="5">T14*24/1000</f>
        <v>111.024</v>
      </c>
      <c r="V14" s="46">
        <f t="shared" ref="V14:V37" si="6">T14/1000</f>
        <v>4.6260000000000003</v>
      </c>
      <c r="W14" s="96">
        <v>7.4</v>
      </c>
      <c r="X14" s="96">
        <f t="shared" si="1"/>
        <v>7.4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17334970</v>
      </c>
      <c r="AJ14" s="45">
        <f t="shared" ref="AJ14:AJ36" si="7">IF(ISBLANK(AI14),"-",AI14-AI13)</f>
        <v>1100</v>
      </c>
      <c r="AK14" s="48">
        <f>AJ14/V14</f>
        <v>237.78642455685255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0.89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43293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71</v>
      </c>
      <c r="H15" s="150">
        <f t="shared" si="0"/>
        <v>50</v>
      </c>
      <c r="I15" s="150">
        <v>69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101178930</v>
      </c>
      <c r="T15" s="45">
        <f>IF(ISBLANK(S15),"-",S15-S14)</f>
        <v>4410</v>
      </c>
      <c r="U15" s="46">
        <f t="shared" si="5"/>
        <v>105.84</v>
      </c>
      <c r="V15" s="46">
        <f t="shared" si="6"/>
        <v>4.41</v>
      </c>
      <c r="W15" s="96">
        <v>9</v>
      </c>
      <c r="X15" s="96">
        <f t="shared" si="1"/>
        <v>9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17336062</v>
      </c>
      <c r="AJ15" s="45">
        <f t="shared" si="7"/>
        <v>1092</v>
      </c>
      <c r="AK15" s="48">
        <f t="shared" ref="AK15:AK36" si="9">AJ15/V15</f>
        <v>247.61904761904762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43293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101183195</v>
      </c>
      <c r="T16" s="45">
        <f t="shared" si="4"/>
        <v>4265</v>
      </c>
      <c r="U16" s="46">
        <f t="shared" si="5"/>
        <v>102.36</v>
      </c>
      <c r="V16" s="46">
        <f t="shared" si="6"/>
        <v>4.2649999999999997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1130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17337088</v>
      </c>
      <c r="AJ16" s="45">
        <f t="shared" si="7"/>
        <v>1026</v>
      </c>
      <c r="AK16" s="48">
        <f t="shared" si="9"/>
        <v>240.56271981242674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43293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80</v>
      </c>
      <c r="H17" s="150">
        <f t="shared" si="0"/>
        <v>56.338028169014088</v>
      </c>
      <c r="I17" s="150">
        <v>78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101187615</v>
      </c>
      <c r="T17" s="45">
        <f t="shared" si="4"/>
        <v>4420</v>
      </c>
      <c r="U17" s="46">
        <f t="shared" si="5"/>
        <v>106.08</v>
      </c>
      <c r="V17" s="46">
        <f t="shared" si="6"/>
        <v>4.42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17338090</v>
      </c>
      <c r="AJ17" s="45">
        <f t="shared" si="7"/>
        <v>1002</v>
      </c>
      <c r="AK17" s="48">
        <f t="shared" si="9"/>
        <v>226.69683257918552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43293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75</v>
      </c>
      <c r="H18" s="150">
        <f t="shared" si="0"/>
        <v>52.816901408450704</v>
      </c>
      <c r="I18" s="150">
        <v>73</v>
      </c>
      <c r="J18" s="41" t="s">
        <v>88</v>
      </c>
      <c r="K18" s="41">
        <f t="shared" si="3"/>
        <v>51.408450704225352</v>
      </c>
      <c r="L18" s="42">
        <f t="shared" ref="L18:L27" si="10">G18/1.42</f>
        <v>52.816901408450704</v>
      </c>
      <c r="M18" s="41">
        <f>L18+1.42</f>
        <v>54.236901408450706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101193145</v>
      </c>
      <c r="T18" s="45">
        <f t="shared" si="4"/>
        <v>5530</v>
      </c>
      <c r="U18" s="46">
        <f t="shared" si="5"/>
        <v>132.72</v>
      </c>
      <c r="V18" s="46">
        <f t="shared" si="6"/>
        <v>5.53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17339243</v>
      </c>
      <c r="AJ18" s="45">
        <f t="shared" si="7"/>
        <v>1153</v>
      </c>
      <c r="AK18" s="48">
        <f t="shared" si="9"/>
        <v>208.49909584086799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1.02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43293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78</v>
      </c>
      <c r="H19" s="150">
        <f t="shared" si="0"/>
        <v>54.929577464788736</v>
      </c>
      <c r="I19" s="150">
        <v>76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101198242</v>
      </c>
      <c r="T19" s="45">
        <f t="shared" si="4"/>
        <v>5097</v>
      </c>
      <c r="U19" s="46">
        <f t="shared" si="5"/>
        <v>122.328</v>
      </c>
      <c r="V19" s="46">
        <f t="shared" si="6"/>
        <v>5.0970000000000004</v>
      </c>
      <c r="W19" s="96">
        <v>9.1</v>
      </c>
      <c r="X19" s="96">
        <f t="shared" si="1"/>
        <v>9.1</v>
      </c>
      <c r="Y19" s="97" t="s">
        <v>168</v>
      </c>
      <c r="Z19" s="154">
        <v>0</v>
      </c>
      <c r="AA19" s="154">
        <v>1027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17340377</v>
      </c>
      <c r="AJ19" s="45">
        <f t="shared" si="7"/>
        <v>1134</v>
      </c>
      <c r="AK19" s="48">
        <f t="shared" si="9"/>
        <v>222.48381400824013</v>
      </c>
      <c r="AL19" s="151">
        <v>0</v>
      </c>
      <c r="AM19" s="151">
        <v>1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43293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7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101203209</v>
      </c>
      <c r="T20" s="45">
        <f t="shared" si="4"/>
        <v>4967</v>
      </c>
      <c r="U20" s="46">
        <f>T20*24/1000</f>
        <v>119.208</v>
      </c>
      <c r="V20" s="46">
        <f t="shared" si="6"/>
        <v>4.9669999999999996</v>
      </c>
      <c r="W20" s="96">
        <v>8.5</v>
      </c>
      <c r="X20" s="96">
        <f t="shared" si="1"/>
        <v>8.5</v>
      </c>
      <c r="Y20" s="97" t="s">
        <v>168</v>
      </c>
      <c r="Z20" s="154">
        <v>0</v>
      </c>
      <c r="AA20" s="154">
        <v>1047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17341573</v>
      </c>
      <c r="AJ20" s="45">
        <f t="shared" si="7"/>
        <v>1196</v>
      </c>
      <c r="AK20" s="48">
        <f t="shared" si="9"/>
        <v>240.78920877793439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43293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6</v>
      </c>
      <c r="G21" s="118">
        <v>76</v>
      </c>
      <c r="H21" s="150">
        <f t="shared" si="0"/>
        <v>53.521126760563384</v>
      </c>
      <c r="I21" s="150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101208043</v>
      </c>
      <c r="T21" s="45">
        <f t="shared" si="4"/>
        <v>4834</v>
      </c>
      <c r="U21" s="46">
        <f t="shared" si="5"/>
        <v>116.01600000000001</v>
      </c>
      <c r="V21" s="46">
        <f t="shared" si="6"/>
        <v>4.8339999999999996</v>
      </c>
      <c r="W21" s="96">
        <v>7.7</v>
      </c>
      <c r="X21" s="96">
        <f t="shared" si="1"/>
        <v>7.7</v>
      </c>
      <c r="Y21" s="97" t="s">
        <v>168</v>
      </c>
      <c r="Z21" s="154">
        <v>0</v>
      </c>
      <c r="AA21" s="154">
        <v>1047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17342771</v>
      </c>
      <c r="AJ21" s="45">
        <f t="shared" si="7"/>
        <v>1198</v>
      </c>
      <c r="AK21" s="48">
        <f t="shared" si="9"/>
        <v>247.82788580885398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43293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5</v>
      </c>
      <c r="G22" s="118">
        <v>76</v>
      </c>
      <c r="H22" s="150">
        <f t="shared" si="0"/>
        <v>53.521126760563384</v>
      </c>
      <c r="I22" s="150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101212818</v>
      </c>
      <c r="T22" s="45">
        <f t="shared" si="4"/>
        <v>4775</v>
      </c>
      <c r="U22" s="46">
        <f t="shared" si="5"/>
        <v>114.6</v>
      </c>
      <c r="V22" s="46">
        <f t="shared" si="6"/>
        <v>4.7750000000000004</v>
      </c>
      <c r="W22" s="96">
        <v>7.1</v>
      </c>
      <c r="X22" s="96">
        <f t="shared" si="1"/>
        <v>7.1</v>
      </c>
      <c r="Y22" s="97" t="s">
        <v>168</v>
      </c>
      <c r="Z22" s="154">
        <v>0</v>
      </c>
      <c r="AA22" s="154">
        <v>1047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17343976</v>
      </c>
      <c r="AJ22" s="45">
        <f t="shared" si="7"/>
        <v>1205</v>
      </c>
      <c r="AK22" s="48">
        <f t="shared" si="9"/>
        <v>252.35602094240835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1.1000000000000001</v>
      </c>
      <c r="AV22" s="50" t="s">
        <v>126</v>
      </c>
      <c r="BB22" s="136" t="s">
        <v>156</v>
      </c>
    </row>
    <row r="23" spans="1:54" x14ac:dyDescent="0.35">
      <c r="A23" s="331">
        <v>43293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3</v>
      </c>
      <c r="G23" s="118">
        <v>76</v>
      </c>
      <c r="H23" s="150">
        <f t="shared" si="0"/>
        <v>53.521126760563384</v>
      </c>
      <c r="I23" s="150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101217357</v>
      </c>
      <c r="T23" s="45">
        <f t="shared" si="4"/>
        <v>4539</v>
      </c>
      <c r="U23" s="46">
        <f t="shared" si="5"/>
        <v>108.93600000000001</v>
      </c>
      <c r="V23" s="46">
        <f t="shared" si="6"/>
        <v>4.5389999999999997</v>
      </c>
      <c r="W23" s="96">
        <v>6.4</v>
      </c>
      <c r="X23" s="96">
        <f>W23</f>
        <v>6.4</v>
      </c>
      <c r="Y23" s="97" t="s">
        <v>168</v>
      </c>
      <c r="Z23" s="154">
        <v>0</v>
      </c>
      <c r="AA23" s="154">
        <v>1048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17345156</v>
      </c>
      <c r="AJ23" s="45">
        <f t="shared" si="7"/>
        <v>1180</v>
      </c>
      <c r="AK23" s="48">
        <f t="shared" si="9"/>
        <v>259.96915620180658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43293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3</v>
      </c>
      <c r="G24" s="118">
        <v>76</v>
      </c>
      <c r="H24" s="150">
        <f t="shared" si="0"/>
        <v>53.521126760563384</v>
      </c>
      <c r="I24" s="150">
        <v>75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101222008</v>
      </c>
      <c r="T24" s="45">
        <f t="shared" si="4"/>
        <v>4651</v>
      </c>
      <c r="U24" s="46">
        <f>T24*24/1000</f>
        <v>111.624</v>
      </c>
      <c r="V24" s="46">
        <f t="shared" si="6"/>
        <v>4.6509999999999998</v>
      </c>
      <c r="W24" s="96">
        <v>5.8</v>
      </c>
      <c r="X24" s="96">
        <f t="shared" si="1"/>
        <v>5.8</v>
      </c>
      <c r="Y24" s="97" t="s">
        <v>168</v>
      </c>
      <c r="Z24" s="154">
        <v>0</v>
      </c>
      <c r="AA24" s="154">
        <v>1046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17346348</v>
      </c>
      <c r="AJ24" s="45">
        <f t="shared" si="7"/>
        <v>1192</v>
      </c>
      <c r="AK24" s="48">
        <f t="shared" si="9"/>
        <v>256.28897011395401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43293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2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101226674</v>
      </c>
      <c r="T25" s="45">
        <f t="shared" si="4"/>
        <v>4666</v>
      </c>
      <c r="U25" s="46">
        <f>T25*24/1000</f>
        <v>111.98399999999999</v>
      </c>
      <c r="V25" s="46">
        <f t="shared" si="6"/>
        <v>4.6660000000000004</v>
      </c>
      <c r="W25" s="96">
        <v>5.0999999999999996</v>
      </c>
      <c r="X25" s="96">
        <f t="shared" si="1"/>
        <v>5.0999999999999996</v>
      </c>
      <c r="Y25" s="97" t="s">
        <v>168</v>
      </c>
      <c r="Z25" s="154">
        <v>0</v>
      </c>
      <c r="AA25" s="154">
        <v>1046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17347554</v>
      </c>
      <c r="AJ25" s="45">
        <f t="shared" si="7"/>
        <v>1206</v>
      </c>
      <c r="AK25" s="48">
        <f t="shared" si="9"/>
        <v>258.46549507072439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43293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1</v>
      </c>
      <c r="G26" s="118">
        <v>76</v>
      </c>
      <c r="H26" s="150">
        <f t="shared" si="0"/>
        <v>53.521126760563384</v>
      </c>
      <c r="I26" s="150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101231176</v>
      </c>
      <c r="T26" s="45">
        <f t="shared" si="4"/>
        <v>4502</v>
      </c>
      <c r="U26" s="46">
        <f t="shared" si="5"/>
        <v>108.048</v>
      </c>
      <c r="V26" s="46">
        <f t="shared" si="6"/>
        <v>4.5019999999999998</v>
      </c>
      <c r="W26" s="96">
        <v>4.5</v>
      </c>
      <c r="X26" s="96">
        <f t="shared" si="1"/>
        <v>4.5</v>
      </c>
      <c r="Y26" s="97" t="s">
        <v>168</v>
      </c>
      <c r="Z26" s="154">
        <v>0</v>
      </c>
      <c r="AA26" s="154">
        <v>1046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17348713</v>
      </c>
      <c r="AJ26" s="45">
        <f t="shared" si="7"/>
        <v>1159</v>
      </c>
      <c r="AK26" s="48">
        <f t="shared" si="9"/>
        <v>257.44113727232343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1.05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43293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0</v>
      </c>
      <c r="G27" s="118">
        <v>76</v>
      </c>
      <c r="H27" s="150">
        <f t="shared" si="0"/>
        <v>53.521126760563384</v>
      </c>
      <c r="I27" s="150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101235748</v>
      </c>
      <c r="T27" s="45">
        <f t="shared" si="4"/>
        <v>4572</v>
      </c>
      <c r="U27" s="46">
        <f t="shared" si="5"/>
        <v>109.72799999999999</v>
      </c>
      <c r="V27" s="46">
        <f t="shared" si="6"/>
        <v>4.5720000000000001</v>
      </c>
      <c r="W27" s="96">
        <v>3.9</v>
      </c>
      <c r="X27" s="96">
        <f t="shared" si="1"/>
        <v>3.9</v>
      </c>
      <c r="Y27" s="97" t="s">
        <v>168</v>
      </c>
      <c r="Z27" s="154">
        <v>0</v>
      </c>
      <c r="AA27" s="154">
        <v>1047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17349893</v>
      </c>
      <c r="AJ27" s="45">
        <f t="shared" si="7"/>
        <v>1180</v>
      </c>
      <c r="AK27" s="48">
        <f t="shared" si="9"/>
        <v>258.09273840769902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43293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0</v>
      </c>
      <c r="G28" s="118">
        <v>77</v>
      </c>
      <c r="H28" s="150">
        <f t="shared" si="0"/>
        <v>54.225352112676056</v>
      </c>
      <c r="I28" s="150">
        <v>76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101240518</v>
      </c>
      <c r="T28" s="45">
        <f t="shared" si="4"/>
        <v>4770</v>
      </c>
      <c r="U28" s="46">
        <f t="shared" si="5"/>
        <v>114.48</v>
      </c>
      <c r="V28" s="46">
        <f t="shared" si="6"/>
        <v>4.7699999999999996</v>
      </c>
      <c r="W28" s="96">
        <v>3.3</v>
      </c>
      <c r="X28" s="96">
        <f t="shared" si="1"/>
        <v>3.3</v>
      </c>
      <c r="Y28" s="97" t="s">
        <v>168</v>
      </c>
      <c r="Z28" s="154">
        <v>0</v>
      </c>
      <c r="AA28" s="154">
        <v>1045</v>
      </c>
      <c r="AB28" s="154">
        <v>1188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17351072</v>
      </c>
      <c r="AJ28" s="45">
        <f>IF(ISBLANK(AI28),"-",AI28-AI27)</f>
        <v>1179</v>
      </c>
      <c r="AK28" s="48">
        <f t="shared" si="9"/>
        <v>247.16981132075475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43293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-1</v>
      </c>
      <c r="G29" s="118">
        <v>74</v>
      </c>
      <c r="H29" s="150">
        <f t="shared" si="0"/>
        <v>52.112676056338032</v>
      </c>
      <c r="I29" s="150">
        <v>72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101245141</v>
      </c>
      <c r="T29" s="45">
        <f t="shared" si="4"/>
        <v>4623</v>
      </c>
      <c r="U29" s="46">
        <f t="shared" si="5"/>
        <v>110.952</v>
      </c>
      <c r="V29" s="46">
        <f t="shared" si="6"/>
        <v>4.6230000000000002</v>
      </c>
      <c r="W29" s="96">
        <v>2.9</v>
      </c>
      <c r="X29" s="96">
        <f t="shared" si="1"/>
        <v>2.9</v>
      </c>
      <c r="Y29" s="97" t="s">
        <v>168</v>
      </c>
      <c r="Z29" s="154">
        <v>0</v>
      </c>
      <c r="AA29" s="154">
        <v>1037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17352234</v>
      </c>
      <c r="AJ29" s="45">
        <f t="shared" si="7"/>
        <v>1162</v>
      </c>
      <c r="AK29" s="48">
        <f>AJ28/V29</f>
        <v>255.02920181700193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43293</v>
      </c>
      <c r="B30" s="40">
        <v>2.7083333333333299</v>
      </c>
      <c r="C30" s="40">
        <v>0.750000000000002</v>
      </c>
      <c r="D30" s="152"/>
      <c r="E30" s="150">
        <f t="shared" si="2"/>
        <v>0</v>
      </c>
      <c r="F30" s="150"/>
      <c r="G30" s="118"/>
      <c r="H30" s="150">
        <f t="shared" si="0"/>
        <v>0</v>
      </c>
      <c r="I30" s="150"/>
      <c r="J30" s="41" t="s">
        <v>88</v>
      </c>
      <c r="K30" s="41">
        <f t="shared" si="3"/>
        <v>-3.5211267605633809</v>
      </c>
      <c r="L30" s="42">
        <f t="shared" si="13"/>
        <v>-2.1126760563380285</v>
      </c>
      <c r="M30" s="41">
        <f t="shared" si="12"/>
        <v>2.1126760563380285</v>
      </c>
      <c r="N30" s="43">
        <v>18</v>
      </c>
      <c r="O30" s="44" t="s">
        <v>100</v>
      </c>
      <c r="P30" s="44">
        <v>16.7</v>
      </c>
      <c r="Q30" s="153"/>
      <c r="R30" s="153"/>
      <c r="S30" s="153">
        <v>101245141</v>
      </c>
      <c r="T30" s="45">
        <f t="shared" si="4"/>
        <v>0</v>
      </c>
      <c r="U30" s="46">
        <f t="shared" si="5"/>
        <v>0</v>
      </c>
      <c r="V30" s="46">
        <f t="shared" si="6"/>
        <v>0</v>
      </c>
      <c r="W30" s="96">
        <v>2.9</v>
      </c>
      <c r="X30" s="96">
        <f t="shared" si="1"/>
        <v>2.9</v>
      </c>
      <c r="Y30" s="97"/>
      <c r="Z30" s="154">
        <v>0</v>
      </c>
      <c r="AA30" s="154">
        <v>0</v>
      </c>
      <c r="AB30" s="154">
        <v>0</v>
      </c>
      <c r="AC30" s="154">
        <v>0</v>
      </c>
      <c r="AD30" s="154">
        <v>0</v>
      </c>
      <c r="AE30" s="154">
        <v>0</v>
      </c>
      <c r="AF30" s="47" t="s">
        <v>90</v>
      </c>
      <c r="AG30" s="47" t="s">
        <v>90</v>
      </c>
      <c r="AH30" s="98" t="s">
        <v>90</v>
      </c>
      <c r="AI30" s="103">
        <v>17352234</v>
      </c>
      <c r="AJ30" s="45">
        <f t="shared" si="7"/>
        <v>0</v>
      </c>
      <c r="AK30" s="48" t="e">
        <f>AJ29/V30</f>
        <v>#DIV/0!</v>
      </c>
      <c r="AL30" s="151">
        <v>0</v>
      </c>
      <c r="AM30" s="151">
        <v>0</v>
      </c>
      <c r="AN30" s="151">
        <v>0</v>
      </c>
      <c r="AO30" s="151">
        <v>0</v>
      </c>
      <c r="AP30" s="151">
        <v>0</v>
      </c>
      <c r="AQ30" s="151">
        <v>0</v>
      </c>
      <c r="AR30" s="151">
        <v>0</v>
      </c>
      <c r="AS30" s="154"/>
      <c r="AT30" s="154">
        <f t="shared" si="8"/>
        <v>0</v>
      </c>
      <c r="AU30" s="155"/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43293</v>
      </c>
      <c r="B31" s="40">
        <v>2.75</v>
      </c>
      <c r="C31" s="40">
        <v>0.79166666666666896</v>
      </c>
      <c r="D31" s="152"/>
      <c r="E31" s="150">
        <f t="shared" si="2"/>
        <v>0</v>
      </c>
      <c r="F31" s="150"/>
      <c r="G31" s="118"/>
      <c r="H31" s="150">
        <f t="shared" si="0"/>
        <v>0</v>
      </c>
      <c r="I31" s="150"/>
      <c r="J31" s="41" t="s">
        <v>88</v>
      </c>
      <c r="K31" s="41">
        <f t="shared" si="3"/>
        <v>-3.5211267605633809</v>
      </c>
      <c r="L31" s="42">
        <f t="shared" si="13"/>
        <v>-2.1126760563380285</v>
      </c>
      <c r="M31" s="41">
        <f t="shared" si="12"/>
        <v>2.1126760563380285</v>
      </c>
      <c r="N31" s="43">
        <v>18</v>
      </c>
      <c r="O31" s="44" t="s">
        <v>100</v>
      </c>
      <c r="P31" s="44">
        <v>16.600000000000001</v>
      </c>
      <c r="Q31" s="153"/>
      <c r="R31" s="153"/>
      <c r="S31" s="153">
        <v>101245141</v>
      </c>
      <c r="T31" s="45">
        <f t="shared" si="4"/>
        <v>0</v>
      </c>
      <c r="U31" s="46">
        <f t="shared" si="5"/>
        <v>0</v>
      </c>
      <c r="V31" s="46">
        <f t="shared" si="6"/>
        <v>0</v>
      </c>
      <c r="W31" s="96">
        <v>2.9</v>
      </c>
      <c r="X31" s="96">
        <f t="shared" si="1"/>
        <v>2.9</v>
      </c>
      <c r="Y31" s="97"/>
      <c r="Z31" s="154">
        <v>0</v>
      </c>
      <c r="AA31" s="154">
        <v>0</v>
      </c>
      <c r="AB31" s="154">
        <v>0</v>
      </c>
      <c r="AC31" s="154">
        <v>0</v>
      </c>
      <c r="AD31" s="154">
        <v>0</v>
      </c>
      <c r="AE31" s="154">
        <v>0</v>
      </c>
      <c r="AF31" s="47" t="s">
        <v>90</v>
      </c>
      <c r="AG31" s="47" t="s">
        <v>90</v>
      </c>
      <c r="AH31" s="98" t="s">
        <v>90</v>
      </c>
      <c r="AI31" s="103">
        <v>17352234</v>
      </c>
      <c r="AJ31" s="45">
        <f t="shared" si="7"/>
        <v>0</v>
      </c>
      <c r="AK31" s="48" t="e">
        <f t="shared" si="9"/>
        <v>#DIV/0!</v>
      </c>
      <c r="AL31" s="151">
        <v>0</v>
      </c>
      <c r="AM31" s="151">
        <v>0</v>
      </c>
      <c r="AN31" s="151">
        <v>0</v>
      </c>
      <c r="AO31" s="151">
        <v>0</v>
      </c>
      <c r="AP31" s="151">
        <v>0</v>
      </c>
      <c r="AQ31" s="151">
        <v>0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43293</v>
      </c>
      <c r="B32" s="40">
        <v>2.7916666666666701</v>
      </c>
      <c r="C32" s="40">
        <v>0.83333333333333703</v>
      </c>
      <c r="D32" s="152"/>
      <c r="E32" s="150">
        <f t="shared" si="2"/>
        <v>0</v>
      </c>
      <c r="F32" s="150"/>
      <c r="G32" s="118"/>
      <c r="H32" s="150">
        <f t="shared" si="0"/>
        <v>0</v>
      </c>
      <c r="I32" s="150"/>
      <c r="J32" s="41" t="s">
        <v>88</v>
      </c>
      <c r="K32" s="41">
        <f t="shared" si="3"/>
        <v>-3.5211267605633809</v>
      </c>
      <c r="L32" s="42">
        <f t="shared" si="13"/>
        <v>-2.1126760563380285</v>
      </c>
      <c r="M32" s="41">
        <f t="shared" si="12"/>
        <v>2.1126760563380285</v>
      </c>
      <c r="N32" s="43">
        <v>18</v>
      </c>
      <c r="O32" s="44" t="s">
        <v>100</v>
      </c>
      <c r="P32" s="44">
        <v>16.600000000000001</v>
      </c>
      <c r="Q32" s="153"/>
      <c r="R32" s="153"/>
      <c r="S32" s="153">
        <v>101245141</v>
      </c>
      <c r="T32" s="45">
        <f t="shared" si="4"/>
        <v>0</v>
      </c>
      <c r="U32" s="46">
        <f t="shared" si="5"/>
        <v>0</v>
      </c>
      <c r="V32" s="46">
        <f t="shared" si="6"/>
        <v>0</v>
      </c>
      <c r="W32" s="96">
        <v>2.9</v>
      </c>
      <c r="X32" s="96">
        <f t="shared" si="1"/>
        <v>2.9</v>
      </c>
      <c r="Y32" s="97"/>
      <c r="Z32" s="154">
        <v>0</v>
      </c>
      <c r="AA32" s="154">
        <v>0</v>
      </c>
      <c r="AB32" s="154">
        <v>0</v>
      </c>
      <c r="AC32" s="154">
        <v>0</v>
      </c>
      <c r="AD32" s="154">
        <v>0</v>
      </c>
      <c r="AE32" s="154">
        <v>0</v>
      </c>
      <c r="AF32" s="47" t="s">
        <v>90</v>
      </c>
      <c r="AG32" s="47" t="s">
        <v>90</v>
      </c>
      <c r="AH32" s="98" t="s">
        <v>90</v>
      </c>
      <c r="AI32" s="103">
        <v>17352234</v>
      </c>
      <c r="AJ32" s="45">
        <f t="shared" si="7"/>
        <v>0</v>
      </c>
      <c r="AK32" s="48" t="e">
        <f t="shared" si="9"/>
        <v>#DIV/0!</v>
      </c>
      <c r="AL32" s="151">
        <v>0</v>
      </c>
      <c r="AM32" s="151">
        <v>0</v>
      </c>
      <c r="AN32" s="151">
        <v>0</v>
      </c>
      <c r="AO32" s="151">
        <v>0</v>
      </c>
      <c r="AP32" s="151">
        <v>0</v>
      </c>
      <c r="AQ32" s="151">
        <v>0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43293</v>
      </c>
      <c r="B33" s="40">
        <v>2.8333333333333299</v>
      </c>
      <c r="C33" s="40">
        <v>0.875</v>
      </c>
      <c r="D33" s="152"/>
      <c r="E33" s="150">
        <f t="shared" si="2"/>
        <v>0</v>
      </c>
      <c r="F33" s="150"/>
      <c r="G33" s="118"/>
      <c r="H33" s="150">
        <f t="shared" si="0"/>
        <v>0</v>
      </c>
      <c r="I33" s="150"/>
      <c r="J33" s="41" t="s">
        <v>88</v>
      </c>
      <c r="K33" s="41">
        <f t="shared" si="3"/>
        <v>-3.5211267605633809</v>
      </c>
      <c r="L33" s="42">
        <f t="shared" si="13"/>
        <v>-2.1126760563380285</v>
      </c>
      <c r="M33" s="41">
        <f t="shared" si="12"/>
        <v>2.1126760563380285</v>
      </c>
      <c r="N33" s="43">
        <v>18</v>
      </c>
      <c r="O33" s="44" t="s">
        <v>100</v>
      </c>
      <c r="P33" s="44">
        <v>16.100000000000001</v>
      </c>
      <c r="Q33" s="153"/>
      <c r="R33" s="153"/>
      <c r="S33" s="153">
        <v>101245141</v>
      </c>
      <c r="T33" s="45">
        <f t="shared" si="4"/>
        <v>0</v>
      </c>
      <c r="U33" s="46">
        <f t="shared" si="5"/>
        <v>0</v>
      </c>
      <c r="V33" s="46">
        <f t="shared" si="6"/>
        <v>0</v>
      </c>
      <c r="W33" s="96">
        <v>2.9</v>
      </c>
      <c r="X33" s="96">
        <f t="shared" si="1"/>
        <v>2.9</v>
      </c>
      <c r="Y33" s="97"/>
      <c r="Z33" s="154">
        <v>0</v>
      </c>
      <c r="AA33" s="154">
        <v>0</v>
      </c>
      <c r="AB33" s="154">
        <v>0</v>
      </c>
      <c r="AC33" s="154">
        <v>0</v>
      </c>
      <c r="AD33" s="154">
        <v>0</v>
      </c>
      <c r="AE33" s="154">
        <v>0</v>
      </c>
      <c r="AF33" s="47" t="s">
        <v>90</v>
      </c>
      <c r="AG33" s="47" t="s">
        <v>90</v>
      </c>
      <c r="AH33" s="98" t="s">
        <v>90</v>
      </c>
      <c r="AI33" s="103">
        <v>17352234</v>
      </c>
      <c r="AJ33" s="45">
        <f t="shared" si="7"/>
        <v>0</v>
      </c>
      <c r="AK33" s="48" t="e">
        <f t="shared" si="9"/>
        <v>#DIV/0!</v>
      </c>
      <c r="AL33" s="151">
        <v>0</v>
      </c>
      <c r="AM33" s="151">
        <v>0</v>
      </c>
      <c r="AN33" s="151">
        <v>0</v>
      </c>
      <c r="AO33" s="151">
        <v>0</v>
      </c>
      <c r="AP33" s="151">
        <v>0</v>
      </c>
      <c r="AQ33" s="151">
        <v>0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43293</v>
      </c>
      <c r="B34" s="40">
        <v>2.875</v>
      </c>
      <c r="C34" s="40">
        <v>0.91666666666667096</v>
      </c>
      <c r="D34" s="152"/>
      <c r="E34" s="150">
        <f t="shared" si="2"/>
        <v>0</v>
      </c>
      <c r="F34" s="150"/>
      <c r="G34" s="118"/>
      <c r="H34" s="150">
        <f t="shared" si="0"/>
        <v>0</v>
      </c>
      <c r="I34" s="150"/>
      <c r="J34" s="41" t="s">
        <v>88</v>
      </c>
      <c r="K34" s="41">
        <f t="shared" si="3"/>
        <v>-3.5211267605633809</v>
      </c>
      <c r="L34" s="42">
        <f t="shared" si="13"/>
        <v>-2.1126760563380285</v>
      </c>
      <c r="M34" s="41">
        <f t="shared" si="12"/>
        <v>2.1126760563380285</v>
      </c>
      <c r="N34" s="43">
        <v>14</v>
      </c>
      <c r="O34" s="44" t="s">
        <v>116</v>
      </c>
      <c r="P34" s="44">
        <v>12.6</v>
      </c>
      <c r="Q34" s="153"/>
      <c r="R34" s="153"/>
      <c r="S34" s="153">
        <v>101245141</v>
      </c>
      <c r="T34" s="45">
        <f t="shared" si="4"/>
        <v>0</v>
      </c>
      <c r="U34" s="46">
        <f t="shared" si="5"/>
        <v>0</v>
      </c>
      <c r="V34" s="46">
        <f t="shared" si="6"/>
        <v>0</v>
      </c>
      <c r="W34" s="96">
        <v>2.9</v>
      </c>
      <c r="X34" s="96">
        <f t="shared" si="1"/>
        <v>2.9</v>
      </c>
      <c r="Y34" s="97"/>
      <c r="Z34" s="154">
        <v>0</v>
      </c>
      <c r="AA34" s="154">
        <v>0</v>
      </c>
      <c r="AB34" s="154">
        <v>0</v>
      </c>
      <c r="AC34" s="154">
        <v>0</v>
      </c>
      <c r="AD34" s="154">
        <v>0</v>
      </c>
      <c r="AE34" s="154">
        <v>0</v>
      </c>
      <c r="AF34" s="47" t="s">
        <v>90</v>
      </c>
      <c r="AG34" s="47" t="s">
        <v>90</v>
      </c>
      <c r="AH34" s="98" t="s">
        <v>90</v>
      </c>
      <c r="AI34" s="103">
        <v>17352234</v>
      </c>
      <c r="AJ34" s="45">
        <f t="shared" si="7"/>
        <v>0</v>
      </c>
      <c r="AK34" s="48" t="e">
        <f t="shared" si="9"/>
        <v>#DIV/0!</v>
      </c>
      <c r="AL34" s="151">
        <v>0</v>
      </c>
      <c r="AM34" s="151">
        <v>0</v>
      </c>
      <c r="AN34" s="151">
        <v>0</v>
      </c>
      <c r="AO34" s="151">
        <v>0</v>
      </c>
      <c r="AP34" s="151">
        <v>0</v>
      </c>
      <c r="AQ34" s="151">
        <v>0</v>
      </c>
      <c r="AR34" s="151">
        <v>0</v>
      </c>
      <c r="AS34" s="154"/>
      <c r="AT34" s="154">
        <v>0</v>
      </c>
      <c r="AU34" s="119"/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43293</v>
      </c>
      <c r="B35" s="40">
        <v>2.9166666666666701</v>
      </c>
      <c r="C35" s="40">
        <v>0.95833333333333803</v>
      </c>
      <c r="D35" s="152"/>
      <c r="E35" s="150">
        <f t="shared" si="2"/>
        <v>0</v>
      </c>
      <c r="F35" s="150"/>
      <c r="G35" s="118"/>
      <c r="H35" s="150">
        <f t="shared" si="0"/>
        <v>0</v>
      </c>
      <c r="I35" s="150"/>
      <c r="J35" s="41" t="s">
        <v>88</v>
      </c>
      <c r="K35" s="41">
        <f>L35-(2/1.42)</f>
        <v>-4.9295774647887329</v>
      </c>
      <c r="L35" s="42">
        <f>(G35-5)/1.42</f>
        <v>-3.5211267605633805</v>
      </c>
      <c r="M35" s="41">
        <f t="shared" si="12"/>
        <v>0.70422535211267645</v>
      </c>
      <c r="N35" s="43">
        <v>14</v>
      </c>
      <c r="O35" s="44" t="s">
        <v>116</v>
      </c>
      <c r="P35" s="44">
        <v>11.9</v>
      </c>
      <c r="Q35" s="153"/>
      <c r="R35" s="153"/>
      <c r="S35" s="153">
        <v>101245141</v>
      </c>
      <c r="T35" s="45">
        <f t="shared" si="4"/>
        <v>0</v>
      </c>
      <c r="U35" s="46">
        <f t="shared" si="5"/>
        <v>0</v>
      </c>
      <c r="V35" s="46">
        <f t="shared" si="6"/>
        <v>0</v>
      </c>
      <c r="W35" s="96">
        <v>2.9</v>
      </c>
      <c r="X35" s="96">
        <f t="shared" si="1"/>
        <v>2.9</v>
      </c>
      <c r="Y35" s="97"/>
      <c r="Z35" s="154">
        <v>0</v>
      </c>
      <c r="AA35" s="154">
        <v>0</v>
      </c>
      <c r="AB35" s="154">
        <v>0</v>
      </c>
      <c r="AC35" s="154">
        <v>0</v>
      </c>
      <c r="AD35" s="154">
        <v>0</v>
      </c>
      <c r="AE35" s="154">
        <v>0</v>
      </c>
      <c r="AF35" s="47" t="s">
        <v>90</v>
      </c>
      <c r="AG35" s="47" t="s">
        <v>90</v>
      </c>
      <c r="AH35" s="98" t="s">
        <v>90</v>
      </c>
      <c r="AI35" s="103">
        <v>17352234</v>
      </c>
      <c r="AJ35" s="45">
        <f t="shared" si="7"/>
        <v>0</v>
      </c>
      <c r="AK35" s="48" t="e">
        <f t="shared" si="9"/>
        <v>#DIV/0!</v>
      </c>
      <c r="AL35" s="151">
        <v>0</v>
      </c>
      <c r="AM35" s="151">
        <v>0</v>
      </c>
      <c r="AN35" s="151">
        <v>0</v>
      </c>
      <c r="AO35" s="151">
        <v>0</v>
      </c>
      <c r="AP35" s="151">
        <v>0</v>
      </c>
      <c r="AQ35" s="151">
        <v>0</v>
      </c>
      <c r="AR35" s="151">
        <v>0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43293</v>
      </c>
      <c r="B36" s="40">
        <v>2.9583333333333299</v>
      </c>
      <c r="C36" s="40">
        <v>1</v>
      </c>
      <c r="D36" s="152"/>
      <c r="E36" s="150">
        <f t="shared" si="2"/>
        <v>0</v>
      </c>
      <c r="F36" s="150"/>
      <c r="G36" s="118"/>
      <c r="H36" s="150">
        <f t="shared" si="0"/>
        <v>0</v>
      </c>
      <c r="I36" s="150"/>
      <c r="J36" s="41" t="s">
        <v>88</v>
      </c>
      <c r="K36" s="41">
        <f t="shared" si="3"/>
        <v>-4.9295774647887329</v>
      </c>
      <c r="L36" s="42">
        <f>(G36-5)/1.42</f>
        <v>-3.5211267605633805</v>
      </c>
      <c r="M36" s="41">
        <f t="shared" si="12"/>
        <v>0.70422535211267645</v>
      </c>
      <c r="N36" s="43">
        <v>14</v>
      </c>
      <c r="O36" s="44" t="s">
        <v>116</v>
      </c>
      <c r="P36" s="58">
        <v>11.5</v>
      </c>
      <c r="Q36" s="153"/>
      <c r="R36" s="153"/>
      <c r="S36" s="153">
        <v>101245141</v>
      </c>
      <c r="T36" s="45">
        <f t="shared" si="4"/>
        <v>0</v>
      </c>
      <c r="U36" s="46">
        <f t="shared" si="5"/>
        <v>0</v>
      </c>
      <c r="V36" s="46">
        <f t="shared" si="6"/>
        <v>0</v>
      </c>
      <c r="W36" s="96">
        <v>2.9</v>
      </c>
      <c r="X36" s="96">
        <f t="shared" si="1"/>
        <v>2.9</v>
      </c>
      <c r="Y36" s="97"/>
      <c r="Z36" s="154">
        <v>0</v>
      </c>
      <c r="AA36" s="154">
        <v>0</v>
      </c>
      <c r="AB36" s="154">
        <v>0</v>
      </c>
      <c r="AC36" s="154">
        <v>0</v>
      </c>
      <c r="AD36" s="154">
        <v>0</v>
      </c>
      <c r="AE36" s="154">
        <v>0</v>
      </c>
      <c r="AF36" s="47" t="s">
        <v>90</v>
      </c>
      <c r="AG36" s="47" t="s">
        <v>90</v>
      </c>
      <c r="AH36" s="98" t="s">
        <v>90</v>
      </c>
      <c r="AI36" s="103">
        <v>17352234</v>
      </c>
      <c r="AJ36" s="45">
        <f t="shared" si="7"/>
        <v>0</v>
      </c>
      <c r="AK36" s="48" t="e">
        <f t="shared" si="9"/>
        <v>#DIV/0!</v>
      </c>
      <c r="AL36" s="151">
        <v>0</v>
      </c>
      <c r="AM36" s="151">
        <v>0</v>
      </c>
      <c r="AN36" s="151">
        <v>0</v>
      </c>
      <c r="AO36" s="151">
        <v>0</v>
      </c>
      <c r="AP36" s="151">
        <v>0</v>
      </c>
      <c r="AQ36" s="151">
        <v>0</v>
      </c>
      <c r="AR36" s="151">
        <v>0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79823</v>
      </c>
      <c r="U37" s="46">
        <f t="shared" si="5"/>
        <v>1915.752</v>
      </c>
      <c r="V37" s="46">
        <f t="shared" si="6"/>
        <v>79.822999999999993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19480</v>
      </c>
      <c r="AK37" s="61">
        <f>$AJ$37/$V37</f>
        <v>244.03993836362955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1.0150000000000001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214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179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32" t="s">
        <v>215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171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/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/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/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/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/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/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/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3:W4" name="Range1_16_1_1_1_1_1_1_2_2_2_2_2_2_2_2_2_2_2_2_2_2_2_2_2_2_2_2_2_2_2_1_2_2_2_2_2_2_2_2_2_2_3_2_2_2_2_2_2_2_2_2_2_1_1_1_1_2_2_1_1_1_1_1_1_1_1_1_1_1_1_1_1_3_1_2_1_1_1_1_1_1_2_1_1_1_1_1"/>
    <protectedRange sqref="R5:W5" name="Range1_16_1_1_1_1_1_1_2_2_2_2_2_2_2_2_2_2_2_2_2_2_2_2_2_2_2_2_2_2_2_1_2_2_2_2_2_2_2_2_2_2_3_2_2_2_2_2_2_2_2_2_2_1_1_1_1_2_2_1_1_1_1_1_1_1_1_1_1_3_1_3_2_1_1_1_1_1_2_1_1_1_1_1_2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4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39" priority="5" operator="containsText" text="N/A">
      <formula>NOT(ISERROR(SEARCH("N/A",Z13)))</formula>
    </cfRule>
    <cfRule type="cellIs" dxfId="338" priority="17" operator="equal">
      <formula>0</formula>
    </cfRule>
  </conditionalFormatting>
  <conditionalFormatting sqref="Z13:AG36">
    <cfRule type="cellIs" dxfId="337" priority="16" operator="greaterThanOrEqual">
      <formula>1185</formula>
    </cfRule>
  </conditionalFormatting>
  <conditionalFormatting sqref="Z13:AG36">
    <cfRule type="cellIs" dxfId="336" priority="15" operator="between">
      <formula>0.1</formula>
      <formula>1184</formula>
    </cfRule>
  </conditionalFormatting>
  <conditionalFormatting sqref="Z8:Z9 AT13:AT36 AL37:AQ37 AL13:AR36">
    <cfRule type="cellIs" dxfId="335" priority="14" operator="equal">
      <formula>0</formula>
    </cfRule>
  </conditionalFormatting>
  <conditionalFormatting sqref="Z8:Z9 AT13:AT36 AL37:AQ37 AL13:AR36">
    <cfRule type="cellIs" dxfId="334" priority="13" operator="greaterThan">
      <formula>1179</formula>
    </cfRule>
  </conditionalFormatting>
  <conditionalFormatting sqref="Z8:Z9 AT13:AT36 AL37:AQ37 AL13:AR36">
    <cfRule type="cellIs" dxfId="333" priority="12" operator="greaterThan">
      <formula>99</formula>
    </cfRule>
  </conditionalFormatting>
  <conditionalFormatting sqref="Z8:Z9 AT13:AT36 AL37:AQ37 AL13:AR36">
    <cfRule type="cellIs" dxfId="332" priority="11" operator="greaterThan">
      <formula>0.99</formula>
    </cfRule>
  </conditionalFormatting>
  <conditionalFormatting sqref="AD8:AD9">
    <cfRule type="cellIs" dxfId="331" priority="10" operator="equal">
      <formula>0</formula>
    </cfRule>
  </conditionalFormatting>
  <conditionalFormatting sqref="AD8:AD9">
    <cfRule type="cellIs" dxfId="330" priority="9" operator="greaterThan">
      <formula>1179</formula>
    </cfRule>
  </conditionalFormatting>
  <conditionalFormatting sqref="AD8:AD9">
    <cfRule type="cellIs" dxfId="329" priority="8" operator="greaterThan">
      <formula>99</formula>
    </cfRule>
  </conditionalFormatting>
  <conditionalFormatting sqref="AD8:AD9">
    <cfRule type="cellIs" dxfId="328" priority="7" operator="greaterThan">
      <formula>0.99</formula>
    </cfRule>
  </conditionalFormatting>
  <conditionalFormatting sqref="AK13:AK36">
    <cfRule type="cellIs" dxfId="327" priority="6" operator="greaterThan">
      <formula>$AK$8</formula>
    </cfRule>
  </conditionalFormatting>
  <conditionalFormatting sqref="AS13:AS36">
    <cfRule type="containsText" dxfId="326" priority="1" operator="containsText" text="N/A">
      <formula>NOT(ISERROR(SEARCH("N/A",AS13)))</formula>
    </cfRule>
    <cfRule type="cellIs" dxfId="325" priority="4" operator="equal">
      <formula>0</formula>
    </cfRule>
  </conditionalFormatting>
  <conditionalFormatting sqref="AS13:AS36">
    <cfRule type="cellIs" dxfId="324" priority="3" operator="greaterThanOrEqual">
      <formula>1185</formula>
    </cfRule>
  </conditionalFormatting>
  <conditionalFormatting sqref="AS13:AS36">
    <cfRule type="cellIs" dxfId="323" priority="2" operator="between">
      <formula>0.1</formula>
      <formula>1184</formula>
    </cfRule>
  </conditionalFormatting>
  <dataValidations count="4">
    <dataValidation type="list" allowBlank="1" showInputMessage="1" showErrorMessage="1" sqref="J13:J36" xr:uid="{00000000-0002-0000-0B00-000000000000}">
      <formula1>$AY$11:$AY$21</formula1>
    </dataValidation>
    <dataValidation type="list" allowBlank="1" showInputMessage="1" showErrorMessage="1" sqref="AS8:AT9 P11:P12 N11:N12 D8:E9 Q8:V9" xr:uid="{00000000-0002-0000-0B00-000001000000}">
      <formula1>#REF!</formula1>
    </dataValidation>
    <dataValidation type="list" allowBlank="1" showInputMessage="1" showErrorMessage="1" sqref="AY33:AZ33" xr:uid="{00000000-0002-0000-0B00-000002000000}">
      <formula1>$AY$26:$AY$30</formula1>
    </dataValidation>
    <dataValidation type="list" allowBlank="1" showInputMessage="1" showErrorMessage="1" sqref="R3:R5" xr:uid="{00000000-0002-0000-0B00-000003000000}">
      <formula1>$BB$11:$BB$42</formula1>
    </dataValidation>
  </dataValidations>
  <hyperlinks>
    <hyperlink ref="J10:J11" location="'1'!AH8" display="Plant Status" xr:uid="{00000000-0004-0000-0B00-000000000000}"/>
  </hyperlinks>
  <pageMargins left="0.7" right="0.7" top="0.75" bottom="0.75" header="0.3" footer="0.3"/>
  <pageSetup paperSize="9" orientation="portrait" horizont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7030A0"/>
  </sheetPr>
  <dimension ref="A2:BB88"/>
  <sheetViews>
    <sheetView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152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32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22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22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43294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27016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23"/>
      <c r="C9" s="224"/>
      <c r="D9" s="225"/>
      <c r="E9" s="226"/>
      <c r="F9" s="226"/>
      <c r="G9" s="226"/>
      <c r="H9" s="226"/>
      <c r="I9" s="227"/>
      <c r="J9" s="121"/>
      <c r="K9" s="225"/>
      <c r="L9" s="226"/>
      <c r="M9" s="227"/>
      <c r="N9" s="29"/>
      <c r="O9" s="29"/>
      <c r="P9" s="29"/>
      <c r="Q9" s="121"/>
      <c r="R9" s="121"/>
      <c r="S9" s="121"/>
      <c r="T9" s="122"/>
      <c r="U9" s="123"/>
      <c r="V9" s="124"/>
      <c r="W9" s="225"/>
      <c r="X9" s="227"/>
      <c r="Y9" s="30"/>
      <c r="Z9" s="228"/>
      <c r="AA9" s="125"/>
      <c r="AB9" s="126"/>
      <c r="AC9" s="126"/>
      <c r="AD9" s="125"/>
      <c r="AE9" s="125"/>
      <c r="AF9" s="127"/>
      <c r="AG9" s="229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33" t="s">
        <v>51</v>
      </c>
      <c r="X10" s="233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31" t="s">
        <v>55</v>
      </c>
      <c r="AI10" s="231" t="s">
        <v>56</v>
      </c>
      <c r="AJ10" s="314" t="s">
        <v>57</v>
      </c>
      <c r="AK10" s="329" t="s">
        <v>58</v>
      </c>
      <c r="AL10" s="233" t="s">
        <v>59</v>
      </c>
      <c r="AM10" s="233" t="s">
        <v>60</v>
      </c>
      <c r="AN10" s="233" t="s">
        <v>61</v>
      </c>
      <c r="AO10" s="233" t="s">
        <v>62</v>
      </c>
      <c r="AP10" s="233" t="s">
        <v>63</v>
      </c>
      <c r="AQ10" s="233" t="s">
        <v>124</v>
      </c>
      <c r="AR10" s="233" t="s">
        <v>64</v>
      </c>
      <c r="AS10" s="233" t="s">
        <v>65</v>
      </c>
      <c r="AT10" s="312" t="s">
        <v>66</v>
      </c>
      <c r="AU10" s="233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33" t="s">
        <v>72</v>
      </c>
      <c r="C11" s="233" t="s">
        <v>73</v>
      </c>
      <c r="D11" s="233" t="s">
        <v>74</v>
      </c>
      <c r="E11" s="233" t="s">
        <v>75</v>
      </c>
      <c r="F11" s="233" t="s">
        <v>127</v>
      </c>
      <c r="G11" s="233" t="s">
        <v>74</v>
      </c>
      <c r="H11" s="233" t="s">
        <v>75</v>
      </c>
      <c r="I11" s="233" t="s">
        <v>127</v>
      </c>
      <c r="J11" s="309"/>
      <c r="K11" s="233" t="s">
        <v>75</v>
      </c>
      <c r="L11" s="233" t="s">
        <v>75</v>
      </c>
      <c r="M11" s="233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12'!S36</f>
        <v>101245141</v>
      </c>
      <c r="T11" s="322"/>
      <c r="U11" s="323"/>
      <c r="V11" s="324"/>
      <c r="W11" s="233" t="s">
        <v>75</v>
      </c>
      <c r="X11" s="233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12'!AI36</f>
        <v>17352234</v>
      </c>
      <c r="AJ11" s="314"/>
      <c r="AK11" s="330"/>
      <c r="AL11" s="233" t="s">
        <v>84</v>
      </c>
      <c r="AM11" s="233" t="s">
        <v>84</v>
      </c>
      <c r="AN11" s="233" t="s">
        <v>84</v>
      </c>
      <c r="AO11" s="233" t="s">
        <v>84</v>
      </c>
      <c r="AP11" s="233" t="s">
        <v>84</v>
      </c>
      <c r="AQ11" s="233" t="s">
        <v>84</v>
      </c>
      <c r="AR11" s="233" t="s">
        <v>84</v>
      </c>
      <c r="AS11" s="1"/>
      <c r="AT11" s="313"/>
      <c r="AU11" s="230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43294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2</v>
      </c>
      <c r="G13" s="118">
        <v>33</v>
      </c>
      <c r="H13" s="150">
        <f t="shared" ref="H13:H36" si="0">G13/1.42</f>
        <v>23.239436619718312</v>
      </c>
      <c r="I13" s="150">
        <v>30</v>
      </c>
      <c r="J13" s="41" t="s">
        <v>88</v>
      </c>
      <c r="K13" s="41">
        <f>L13-(2/1.42)</f>
        <v>18.30985915492958</v>
      </c>
      <c r="L13" s="42">
        <f>(G13-5)/1.42</f>
        <v>19.718309859154932</v>
      </c>
      <c r="M13" s="41">
        <f>L13+(6/1.42)</f>
        <v>23.943661971830988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101254280</v>
      </c>
      <c r="T13" s="45">
        <f>IF(ISBLANK(S13),"-",S13-S11)</f>
        <v>9139</v>
      </c>
      <c r="U13" s="46">
        <f>T13*24/1000</f>
        <v>219.33600000000001</v>
      </c>
      <c r="V13" s="46">
        <f>T13/1000</f>
        <v>9.1389999999999993</v>
      </c>
      <c r="W13" s="96">
        <v>2.8</v>
      </c>
      <c r="X13" s="96">
        <f t="shared" ref="X13:X36" si="1">W13</f>
        <v>2.8</v>
      </c>
      <c r="Y13" s="97" t="s">
        <v>216</v>
      </c>
      <c r="Z13" s="154">
        <v>0</v>
      </c>
      <c r="AA13" s="154">
        <v>0</v>
      </c>
      <c r="AB13" s="154">
        <v>0</v>
      </c>
      <c r="AC13" s="154">
        <v>0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17353131</v>
      </c>
      <c r="AJ13" s="45">
        <f>IF(ISBLANK(AI13),"-",AI13-AI11)</f>
        <v>897</v>
      </c>
      <c r="AK13" s="48">
        <f>AJ13/V13</f>
        <v>98.150782361308686</v>
      </c>
      <c r="AL13" s="151">
        <v>0</v>
      </c>
      <c r="AM13" s="151">
        <v>0</v>
      </c>
      <c r="AN13" s="151">
        <v>0</v>
      </c>
      <c r="AO13" s="151">
        <v>0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43294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2</v>
      </c>
      <c r="G14" s="118">
        <v>35</v>
      </c>
      <c r="H14" s="150">
        <f t="shared" si="0"/>
        <v>24.647887323943664</v>
      </c>
      <c r="I14" s="150">
        <v>31</v>
      </c>
      <c r="J14" s="41" t="s">
        <v>88</v>
      </c>
      <c r="K14" s="41">
        <f t="shared" ref="K14:K36" si="3">L14-(2/1.42)</f>
        <v>19.718309859154932</v>
      </c>
      <c r="L14" s="42">
        <f>(G14-5)/1.42</f>
        <v>21.126760563380284</v>
      </c>
      <c r="M14" s="41">
        <f>L14+(6/1.42)</f>
        <v>25.35211267605634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101255580</v>
      </c>
      <c r="T14" s="45">
        <f t="shared" ref="T14:T36" si="4">IF(ISBLANK(S14),"-",S14-S13)</f>
        <v>1300</v>
      </c>
      <c r="U14" s="46">
        <f t="shared" ref="U14:U37" si="5">T14*24/1000</f>
        <v>31.2</v>
      </c>
      <c r="V14" s="46">
        <f t="shared" ref="V14:V37" si="6">T14/1000</f>
        <v>1.3</v>
      </c>
      <c r="W14" s="96">
        <v>5</v>
      </c>
      <c r="X14" s="96">
        <f t="shared" si="1"/>
        <v>5</v>
      </c>
      <c r="Y14" s="97" t="s">
        <v>216</v>
      </c>
      <c r="Z14" s="154">
        <v>0</v>
      </c>
      <c r="AA14" s="154">
        <v>0</v>
      </c>
      <c r="AB14" s="154">
        <v>0</v>
      </c>
      <c r="AC14" s="154">
        <v>0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17354113</v>
      </c>
      <c r="AJ14" s="45">
        <f t="shared" ref="AJ14:AJ36" si="7">IF(ISBLANK(AI14),"-",AI14-AI13)</f>
        <v>982</v>
      </c>
      <c r="AK14" s="48">
        <f>AJ14/V14</f>
        <v>755.38461538461536</v>
      </c>
      <c r="AL14" s="151">
        <v>0</v>
      </c>
      <c r="AM14" s="151">
        <v>0</v>
      </c>
      <c r="AN14" s="151">
        <v>0</v>
      </c>
      <c r="AO14" s="151">
        <v>0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0.87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43294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5</v>
      </c>
      <c r="G15" s="118">
        <v>64</v>
      </c>
      <c r="H15" s="150">
        <f t="shared" si="0"/>
        <v>45.070422535211272</v>
      </c>
      <c r="I15" s="150">
        <v>60</v>
      </c>
      <c r="J15" s="41" t="s">
        <v>88</v>
      </c>
      <c r="K15" s="41">
        <f t="shared" si="3"/>
        <v>40.140845070422536</v>
      </c>
      <c r="L15" s="42">
        <f>(G15-5)/1.42</f>
        <v>41.549295774647888</v>
      </c>
      <c r="M15" s="41">
        <f>L15+(6/1.42)</f>
        <v>45.774647887323944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101258390</v>
      </c>
      <c r="T15" s="45">
        <f>IF(ISBLANK(S15),"-",S15-S14)</f>
        <v>2810</v>
      </c>
      <c r="U15" s="46">
        <f t="shared" si="5"/>
        <v>67.44</v>
      </c>
      <c r="V15" s="46">
        <f t="shared" si="6"/>
        <v>2.81</v>
      </c>
      <c r="W15" s="96">
        <v>6.4</v>
      </c>
      <c r="X15" s="96">
        <f t="shared" si="1"/>
        <v>6.4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17354989</v>
      </c>
      <c r="AJ15" s="45">
        <f t="shared" si="7"/>
        <v>876</v>
      </c>
      <c r="AK15" s="48">
        <f t="shared" ref="AK15:AK36" si="9">AJ15/V15</f>
        <v>311.74377224199287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43294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65</v>
      </c>
      <c r="H16" s="150">
        <f t="shared" si="0"/>
        <v>45.774647887323944</v>
      </c>
      <c r="I16" s="150">
        <v>62</v>
      </c>
      <c r="J16" s="41" t="s">
        <v>88</v>
      </c>
      <c r="K16" s="41">
        <f t="shared" si="3"/>
        <v>40.845070422535215</v>
      </c>
      <c r="L16" s="42">
        <f>(G16-5)/1.42</f>
        <v>42.253521126760567</v>
      </c>
      <c r="M16" s="41">
        <f>L16+(6/1.42)</f>
        <v>46.478873239436624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101261985</v>
      </c>
      <c r="T16" s="45">
        <f t="shared" si="4"/>
        <v>3595</v>
      </c>
      <c r="U16" s="46">
        <f t="shared" si="5"/>
        <v>86.28</v>
      </c>
      <c r="V16" s="46">
        <f t="shared" si="6"/>
        <v>3.5950000000000002</v>
      </c>
      <c r="W16" s="96">
        <v>8</v>
      </c>
      <c r="X16" s="96">
        <f t="shared" si="1"/>
        <v>8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17356118</v>
      </c>
      <c r="AJ16" s="45">
        <f t="shared" si="7"/>
        <v>1129</v>
      </c>
      <c r="AK16" s="48">
        <f t="shared" si="9"/>
        <v>314.04728789986092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43294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77</v>
      </c>
      <c r="H17" s="150">
        <f t="shared" si="0"/>
        <v>54.225352112676056</v>
      </c>
      <c r="I17" s="150">
        <v>75</v>
      </c>
      <c r="J17" s="41" t="s">
        <v>88</v>
      </c>
      <c r="K17" s="41">
        <f t="shared" si="3"/>
        <v>49.295774647887328</v>
      </c>
      <c r="L17" s="42">
        <f>(G17-5)/1.42</f>
        <v>50.70422535211268</v>
      </c>
      <c r="M17" s="41">
        <f>L17+(6/1.42)</f>
        <v>54.929577464788736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101265677</v>
      </c>
      <c r="T17" s="45">
        <f t="shared" si="4"/>
        <v>3692</v>
      </c>
      <c r="U17" s="46">
        <f t="shared" si="5"/>
        <v>88.608000000000004</v>
      </c>
      <c r="V17" s="46">
        <f t="shared" si="6"/>
        <v>3.6920000000000002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17357240</v>
      </c>
      <c r="AJ17" s="45">
        <f t="shared" si="7"/>
        <v>1122</v>
      </c>
      <c r="AK17" s="48">
        <f t="shared" si="9"/>
        <v>303.90032502708556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43294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80</v>
      </c>
      <c r="H18" s="150">
        <f t="shared" si="0"/>
        <v>56.338028169014088</v>
      </c>
      <c r="I18" s="150">
        <v>78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101270226</v>
      </c>
      <c r="T18" s="45">
        <f t="shared" si="4"/>
        <v>4549</v>
      </c>
      <c r="U18" s="46">
        <f t="shared" si="5"/>
        <v>109.176</v>
      </c>
      <c r="V18" s="46">
        <f t="shared" si="6"/>
        <v>4.5490000000000004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17358468</v>
      </c>
      <c r="AJ18" s="45">
        <f t="shared" si="7"/>
        <v>1228</v>
      </c>
      <c r="AK18" s="48">
        <f t="shared" si="9"/>
        <v>269.94943943723894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0.95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43294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79</v>
      </c>
      <c r="H19" s="150">
        <f t="shared" si="0"/>
        <v>55.633802816901408</v>
      </c>
      <c r="I19" s="150">
        <v>77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101275344</v>
      </c>
      <c r="T19" s="45">
        <f t="shared" si="4"/>
        <v>5118</v>
      </c>
      <c r="U19" s="46">
        <f t="shared" si="5"/>
        <v>122.83199999999999</v>
      </c>
      <c r="V19" s="46">
        <f t="shared" si="6"/>
        <v>5.1180000000000003</v>
      </c>
      <c r="W19" s="96">
        <v>8.9</v>
      </c>
      <c r="X19" s="96">
        <f t="shared" si="1"/>
        <v>8.9</v>
      </c>
      <c r="Y19" s="97" t="s">
        <v>168</v>
      </c>
      <c r="Z19" s="154">
        <v>1047</v>
      </c>
      <c r="AA19" s="154">
        <v>0</v>
      </c>
      <c r="AB19" s="154">
        <v>1188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17359561</v>
      </c>
      <c r="AJ19" s="45">
        <f t="shared" si="7"/>
        <v>1093</v>
      </c>
      <c r="AK19" s="48">
        <f t="shared" si="9"/>
        <v>213.55998436889408</v>
      </c>
      <c r="AL19" s="151">
        <v>1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43294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6</v>
      </c>
      <c r="G20" s="118">
        <v>76</v>
      </c>
      <c r="H20" s="150">
        <f t="shared" si="0"/>
        <v>53.521126760563384</v>
      </c>
      <c r="I20" s="150">
        <v>74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101281266</v>
      </c>
      <c r="T20" s="45">
        <f t="shared" si="4"/>
        <v>5922</v>
      </c>
      <c r="U20" s="46">
        <f>T20*24/1000</f>
        <v>142.12799999999999</v>
      </c>
      <c r="V20" s="46">
        <f t="shared" si="6"/>
        <v>5.9219999999999997</v>
      </c>
      <c r="W20" s="96">
        <v>8.3000000000000007</v>
      </c>
      <c r="X20" s="96">
        <f t="shared" si="1"/>
        <v>8.3000000000000007</v>
      </c>
      <c r="Y20" s="97" t="s">
        <v>168</v>
      </c>
      <c r="Z20" s="154">
        <v>1027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17360734</v>
      </c>
      <c r="AJ20" s="45">
        <f t="shared" si="7"/>
        <v>1173</v>
      </c>
      <c r="AK20" s="48">
        <f t="shared" si="9"/>
        <v>198.07497467071937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43294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6</v>
      </c>
      <c r="G21" s="118">
        <v>76</v>
      </c>
      <c r="H21" s="150">
        <f t="shared" si="0"/>
        <v>53.521126760563384</v>
      </c>
      <c r="I21" s="150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101285815</v>
      </c>
      <c r="T21" s="45">
        <f t="shared" si="4"/>
        <v>4549</v>
      </c>
      <c r="U21" s="46">
        <f t="shared" si="5"/>
        <v>109.176</v>
      </c>
      <c r="V21" s="46">
        <f t="shared" si="6"/>
        <v>4.5490000000000004</v>
      </c>
      <c r="W21" s="96">
        <v>7.6</v>
      </c>
      <c r="X21" s="96">
        <f t="shared" si="1"/>
        <v>7.6</v>
      </c>
      <c r="Y21" s="97" t="s">
        <v>168</v>
      </c>
      <c r="Z21" s="154">
        <v>1045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17361916</v>
      </c>
      <c r="AJ21" s="45">
        <f t="shared" si="7"/>
        <v>1182</v>
      </c>
      <c r="AK21" s="48">
        <f t="shared" si="9"/>
        <v>259.83732688502965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43294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5</v>
      </c>
      <c r="G22" s="118">
        <v>76</v>
      </c>
      <c r="H22" s="150">
        <f t="shared" si="0"/>
        <v>53.521126760563384</v>
      </c>
      <c r="I22" s="150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101290146</v>
      </c>
      <c r="T22" s="45">
        <f t="shared" si="4"/>
        <v>4331</v>
      </c>
      <c r="U22" s="46">
        <f t="shared" si="5"/>
        <v>103.944</v>
      </c>
      <c r="V22" s="46">
        <f t="shared" si="6"/>
        <v>4.3310000000000004</v>
      </c>
      <c r="W22" s="96">
        <v>7</v>
      </c>
      <c r="X22" s="96">
        <f t="shared" si="1"/>
        <v>7</v>
      </c>
      <c r="Y22" s="97" t="s">
        <v>168</v>
      </c>
      <c r="Z22" s="154">
        <v>1027</v>
      </c>
      <c r="AA22" s="154">
        <v>0</v>
      </c>
      <c r="AB22" s="154">
        <v>1188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17363122</v>
      </c>
      <c r="AJ22" s="45">
        <f t="shared" si="7"/>
        <v>1206</v>
      </c>
      <c r="AK22" s="48">
        <f t="shared" si="9"/>
        <v>278.45763103209418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1.03</v>
      </c>
      <c r="AV22" s="50" t="s">
        <v>126</v>
      </c>
      <c r="BB22" s="136" t="s">
        <v>156</v>
      </c>
    </row>
    <row r="23" spans="1:54" x14ac:dyDescent="0.35">
      <c r="A23" s="331">
        <v>43294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101294887</v>
      </c>
      <c r="T23" s="45">
        <f t="shared" si="4"/>
        <v>4741</v>
      </c>
      <c r="U23" s="46">
        <f t="shared" si="5"/>
        <v>113.78400000000001</v>
      </c>
      <c r="V23" s="46">
        <f t="shared" si="6"/>
        <v>4.7409999999999997</v>
      </c>
      <c r="W23" s="96">
        <v>6.4</v>
      </c>
      <c r="X23" s="96">
        <f>W23</f>
        <v>6.4</v>
      </c>
      <c r="Y23" s="97" t="s">
        <v>168</v>
      </c>
      <c r="Z23" s="154">
        <v>1026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17364391</v>
      </c>
      <c r="AJ23" s="45">
        <f t="shared" si="7"/>
        <v>1269</v>
      </c>
      <c r="AK23" s="48">
        <f t="shared" si="9"/>
        <v>267.66504956760178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43294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75</v>
      </c>
      <c r="H24" s="150">
        <f t="shared" si="0"/>
        <v>52.816901408450704</v>
      </c>
      <c r="I24" s="150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101298897</v>
      </c>
      <c r="T24" s="45">
        <f t="shared" si="4"/>
        <v>4010</v>
      </c>
      <c r="U24" s="46">
        <f>T24*24/1000</f>
        <v>96.24</v>
      </c>
      <c r="V24" s="46">
        <f t="shared" si="6"/>
        <v>4.01</v>
      </c>
      <c r="W24" s="96">
        <v>5.8</v>
      </c>
      <c r="X24" s="96">
        <f t="shared" si="1"/>
        <v>5.8</v>
      </c>
      <c r="Y24" s="97" t="s">
        <v>168</v>
      </c>
      <c r="Z24" s="154">
        <v>1025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17365489</v>
      </c>
      <c r="AJ24" s="45">
        <f t="shared" si="7"/>
        <v>1098</v>
      </c>
      <c r="AK24" s="48">
        <f t="shared" si="9"/>
        <v>273.81546134663341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43294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3</v>
      </c>
      <c r="G25" s="118">
        <v>76</v>
      </c>
      <c r="H25" s="150">
        <f t="shared" si="0"/>
        <v>53.521126760563384</v>
      </c>
      <c r="I25" s="150">
        <v>74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101303605</v>
      </c>
      <c r="T25" s="45">
        <f t="shared" si="4"/>
        <v>4708</v>
      </c>
      <c r="U25" s="46">
        <f>T25*24/1000</f>
        <v>112.992</v>
      </c>
      <c r="V25" s="46">
        <f t="shared" si="6"/>
        <v>4.7080000000000002</v>
      </c>
      <c r="W25" s="96">
        <v>5.3</v>
      </c>
      <c r="X25" s="96">
        <f t="shared" si="1"/>
        <v>5.3</v>
      </c>
      <c r="Y25" s="97" t="s">
        <v>168</v>
      </c>
      <c r="Z25" s="154">
        <v>1025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17366748</v>
      </c>
      <c r="AJ25" s="45">
        <f t="shared" si="7"/>
        <v>1259</v>
      </c>
      <c r="AK25" s="48">
        <f t="shared" si="9"/>
        <v>267.41716227697538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43294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3</v>
      </c>
      <c r="G26" s="118">
        <v>75</v>
      </c>
      <c r="H26" s="150">
        <f t="shared" si="0"/>
        <v>52.816901408450704</v>
      </c>
      <c r="I26" s="150">
        <v>74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101308222</v>
      </c>
      <c r="T26" s="45">
        <f t="shared" si="4"/>
        <v>4617</v>
      </c>
      <c r="U26" s="46">
        <f t="shared" si="5"/>
        <v>110.80800000000001</v>
      </c>
      <c r="V26" s="46">
        <f t="shared" si="6"/>
        <v>4.617</v>
      </c>
      <c r="W26" s="96">
        <v>4.9000000000000004</v>
      </c>
      <c r="X26" s="96">
        <f t="shared" si="1"/>
        <v>4.9000000000000004</v>
      </c>
      <c r="Y26" s="97" t="s">
        <v>168</v>
      </c>
      <c r="Z26" s="154">
        <v>1016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17367850</v>
      </c>
      <c r="AJ26" s="45">
        <f t="shared" si="7"/>
        <v>1102</v>
      </c>
      <c r="AK26" s="48">
        <f t="shared" si="9"/>
        <v>238.68312757201647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0.91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43294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3</v>
      </c>
      <c r="G27" s="118">
        <v>76</v>
      </c>
      <c r="H27" s="150">
        <f t="shared" si="0"/>
        <v>53.521126760563384</v>
      </c>
      <c r="I27" s="150">
        <v>74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101312612</v>
      </c>
      <c r="T27" s="45">
        <f t="shared" si="4"/>
        <v>4390</v>
      </c>
      <c r="U27" s="46">
        <f t="shared" si="5"/>
        <v>105.36</v>
      </c>
      <c r="V27" s="46">
        <f t="shared" si="6"/>
        <v>4.3899999999999997</v>
      </c>
      <c r="W27" s="96">
        <v>4.5</v>
      </c>
      <c r="X27" s="96">
        <f t="shared" si="1"/>
        <v>4.5</v>
      </c>
      <c r="Y27" s="97" t="s">
        <v>168</v>
      </c>
      <c r="Z27" s="154">
        <v>1016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17368989</v>
      </c>
      <c r="AJ27" s="45">
        <f t="shared" si="7"/>
        <v>1139</v>
      </c>
      <c r="AK27" s="48">
        <f t="shared" si="9"/>
        <v>259.45330296127565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43294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2</v>
      </c>
      <c r="G28" s="118">
        <v>76</v>
      </c>
      <c r="H28" s="150">
        <f t="shared" si="0"/>
        <v>53.521126760563384</v>
      </c>
      <c r="I28" s="150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101316998</v>
      </c>
      <c r="T28" s="45">
        <f t="shared" si="4"/>
        <v>4386</v>
      </c>
      <c r="U28" s="46">
        <f t="shared" si="5"/>
        <v>105.264</v>
      </c>
      <c r="V28" s="46">
        <f t="shared" si="6"/>
        <v>4.3860000000000001</v>
      </c>
      <c r="W28" s="96">
        <v>4.0999999999999996</v>
      </c>
      <c r="X28" s="96">
        <f t="shared" si="1"/>
        <v>4.0999999999999996</v>
      </c>
      <c r="Y28" s="97" t="s">
        <v>168</v>
      </c>
      <c r="Z28" s="154">
        <v>1016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17370157</v>
      </c>
      <c r="AJ28" s="45">
        <f>IF(ISBLANK(AI28),"-",AI28-AI27)</f>
        <v>1168</v>
      </c>
      <c r="AK28" s="48">
        <f t="shared" si="9"/>
        <v>266.30186958504333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43294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1</v>
      </c>
      <c r="G29" s="118">
        <v>75</v>
      </c>
      <c r="H29" s="150">
        <f t="shared" si="0"/>
        <v>52.816901408450704</v>
      </c>
      <c r="I29" s="150">
        <v>74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101321986</v>
      </c>
      <c r="T29" s="45">
        <f t="shared" si="4"/>
        <v>4988</v>
      </c>
      <c r="U29" s="46">
        <f t="shared" si="5"/>
        <v>119.712</v>
      </c>
      <c r="V29" s="46">
        <f t="shared" si="6"/>
        <v>4.9880000000000004</v>
      </c>
      <c r="W29" s="96">
        <v>3.7</v>
      </c>
      <c r="X29" s="96">
        <f t="shared" si="1"/>
        <v>3.7</v>
      </c>
      <c r="Y29" s="97" t="s">
        <v>168</v>
      </c>
      <c r="Z29" s="154">
        <v>1016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17371274</v>
      </c>
      <c r="AJ29" s="45">
        <f t="shared" si="7"/>
        <v>1117</v>
      </c>
      <c r="AK29" s="48">
        <f>AJ28/V29</f>
        <v>234.1619887730553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43294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1</v>
      </c>
      <c r="G30" s="118">
        <v>75</v>
      </c>
      <c r="H30" s="150">
        <f t="shared" si="0"/>
        <v>52.816901408450704</v>
      </c>
      <c r="I30" s="150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101326995</v>
      </c>
      <c r="T30" s="45">
        <f t="shared" si="4"/>
        <v>5009</v>
      </c>
      <c r="U30" s="46">
        <f t="shared" si="5"/>
        <v>120.21599999999999</v>
      </c>
      <c r="V30" s="46">
        <f t="shared" si="6"/>
        <v>5.0090000000000003</v>
      </c>
      <c r="W30" s="96">
        <v>3.3</v>
      </c>
      <c r="X30" s="96">
        <f t="shared" si="1"/>
        <v>3.3</v>
      </c>
      <c r="Y30" s="97" t="s">
        <v>168</v>
      </c>
      <c r="Z30" s="154">
        <v>1015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17372446</v>
      </c>
      <c r="AJ30" s="45">
        <f t="shared" si="7"/>
        <v>1172</v>
      </c>
      <c r="AK30" s="48">
        <f>AJ29/V30</f>
        <v>222.99860251547213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0.99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43294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0</v>
      </c>
      <c r="G31" s="118">
        <v>75</v>
      </c>
      <c r="H31" s="150">
        <f t="shared" si="0"/>
        <v>52.816901408450704</v>
      </c>
      <c r="I31" s="150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101332407</v>
      </c>
      <c r="T31" s="45">
        <f t="shared" si="4"/>
        <v>5412</v>
      </c>
      <c r="U31" s="46">
        <f t="shared" si="5"/>
        <v>129.88800000000001</v>
      </c>
      <c r="V31" s="46">
        <f t="shared" si="6"/>
        <v>5.4119999999999999</v>
      </c>
      <c r="W31" s="96">
        <v>3</v>
      </c>
      <c r="X31" s="96">
        <f t="shared" si="1"/>
        <v>3</v>
      </c>
      <c r="Y31" s="97" t="s">
        <v>168</v>
      </c>
      <c r="Z31" s="154">
        <v>1015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17373615</v>
      </c>
      <c r="AJ31" s="45">
        <f t="shared" si="7"/>
        <v>1169</v>
      </c>
      <c r="AK31" s="48">
        <f t="shared" si="9"/>
        <v>216.00147819660015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43294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-1</v>
      </c>
      <c r="G32" s="118">
        <v>75</v>
      </c>
      <c r="H32" s="150">
        <f t="shared" si="0"/>
        <v>52.816901408450704</v>
      </c>
      <c r="I32" s="150">
        <v>73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101337436</v>
      </c>
      <c r="T32" s="45">
        <f t="shared" si="4"/>
        <v>5029</v>
      </c>
      <c r="U32" s="46">
        <f t="shared" si="5"/>
        <v>120.696</v>
      </c>
      <c r="V32" s="46">
        <f t="shared" si="6"/>
        <v>5.0289999999999999</v>
      </c>
      <c r="W32" s="96">
        <v>2.7</v>
      </c>
      <c r="X32" s="96">
        <f t="shared" si="1"/>
        <v>2.7</v>
      </c>
      <c r="Y32" s="97" t="s">
        <v>168</v>
      </c>
      <c r="Z32" s="154">
        <v>1015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17374751</v>
      </c>
      <c r="AJ32" s="45">
        <f t="shared" si="7"/>
        <v>1136</v>
      </c>
      <c r="AK32" s="48">
        <f t="shared" si="9"/>
        <v>225.88983893418174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43294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-2</v>
      </c>
      <c r="G33" s="118">
        <v>75</v>
      </c>
      <c r="H33" s="150">
        <f t="shared" si="0"/>
        <v>52.816901408450704</v>
      </c>
      <c r="I33" s="150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101342290</v>
      </c>
      <c r="T33" s="45">
        <f t="shared" si="4"/>
        <v>4854</v>
      </c>
      <c r="U33" s="46">
        <f t="shared" si="5"/>
        <v>116.496</v>
      </c>
      <c r="V33" s="46">
        <f t="shared" si="6"/>
        <v>4.8540000000000001</v>
      </c>
      <c r="W33" s="96">
        <v>2.4</v>
      </c>
      <c r="X33" s="96">
        <f t="shared" si="1"/>
        <v>2.4</v>
      </c>
      <c r="Y33" s="97" t="s">
        <v>168</v>
      </c>
      <c r="Z33" s="154">
        <v>1016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17375901</v>
      </c>
      <c r="AJ33" s="45">
        <f t="shared" si="7"/>
        <v>1150</v>
      </c>
      <c r="AK33" s="48">
        <f t="shared" si="9"/>
        <v>236.91800576843841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43294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0</v>
      </c>
      <c r="G34" s="118">
        <v>75</v>
      </c>
      <c r="H34" s="150">
        <f t="shared" si="0"/>
        <v>52.816901408450704</v>
      </c>
      <c r="I34" s="150">
        <v>73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101347568</v>
      </c>
      <c r="T34" s="45">
        <f t="shared" si="4"/>
        <v>5278</v>
      </c>
      <c r="U34" s="46">
        <f t="shared" si="5"/>
        <v>126.672</v>
      </c>
      <c r="V34" s="46">
        <f t="shared" si="6"/>
        <v>5.2779999999999996</v>
      </c>
      <c r="W34" s="96">
        <v>2.2000000000000002</v>
      </c>
      <c r="X34" s="96">
        <f t="shared" si="1"/>
        <v>2.2000000000000002</v>
      </c>
      <c r="Y34" s="97" t="s">
        <v>168</v>
      </c>
      <c r="Z34" s="154">
        <v>1016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17377068</v>
      </c>
      <c r="AJ34" s="45">
        <f t="shared" si="7"/>
        <v>1167</v>
      </c>
      <c r="AK34" s="48">
        <f t="shared" si="9"/>
        <v>221.10647972716939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43294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0</v>
      </c>
      <c r="G35" s="118">
        <v>66</v>
      </c>
      <c r="H35" s="150">
        <f t="shared" si="0"/>
        <v>46.478873239436624</v>
      </c>
      <c r="I35" s="150">
        <v>64</v>
      </c>
      <c r="J35" s="41" t="s">
        <v>88</v>
      </c>
      <c r="K35" s="41">
        <f>L35-(2/1.42)</f>
        <v>41.549295774647888</v>
      </c>
      <c r="L35" s="42">
        <f>(G35-5)/1.42</f>
        <v>42.95774647887324</v>
      </c>
      <c r="M35" s="41">
        <f t="shared" si="12"/>
        <v>47.183098591549296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101351570</v>
      </c>
      <c r="T35" s="45">
        <f t="shared" si="4"/>
        <v>4002</v>
      </c>
      <c r="U35" s="46">
        <f t="shared" si="5"/>
        <v>96.048000000000002</v>
      </c>
      <c r="V35" s="46">
        <f t="shared" si="6"/>
        <v>4.0019999999999998</v>
      </c>
      <c r="W35" s="96">
        <v>3.3</v>
      </c>
      <c r="X35" s="96">
        <f t="shared" si="1"/>
        <v>3.3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17378166</v>
      </c>
      <c r="AJ35" s="45">
        <f t="shared" si="7"/>
        <v>1098</v>
      </c>
      <c r="AK35" s="48">
        <f t="shared" si="9"/>
        <v>274.36281859070465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43294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3</v>
      </c>
      <c r="G36" s="118">
        <v>68</v>
      </c>
      <c r="H36" s="150">
        <f t="shared" si="0"/>
        <v>47.887323943661976</v>
      </c>
      <c r="I36" s="150">
        <v>65</v>
      </c>
      <c r="J36" s="41" t="s">
        <v>88</v>
      </c>
      <c r="K36" s="41">
        <f t="shared" si="3"/>
        <v>42.95774647887324</v>
      </c>
      <c r="L36" s="42">
        <f>(G36-5)/1.42</f>
        <v>44.366197183098592</v>
      </c>
      <c r="M36" s="41">
        <f t="shared" si="12"/>
        <v>48.591549295774648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101355270</v>
      </c>
      <c r="T36" s="45">
        <f t="shared" si="4"/>
        <v>3700</v>
      </c>
      <c r="U36" s="46">
        <f t="shared" si="5"/>
        <v>88.8</v>
      </c>
      <c r="V36" s="46">
        <f t="shared" si="6"/>
        <v>3.7</v>
      </c>
      <c r="W36" s="96">
        <v>5</v>
      </c>
      <c r="X36" s="96">
        <f t="shared" si="1"/>
        <v>5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17379250</v>
      </c>
      <c r="AJ36" s="45">
        <f t="shared" si="7"/>
        <v>1084</v>
      </c>
      <c r="AK36" s="48">
        <f t="shared" si="9"/>
        <v>292.97297297297297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110129</v>
      </c>
      <c r="U37" s="46">
        <f t="shared" si="5"/>
        <v>2643.096</v>
      </c>
      <c r="V37" s="46">
        <f t="shared" si="6"/>
        <v>110.129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27016</v>
      </c>
      <c r="AK37" s="61">
        <f>$AJ$37/$V37</f>
        <v>245.31231555721018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0.95833333333333337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217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234" t="s">
        <v>218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219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67" t="s">
        <v>220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163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67" t="s">
        <v>221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164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166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15" t="s">
        <v>184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222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171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83" t="s">
        <v>172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173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32" t="s">
        <v>174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 t="s">
        <v>213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209" t="s">
        <v>176</v>
      </c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 t="s">
        <v>224</v>
      </c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4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3:W3" name="Range1_16_1_1_1_1_1_1_2_2_2_2_2_2_2_2_2_2_2_2_2_2_2_2_2_2_2_2_2_2_2_1_2_2_2_2_2_2_2_2_2_2_3_2_2_2_2_2_2_2_2_2_2_1_1_1_1_2_2_1_1_1_1_1_1_1_1_1_1_1_1_1_1_3_1_2_1_1_1_1_1_1_2_1_1_1_1_1_1"/>
    <protectedRange sqref="B55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R4:W4" name="Range1_16_1_1_1_1_1_1_2_2_2_2_2_2_2_2_2_2_2_2_2_2_2_2_2_2_2_2_2_2_2_1_2_2_2_2_2_2_2_2_2_2_3_2_2_2_2_2_2_2_2_2_2_1_1_1_1_2_2_1_1_1_1_1_1_1_1_1_1_1_1_1_1_3_1_2_1_1_1_1_1_2_2_2_2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22" priority="5" operator="containsText" text="N/A">
      <formula>NOT(ISERROR(SEARCH("N/A",Z13)))</formula>
    </cfRule>
    <cfRule type="cellIs" dxfId="321" priority="17" operator="equal">
      <formula>0</formula>
    </cfRule>
  </conditionalFormatting>
  <conditionalFormatting sqref="Z13:AG36">
    <cfRule type="cellIs" dxfId="320" priority="16" operator="greaterThanOrEqual">
      <formula>1185</formula>
    </cfRule>
  </conditionalFormatting>
  <conditionalFormatting sqref="Z13:AG36">
    <cfRule type="cellIs" dxfId="319" priority="15" operator="between">
      <formula>0.1</formula>
      <formula>1184</formula>
    </cfRule>
  </conditionalFormatting>
  <conditionalFormatting sqref="Z8:Z9 AT13:AT36 AL37:AQ37 AL13:AR36">
    <cfRule type="cellIs" dxfId="318" priority="14" operator="equal">
      <formula>0</formula>
    </cfRule>
  </conditionalFormatting>
  <conditionalFormatting sqref="Z8:Z9 AT13:AT36 AL37:AQ37 AL13:AR36">
    <cfRule type="cellIs" dxfId="317" priority="13" operator="greaterThan">
      <formula>1179</formula>
    </cfRule>
  </conditionalFormatting>
  <conditionalFormatting sqref="Z8:Z9 AT13:AT36 AL37:AQ37 AL13:AR36">
    <cfRule type="cellIs" dxfId="316" priority="12" operator="greaterThan">
      <formula>99</formula>
    </cfRule>
  </conditionalFormatting>
  <conditionalFormatting sqref="Z8:Z9 AT13:AT36 AL37:AQ37 AL13:AR36">
    <cfRule type="cellIs" dxfId="315" priority="11" operator="greaterThan">
      <formula>0.99</formula>
    </cfRule>
  </conditionalFormatting>
  <conditionalFormatting sqref="AD8:AD9">
    <cfRule type="cellIs" dxfId="314" priority="10" operator="equal">
      <formula>0</formula>
    </cfRule>
  </conditionalFormatting>
  <conditionalFormatting sqref="AD8:AD9">
    <cfRule type="cellIs" dxfId="313" priority="9" operator="greaterThan">
      <formula>1179</formula>
    </cfRule>
  </conditionalFormatting>
  <conditionalFormatting sqref="AD8:AD9">
    <cfRule type="cellIs" dxfId="312" priority="8" operator="greaterThan">
      <formula>99</formula>
    </cfRule>
  </conditionalFormatting>
  <conditionalFormatting sqref="AD8:AD9">
    <cfRule type="cellIs" dxfId="311" priority="7" operator="greaterThan">
      <formula>0.99</formula>
    </cfRule>
  </conditionalFormatting>
  <conditionalFormatting sqref="AK13:AK36">
    <cfRule type="cellIs" dxfId="310" priority="6" operator="greaterThan">
      <formula>$AK$8</formula>
    </cfRule>
  </conditionalFormatting>
  <conditionalFormatting sqref="AS13:AS36">
    <cfRule type="containsText" dxfId="309" priority="1" operator="containsText" text="N/A">
      <formula>NOT(ISERROR(SEARCH("N/A",AS13)))</formula>
    </cfRule>
    <cfRule type="cellIs" dxfId="308" priority="4" operator="equal">
      <formula>0</formula>
    </cfRule>
  </conditionalFormatting>
  <conditionalFormatting sqref="AS13:AS36">
    <cfRule type="cellIs" dxfId="307" priority="3" operator="greaterThanOrEqual">
      <formula>1185</formula>
    </cfRule>
  </conditionalFormatting>
  <conditionalFormatting sqref="AS13:AS36">
    <cfRule type="cellIs" dxfId="306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C00-000000000000}">
      <formula1>$BB$11:$BB$42</formula1>
    </dataValidation>
    <dataValidation type="list" allowBlank="1" showInputMessage="1" showErrorMessage="1" sqref="AY33:AZ33" xr:uid="{00000000-0002-0000-0C00-000001000000}">
      <formula1>$AY$26:$AY$30</formula1>
    </dataValidation>
    <dataValidation type="list" allowBlank="1" showInputMessage="1" showErrorMessage="1" sqref="AS8:AT9 P11:P12 N11:N12 D8:E9 Q8:V9" xr:uid="{00000000-0002-0000-0C00-000002000000}">
      <formula1>#REF!</formula1>
    </dataValidation>
    <dataValidation type="list" allowBlank="1" showInputMessage="1" showErrorMessage="1" sqref="J13:J36" xr:uid="{00000000-0002-0000-0C00-000003000000}">
      <formula1>$AY$11:$AY$21</formula1>
    </dataValidation>
  </dataValidations>
  <hyperlinks>
    <hyperlink ref="J10:J11" location="'1'!AH8" display="Plant Status" xr:uid="{00000000-0004-0000-0C00-000000000000}"/>
  </hyperlinks>
  <pageMargins left="0.7" right="0.7" top="0.75" bottom="0.75" header="0.3" footer="0.3"/>
  <pageSetup paperSize="9" orientation="portrait" horizont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7030A0"/>
  </sheetPr>
  <dimension ref="A2:BB88"/>
  <sheetViews>
    <sheetView topLeftCell="A13" zoomScaleNormal="100" workbookViewId="0">
      <selection activeCell="G24" sqref="G2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138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36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4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41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43295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27200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42"/>
      <c r="C9" s="243"/>
      <c r="D9" s="244"/>
      <c r="E9" s="245"/>
      <c r="F9" s="245"/>
      <c r="G9" s="245"/>
      <c r="H9" s="245"/>
      <c r="I9" s="246"/>
      <c r="J9" s="121"/>
      <c r="K9" s="244"/>
      <c r="L9" s="245"/>
      <c r="M9" s="246"/>
      <c r="N9" s="29"/>
      <c r="O9" s="29"/>
      <c r="P9" s="29"/>
      <c r="Q9" s="121"/>
      <c r="R9" s="121"/>
      <c r="S9" s="121"/>
      <c r="T9" s="122"/>
      <c r="U9" s="123"/>
      <c r="V9" s="124"/>
      <c r="W9" s="244"/>
      <c r="X9" s="246"/>
      <c r="Y9" s="30"/>
      <c r="Z9" s="239"/>
      <c r="AA9" s="125"/>
      <c r="AB9" s="126"/>
      <c r="AC9" s="126"/>
      <c r="AD9" s="125"/>
      <c r="AE9" s="125"/>
      <c r="AF9" s="127"/>
      <c r="AG9" s="24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37" t="s">
        <v>51</v>
      </c>
      <c r="X10" s="237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35" t="s">
        <v>55</v>
      </c>
      <c r="AI10" s="235" t="s">
        <v>56</v>
      </c>
      <c r="AJ10" s="314" t="s">
        <v>57</v>
      </c>
      <c r="AK10" s="329" t="s">
        <v>58</v>
      </c>
      <c r="AL10" s="237" t="s">
        <v>59</v>
      </c>
      <c r="AM10" s="237" t="s">
        <v>60</v>
      </c>
      <c r="AN10" s="237" t="s">
        <v>61</v>
      </c>
      <c r="AO10" s="237" t="s">
        <v>62</v>
      </c>
      <c r="AP10" s="237" t="s">
        <v>63</v>
      </c>
      <c r="AQ10" s="237" t="s">
        <v>124</v>
      </c>
      <c r="AR10" s="237" t="s">
        <v>64</v>
      </c>
      <c r="AS10" s="237" t="s">
        <v>65</v>
      </c>
      <c r="AT10" s="312" t="s">
        <v>66</v>
      </c>
      <c r="AU10" s="237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37" t="s">
        <v>72</v>
      </c>
      <c r="C11" s="237" t="s">
        <v>73</v>
      </c>
      <c r="D11" s="237" t="s">
        <v>74</v>
      </c>
      <c r="E11" s="237" t="s">
        <v>75</v>
      </c>
      <c r="F11" s="237" t="s">
        <v>127</v>
      </c>
      <c r="G11" s="237" t="s">
        <v>74</v>
      </c>
      <c r="H11" s="237" t="s">
        <v>75</v>
      </c>
      <c r="I11" s="237" t="s">
        <v>127</v>
      </c>
      <c r="J11" s="309"/>
      <c r="K11" s="237" t="s">
        <v>75</v>
      </c>
      <c r="L11" s="237" t="s">
        <v>75</v>
      </c>
      <c r="M11" s="237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13'!S36</f>
        <v>101355270</v>
      </c>
      <c r="T11" s="322"/>
      <c r="U11" s="323"/>
      <c r="V11" s="324"/>
      <c r="W11" s="237" t="s">
        <v>75</v>
      </c>
      <c r="X11" s="237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13'!AI36</f>
        <v>17379250</v>
      </c>
      <c r="AJ11" s="314"/>
      <c r="AK11" s="330"/>
      <c r="AL11" s="237" t="s">
        <v>84</v>
      </c>
      <c r="AM11" s="237" t="s">
        <v>84</v>
      </c>
      <c r="AN11" s="237" t="s">
        <v>84</v>
      </c>
      <c r="AO11" s="237" t="s">
        <v>84</v>
      </c>
      <c r="AP11" s="237" t="s">
        <v>84</v>
      </c>
      <c r="AQ11" s="237" t="s">
        <v>84</v>
      </c>
      <c r="AR11" s="237" t="s">
        <v>84</v>
      </c>
      <c r="AS11" s="1"/>
      <c r="AT11" s="313"/>
      <c r="AU11" s="238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43295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5</v>
      </c>
      <c r="G13" s="118">
        <v>68</v>
      </c>
      <c r="H13" s="150">
        <f t="shared" ref="H13:H36" si="0">G13/1.42</f>
        <v>47.887323943661976</v>
      </c>
      <c r="I13" s="150">
        <v>65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101359490</v>
      </c>
      <c r="T13" s="45">
        <f>IF(ISBLANK(S13),"-",S13-S11)</f>
        <v>4220</v>
      </c>
      <c r="U13" s="46">
        <f>T13*24/1000</f>
        <v>101.28</v>
      </c>
      <c r="V13" s="46">
        <f>T13/1000</f>
        <v>4.22</v>
      </c>
      <c r="W13" s="96">
        <v>6.5</v>
      </c>
      <c r="X13" s="96">
        <f t="shared" ref="X13:X36" si="1">W13</f>
        <v>6.5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17380389</v>
      </c>
      <c r="AJ13" s="45">
        <f>IF(ISBLANK(AI13),"-",AI13-AI11)</f>
        <v>1139</v>
      </c>
      <c r="AK13" s="48">
        <f>AJ13/V13</f>
        <v>269.90521327014221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43295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8</v>
      </c>
      <c r="G14" s="118">
        <v>70</v>
      </c>
      <c r="H14" s="150">
        <f t="shared" si="0"/>
        <v>49.295774647887328</v>
      </c>
      <c r="I14" s="150">
        <v>67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101363925</v>
      </c>
      <c r="T14" s="45">
        <f t="shared" ref="T14:T36" si="4">IF(ISBLANK(S14),"-",S14-S13)</f>
        <v>4435</v>
      </c>
      <c r="U14" s="46">
        <f t="shared" ref="U14:U37" si="5">T14*24/1000</f>
        <v>106.44</v>
      </c>
      <c r="V14" s="46">
        <f t="shared" ref="V14:V37" si="6">T14/1000</f>
        <v>4.4349999999999996</v>
      </c>
      <c r="W14" s="96">
        <v>8</v>
      </c>
      <c r="X14" s="96">
        <f t="shared" si="1"/>
        <v>8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17381495</v>
      </c>
      <c r="AJ14" s="45">
        <f t="shared" ref="AJ14:AJ36" si="7">IF(ISBLANK(AI14),"-",AI14-AI13)</f>
        <v>1106</v>
      </c>
      <c r="AK14" s="48">
        <f>AJ14/V14</f>
        <v>249.37993235625706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1.03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43295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70</v>
      </c>
      <c r="H15" s="150">
        <f t="shared" si="0"/>
        <v>49.295774647887328</v>
      </c>
      <c r="I15" s="150">
        <v>67</v>
      </c>
      <c r="J15" s="41" t="s">
        <v>88</v>
      </c>
      <c r="K15" s="41">
        <f t="shared" si="3"/>
        <v>44.366197183098592</v>
      </c>
      <c r="L15" s="42">
        <f>(G15-5)/1.42</f>
        <v>45.774647887323944</v>
      </c>
      <c r="M15" s="41">
        <f>L15+(6/1.42)</f>
        <v>50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101368595</v>
      </c>
      <c r="T15" s="45">
        <f>IF(ISBLANK(S15),"-",S15-S14)</f>
        <v>4670</v>
      </c>
      <c r="U15" s="46">
        <f t="shared" si="5"/>
        <v>112.08</v>
      </c>
      <c r="V15" s="46">
        <f t="shared" si="6"/>
        <v>4.67</v>
      </c>
      <c r="W15" s="96">
        <v>9.5</v>
      </c>
      <c r="X15" s="96">
        <f t="shared" si="1"/>
        <v>9.5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17382600</v>
      </c>
      <c r="AJ15" s="45">
        <f t="shared" si="7"/>
        <v>1105</v>
      </c>
      <c r="AK15" s="48">
        <f t="shared" ref="AK15:AK36" si="9">AJ15/V15</f>
        <v>236.61670235546038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43295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80</v>
      </c>
      <c r="H16" s="150">
        <f t="shared" si="0"/>
        <v>56.338028169014088</v>
      </c>
      <c r="I16" s="150">
        <v>78</v>
      </c>
      <c r="J16" s="41" t="s">
        <v>88</v>
      </c>
      <c r="K16" s="41">
        <f t="shared" si="3"/>
        <v>51.408450704225352</v>
      </c>
      <c r="L16" s="42">
        <f>(G16-5)/1.42</f>
        <v>52.816901408450704</v>
      </c>
      <c r="M16" s="41">
        <f>L16+(6/1.42)</f>
        <v>57.04225352112676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101373370</v>
      </c>
      <c r="T16" s="45">
        <f t="shared" si="4"/>
        <v>4775</v>
      </c>
      <c r="U16" s="46">
        <f t="shared" si="5"/>
        <v>114.6</v>
      </c>
      <c r="V16" s="46">
        <f t="shared" si="6"/>
        <v>4.7750000000000004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17383655</v>
      </c>
      <c r="AJ16" s="45">
        <f t="shared" si="7"/>
        <v>1055</v>
      </c>
      <c r="AK16" s="48">
        <f t="shared" si="9"/>
        <v>220.94240837696333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43295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80</v>
      </c>
      <c r="H17" s="150">
        <f t="shared" si="0"/>
        <v>56.338028169014088</v>
      </c>
      <c r="I17" s="150">
        <v>79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101378580</v>
      </c>
      <c r="T17" s="45">
        <f t="shared" si="4"/>
        <v>5210</v>
      </c>
      <c r="U17" s="46">
        <f t="shared" si="5"/>
        <v>125.04</v>
      </c>
      <c r="V17" s="46">
        <f t="shared" si="6"/>
        <v>5.21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1147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17384670</v>
      </c>
      <c r="AJ17" s="45">
        <f t="shared" si="7"/>
        <v>1015</v>
      </c>
      <c r="AK17" s="48">
        <f t="shared" si="9"/>
        <v>194.81765834932821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43295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7</v>
      </c>
      <c r="G18" s="118">
        <v>82</v>
      </c>
      <c r="H18" s="150">
        <f t="shared" si="0"/>
        <v>57.74647887323944</v>
      </c>
      <c r="I18" s="150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101383615</v>
      </c>
      <c r="T18" s="45">
        <f t="shared" si="4"/>
        <v>5035</v>
      </c>
      <c r="U18" s="46">
        <f t="shared" si="5"/>
        <v>120.84</v>
      </c>
      <c r="V18" s="46">
        <f t="shared" si="6"/>
        <v>5.0350000000000001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1146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17385717</v>
      </c>
      <c r="AJ18" s="45">
        <f t="shared" si="7"/>
        <v>1047</v>
      </c>
      <c r="AK18" s="48">
        <f t="shared" si="9"/>
        <v>207.94438927507449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1.05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43295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9</v>
      </c>
      <c r="G19" s="118">
        <v>77</v>
      </c>
      <c r="H19" s="150">
        <f t="shared" si="0"/>
        <v>54.225352112676056</v>
      </c>
      <c r="I19" s="150">
        <v>75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101388854</v>
      </c>
      <c r="T19" s="45">
        <f t="shared" si="4"/>
        <v>5239</v>
      </c>
      <c r="U19" s="46">
        <f t="shared" si="5"/>
        <v>125.736</v>
      </c>
      <c r="V19" s="46">
        <f t="shared" si="6"/>
        <v>5.2389999999999999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17386784</v>
      </c>
      <c r="AJ19" s="45">
        <f t="shared" si="7"/>
        <v>1067</v>
      </c>
      <c r="AK19" s="48">
        <f t="shared" si="9"/>
        <v>203.66482153082649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43295</v>
      </c>
      <c r="B20" s="40">
        <v>2.2916666666666701</v>
      </c>
      <c r="C20" s="40">
        <v>0.33333333333333298</v>
      </c>
      <c r="D20" s="152">
        <v>3</v>
      </c>
      <c r="E20" s="150">
        <f t="shared" si="2"/>
        <v>2.1126760563380285</v>
      </c>
      <c r="F20" s="150">
        <v>8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101394693</v>
      </c>
      <c r="T20" s="45">
        <f t="shared" si="4"/>
        <v>5839</v>
      </c>
      <c r="U20" s="46">
        <f>T20*24/1000</f>
        <v>140.136</v>
      </c>
      <c r="V20" s="46">
        <f t="shared" si="6"/>
        <v>5.8390000000000004</v>
      </c>
      <c r="W20" s="96">
        <v>9.1</v>
      </c>
      <c r="X20" s="96">
        <f t="shared" si="1"/>
        <v>9.1</v>
      </c>
      <c r="Y20" s="97" t="s">
        <v>168</v>
      </c>
      <c r="Z20" s="154">
        <v>0</v>
      </c>
      <c r="AA20" s="154">
        <v>1027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17387964</v>
      </c>
      <c r="AJ20" s="45">
        <f t="shared" si="7"/>
        <v>1180</v>
      </c>
      <c r="AK20" s="48">
        <f t="shared" si="9"/>
        <v>202.08939886966945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43295</v>
      </c>
      <c r="B21" s="40">
        <v>2.3333333333333299</v>
      </c>
      <c r="C21" s="40">
        <v>0.375</v>
      </c>
      <c r="D21" s="152">
        <v>3</v>
      </c>
      <c r="E21" s="150">
        <f t="shared" si="2"/>
        <v>2.1126760563380285</v>
      </c>
      <c r="F21" s="150">
        <v>7</v>
      </c>
      <c r="G21" s="118">
        <v>75</v>
      </c>
      <c r="H21" s="150">
        <f t="shared" si="0"/>
        <v>52.816901408450704</v>
      </c>
      <c r="I21" s="150">
        <v>73</v>
      </c>
      <c r="J21" s="41" t="s">
        <v>88</v>
      </c>
      <c r="K21" s="41">
        <f t="shared" si="3"/>
        <v>51.408450704225352</v>
      </c>
      <c r="L21" s="42">
        <f t="shared" si="10"/>
        <v>52.816901408450704</v>
      </c>
      <c r="M21" s="41">
        <f t="shared" si="11"/>
        <v>54.236901408450706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101399197</v>
      </c>
      <c r="T21" s="45">
        <f t="shared" si="4"/>
        <v>4504</v>
      </c>
      <c r="U21" s="46">
        <f t="shared" si="5"/>
        <v>108.096</v>
      </c>
      <c r="V21" s="46">
        <f t="shared" si="6"/>
        <v>4.5039999999999996</v>
      </c>
      <c r="W21" s="96">
        <v>8.4</v>
      </c>
      <c r="X21" s="96">
        <f t="shared" si="1"/>
        <v>8.4</v>
      </c>
      <c r="Y21" s="97" t="s">
        <v>168</v>
      </c>
      <c r="Z21" s="154">
        <v>0</v>
      </c>
      <c r="AA21" s="154">
        <v>1048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17389189</v>
      </c>
      <c r="AJ21" s="45">
        <f t="shared" si="7"/>
        <v>1225</v>
      </c>
      <c r="AK21" s="48">
        <f t="shared" si="9"/>
        <v>271.98046181172293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43295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6</v>
      </c>
      <c r="G22" s="118">
        <v>76</v>
      </c>
      <c r="H22" s="150">
        <f t="shared" si="0"/>
        <v>53.521126760563384</v>
      </c>
      <c r="I22" s="150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101404155</v>
      </c>
      <c r="T22" s="45">
        <f t="shared" si="4"/>
        <v>4958</v>
      </c>
      <c r="U22" s="46">
        <f t="shared" si="5"/>
        <v>118.992</v>
      </c>
      <c r="V22" s="46">
        <f t="shared" si="6"/>
        <v>4.9580000000000002</v>
      </c>
      <c r="W22" s="96">
        <v>7.7</v>
      </c>
      <c r="X22" s="96">
        <f t="shared" si="1"/>
        <v>7.7</v>
      </c>
      <c r="Y22" s="97" t="s">
        <v>168</v>
      </c>
      <c r="Z22" s="154">
        <v>0</v>
      </c>
      <c r="AA22" s="154">
        <v>1047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17390410</v>
      </c>
      <c r="AJ22" s="45">
        <f t="shared" si="7"/>
        <v>1221</v>
      </c>
      <c r="AK22" s="48">
        <f t="shared" si="9"/>
        <v>246.26865671641789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0.98</v>
      </c>
      <c r="AV22" s="50" t="s">
        <v>126</v>
      </c>
      <c r="BB22" s="136" t="s">
        <v>156</v>
      </c>
    </row>
    <row r="23" spans="1:54" x14ac:dyDescent="0.35">
      <c r="A23" s="331">
        <v>43295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75</v>
      </c>
      <c r="H23" s="150">
        <f t="shared" si="0"/>
        <v>52.816901408450704</v>
      </c>
      <c r="I23" s="150">
        <v>73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101408475</v>
      </c>
      <c r="T23" s="45">
        <f t="shared" si="4"/>
        <v>4320</v>
      </c>
      <c r="U23" s="46">
        <f t="shared" si="5"/>
        <v>103.68</v>
      </c>
      <c r="V23" s="46">
        <f t="shared" si="6"/>
        <v>4.32</v>
      </c>
      <c r="W23" s="96">
        <v>7</v>
      </c>
      <c r="X23" s="96">
        <f>W23</f>
        <v>7</v>
      </c>
      <c r="Y23" s="97" t="s">
        <v>168</v>
      </c>
      <c r="Z23" s="154">
        <v>0</v>
      </c>
      <c r="AA23" s="154">
        <v>1047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17391535</v>
      </c>
      <c r="AJ23" s="45">
        <f t="shared" si="7"/>
        <v>1125</v>
      </c>
      <c r="AK23" s="48">
        <f t="shared" si="9"/>
        <v>260.41666666666663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43295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101412885</v>
      </c>
      <c r="T24" s="45">
        <f t="shared" si="4"/>
        <v>4410</v>
      </c>
      <c r="U24" s="46">
        <f>T24*24/1000</f>
        <v>105.84</v>
      </c>
      <c r="V24" s="46">
        <f t="shared" si="6"/>
        <v>4.41</v>
      </c>
      <c r="W24" s="96">
        <v>6.3</v>
      </c>
      <c r="X24" s="96">
        <f t="shared" si="1"/>
        <v>6.3</v>
      </c>
      <c r="Y24" s="97" t="s">
        <v>168</v>
      </c>
      <c r="Z24" s="154">
        <v>0</v>
      </c>
      <c r="AA24" s="154">
        <v>1046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17392720</v>
      </c>
      <c r="AJ24" s="45">
        <f t="shared" si="7"/>
        <v>1185</v>
      </c>
      <c r="AK24" s="48">
        <f t="shared" si="9"/>
        <v>268.70748299319729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43295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3</v>
      </c>
      <c r="G25" s="118">
        <v>74</v>
      </c>
      <c r="H25" s="150">
        <f t="shared" si="0"/>
        <v>52.112676056338032</v>
      </c>
      <c r="I25" s="150">
        <v>72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101417492</v>
      </c>
      <c r="T25" s="45">
        <f t="shared" si="4"/>
        <v>4607</v>
      </c>
      <c r="U25" s="46">
        <f>T25*24/1000</f>
        <v>110.568</v>
      </c>
      <c r="V25" s="46">
        <f t="shared" si="6"/>
        <v>4.6070000000000002</v>
      </c>
      <c r="W25" s="96">
        <v>5.7</v>
      </c>
      <c r="X25" s="96">
        <f t="shared" si="1"/>
        <v>5.7</v>
      </c>
      <c r="Y25" s="97" t="s">
        <v>168</v>
      </c>
      <c r="Z25" s="154">
        <v>0</v>
      </c>
      <c r="AA25" s="154">
        <v>1026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17393925</v>
      </c>
      <c r="AJ25" s="45">
        <f t="shared" si="7"/>
        <v>1205</v>
      </c>
      <c r="AK25" s="48">
        <f t="shared" si="9"/>
        <v>261.55849793792055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43295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3</v>
      </c>
      <c r="G26" s="118">
        <v>73</v>
      </c>
      <c r="H26" s="150">
        <f t="shared" si="0"/>
        <v>51.408450704225352</v>
      </c>
      <c r="I26" s="150">
        <v>72</v>
      </c>
      <c r="J26" s="41" t="s">
        <v>88</v>
      </c>
      <c r="K26" s="41">
        <f t="shared" si="3"/>
        <v>50</v>
      </c>
      <c r="L26" s="42">
        <f t="shared" si="10"/>
        <v>51.408450704225352</v>
      </c>
      <c r="M26" s="41">
        <f t="shared" ref="M26:M36" si="12">L26+(6/1.42)</f>
        <v>55.633802816901408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101422167</v>
      </c>
      <c r="T26" s="45">
        <f t="shared" si="4"/>
        <v>4675</v>
      </c>
      <c r="U26" s="46">
        <f t="shared" si="5"/>
        <v>112.2</v>
      </c>
      <c r="V26" s="46">
        <f t="shared" si="6"/>
        <v>4.6749999999999998</v>
      </c>
      <c r="W26" s="96">
        <v>5</v>
      </c>
      <c r="X26" s="96">
        <f t="shared" si="1"/>
        <v>5</v>
      </c>
      <c r="Y26" s="97" t="s">
        <v>168</v>
      </c>
      <c r="Z26" s="154">
        <v>0</v>
      </c>
      <c r="AA26" s="154">
        <v>1037</v>
      </c>
      <c r="AB26" s="154">
        <v>1186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17395153</v>
      </c>
      <c r="AJ26" s="45">
        <f t="shared" si="7"/>
        <v>1228</v>
      </c>
      <c r="AK26" s="48">
        <f t="shared" si="9"/>
        <v>262.67379679144386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0.89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43295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3</v>
      </c>
      <c r="G27" s="118">
        <v>74</v>
      </c>
      <c r="H27" s="150">
        <f t="shared" si="0"/>
        <v>52.112676056338032</v>
      </c>
      <c r="I27" s="150">
        <v>73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101426271</v>
      </c>
      <c r="T27" s="45">
        <f t="shared" si="4"/>
        <v>4104</v>
      </c>
      <c r="U27" s="46">
        <f t="shared" si="5"/>
        <v>98.495999999999995</v>
      </c>
      <c r="V27" s="46">
        <f t="shared" si="6"/>
        <v>4.1040000000000001</v>
      </c>
      <c r="W27" s="96">
        <v>4.5999999999999996</v>
      </c>
      <c r="X27" s="96">
        <f t="shared" si="1"/>
        <v>4.5999999999999996</v>
      </c>
      <c r="Y27" s="97" t="s">
        <v>168</v>
      </c>
      <c r="Z27" s="154">
        <v>0</v>
      </c>
      <c r="AA27" s="154">
        <v>1014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17396269</v>
      </c>
      <c r="AJ27" s="45">
        <f t="shared" si="7"/>
        <v>1116</v>
      </c>
      <c r="AK27" s="48">
        <f t="shared" si="9"/>
        <v>271.92982456140351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43295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3</v>
      </c>
      <c r="G28" s="118">
        <v>75</v>
      </c>
      <c r="H28" s="150">
        <f t="shared" si="0"/>
        <v>52.816901408450704</v>
      </c>
      <c r="I28" s="150">
        <v>74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101430711</v>
      </c>
      <c r="T28" s="45">
        <f t="shared" si="4"/>
        <v>4440</v>
      </c>
      <c r="U28" s="46">
        <f t="shared" si="5"/>
        <v>106.56</v>
      </c>
      <c r="V28" s="46">
        <f t="shared" si="6"/>
        <v>4.4400000000000004</v>
      </c>
      <c r="W28" s="96">
        <v>4</v>
      </c>
      <c r="X28" s="96">
        <f t="shared" si="1"/>
        <v>4</v>
      </c>
      <c r="Y28" s="97" t="s">
        <v>168</v>
      </c>
      <c r="Z28" s="154">
        <v>0</v>
      </c>
      <c r="AA28" s="154">
        <v>1015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17397402</v>
      </c>
      <c r="AJ28" s="45">
        <f>IF(ISBLANK(AI28),"-",AI28-AI27)</f>
        <v>1133</v>
      </c>
      <c r="AK28" s="48">
        <f t="shared" si="9"/>
        <v>255.18018018018014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43295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2</v>
      </c>
      <c r="G29" s="118">
        <v>73</v>
      </c>
      <c r="H29" s="150">
        <f t="shared" si="0"/>
        <v>51.408450704225352</v>
      </c>
      <c r="I29" s="150">
        <v>72</v>
      </c>
      <c r="J29" s="41" t="s">
        <v>88</v>
      </c>
      <c r="K29" s="41">
        <f t="shared" si="3"/>
        <v>47.887323943661976</v>
      </c>
      <c r="L29" s="42">
        <f t="shared" ref="L29:L34" si="13">(G29-3)/1.42</f>
        <v>49.295774647887328</v>
      </c>
      <c r="M29" s="41">
        <f t="shared" si="12"/>
        <v>53.521126760563384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101435351</v>
      </c>
      <c r="T29" s="45">
        <f t="shared" si="4"/>
        <v>4640</v>
      </c>
      <c r="U29" s="46">
        <f t="shared" si="5"/>
        <v>111.36</v>
      </c>
      <c r="V29" s="46">
        <f t="shared" si="6"/>
        <v>4.6399999999999997</v>
      </c>
      <c r="W29" s="96">
        <v>3.5</v>
      </c>
      <c r="X29" s="96">
        <f t="shared" si="1"/>
        <v>3.5</v>
      </c>
      <c r="Y29" s="97" t="s">
        <v>168</v>
      </c>
      <c r="Z29" s="154">
        <v>0</v>
      </c>
      <c r="AA29" s="154">
        <v>1015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17398580</v>
      </c>
      <c r="AJ29" s="45">
        <f t="shared" si="7"/>
        <v>1178</v>
      </c>
      <c r="AK29" s="48">
        <f>AJ28/V29</f>
        <v>244.18103448275863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43295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1</v>
      </c>
      <c r="G30" s="118">
        <v>74</v>
      </c>
      <c r="H30" s="150">
        <f t="shared" si="0"/>
        <v>52.112676056338032</v>
      </c>
      <c r="I30" s="150">
        <v>73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101440041</v>
      </c>
      <c r="T30" s="45">
        <f t="shared" si="4"/>
        <v>4690</v>
      </c>
      <c r="U30" s="46">
        <f t="shared" si="5"/>
        <v>112.56</v>
      </c>
      <c r="V30" s="46">
        <f t="shared" si="6"/>
        <v>4.6900000000000004</v>
      </c>
      <c r="W30" s="96">
        <v>3.1</v>
      </c>
      <c r="X30" s="96">
        <f t="shared" si="1"/>
        <v>3.1</v>
      </c>
      <c r="Y30" s="97" t="s">
        <v>168</v>
      </c>
      <c r="Z30" s="154">
        <v>0</v>
      </c>
      <c r="AA30" s="154">
        <v>1015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17399725</v>
      </c>
      <c r="AJ30" s="45">
        <f t="shared" si="7"/>
        <v>1145</v>
      </c>
      <c r="AK30" s="48">
        <f>AJ29/V30</f>
        <v>251.17270788912577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0.95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43295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0</v>
      </c>
      <c r="G31" s="118">
        <v>74</v>
      </c>
      <c r="H31" s="150">
        <f t="shared" si="0"/>
        <v>52.112676056338032</v>
      </c>
      <c r="I31" s="150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101445150</v>
      </c>
      <c r="T31" s="45">
        <f t="shared" si="4"/>
        <v>5109</v>
      </c>
      <c r="U31" s="46">
        <f t="shared" si="5"/>
        <v>122.616</v>
      </c>
      <c r="V31" s="46">
        <f t="shared" si="6"/>
        <v>5.109</v>
      </c>
      <c r="W31" s="96">
        <v>2.7</v>
      </c>
      <c r="X31" s="96">
        <f t="shared" si="1"/>
        <v>2.7</v>
      </c>
      <c r="Y31" s="97" t="s">
        <v>168</v>
      </c>
      <c r="Z31" s="154">
        <v>0</v>
      </c>
      <c r="AA31" s="154">
        <v>1015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17400884</v>
      </c>
      <c r="AJ31" s="45">
        <f t="shared" si="7"/>
        <v>1159</v>
      </c>
      <c r="AK31" s="48">
        <f t="shared" si="9"/>
        <v>226.85457036602074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43295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-1</v>
      </c>
      <c r="G32" s="118">
        <v>74</v>
      </c>
      <c r="H32" s="150">
        <f t="shared" si="0"/>
        <v>52.112676056338032</v>
      </c>
      <c r="I32" s="150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101450098</v>
      </c>
      <c r="T32" s="45">
        <f t="shared" si="4"/>
        <v>4948</v>
      </c>
      <c r="U32" s="46">
        <f t="shared" si="5"/>
        <v>118.752</v>
      </c>
      <c r="V32" s="46">
        <f t="shared" si="6"/>
        <v>4.9480000000000004</v>
      </c>
      <c r="W32" s="96">
        <v>2.4</v>
      </c>
      <c r="X32" s="96">
        <f t="shared" si="1"/>
        <v>2.4</v>
      </c>
      <c r="Y32" s="97" t="s">
        <v>168</v>
      </c>
      <c r="Z32" s="154">
        <v>0</v>
      </c>
      <c r="AA32" s="154">
        <v>1016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17402017</v>
      </c>
      <c r="AJ32" s="45">
        <f t="shared" si="7"/>
        <v>1133</v>
      </c>
      <c r="AK32" s="48">
        <f t="shared" si="9"/>
        <v>228.98140662894096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43295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-2</v>
      </c>
      <c r="G33" s="118">
        <v>75</v>
      </c>
      <c r="H33" s="150">
        <f t="shared" si="0"/>
        <v>52.816901408450704</v>
      </c>
      <c r="I33" s="150">
        <v>73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101455253</v>
      </c>
      <c r="T33" s="45">
        <f t="shared" si="4"/>
        <v>5155</v>
      </c>
      <c r="U33" s="46">
        <f t="shared" si="5"/>
        <v>123.72</v>
      </c>
      <c r="V33" s="46">
        <f t="shared" si="6"/>
        <v>5.1550000000000002</v>
      </c>
      <c r="W33" s="96">
        <v>2.1</v>
      </c>
      <c r="X33" s="96">
        <f t="shared" si="1"/>
        <v>2.1</v>
      </c>
      <c r="Y33" s="97" t="s">
        <v>168</v>
      </c>
      <c r="Z33" s="154">
        <v>0</v>
      </c>
      <c r="AA33" s="154">
        <v>1015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17403156</v>
      </c>
      <c r="AJ33" s="45">
        <f t="shared" si="7"/>
        <v>1139</v>
      </c>
      <c r="AK33" s="48">
        <f t="shared" si="9"/>
        <v>220.9505334626576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43295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-2</v>
      </c>
      <c r="G34" s="118">
        <v>76</v>
      </c>
      <c r="H34" s="150">
        <f t="shared" si="0"/>
        <v>53.521126760563384</v>
      </c>
      <c r="I34" s="150">
        <v>75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101460020</v>
      </c>
      <c r="T34" s="45">
        <f t="shared" si="4"/>
        <v>4767</v>
      </c>
      <c r="U34" s="46">
        <f t="shared" si="5"/>
        <v>114.408</v>
      </c>
      <c r="V34" s="46">
        <f t="shared" si="6"/>
        <v>4.7670000000000003</v>
      </c>
      <c r="W34" s="96">
        <v>1.9</v>
      </c>
      <c r="X34" s="96">
        <f t="shared" si="1"/>
        <v>1.9</v>
      </c>
      <c r="Y34" s="97" t="s">
        <v>168</v>
      </c>
      <c r="Z34" s="154">
        <v>0</v>
      </c>
      <c r="AA34" s="154">
        <v>1015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17404259</v>
      </c>
      <c r="AJ34" s="45">
        <f t="shared" si="7"/>
        <v>1103</v>
      </c>
      <c r="AK34" s="48">
        <f t="shared" si="9"/>
        <v>231.38242080973356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43295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0</v>
      </c>
      <c r="G35" s="118">
        <v>71</v>
      </c>
      <c r="H35" s="150">
        <f t="shared" si="0"/>
        <v>50</v>
      </c>
      <c r="I35" s="150">
        <v>72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101464928</v>
      </c>
      <c r="T35" s="45">
        <f t="shared" si="4"/>
        <v>4908</v>
      </c>
      <c r="U35" s="46">
        <f t="shared" si="5"/>
        <v>117.792</v>
      </c>
      <c r="V35" s="46">
        <f t="shared" si="6"/>
        <v>4.9080000000000004</v>
      </c>
      <c r="W35" s="96">
        <v>2.2999999999999998</v>
      </c>
      <c r="X35" s="96">
        <f t="shared" si="1"/>
        <v>2.2999999999999998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17405368</v>
      </c>
      <c r="AJ35" s="45">
        <f t="shared" si="7"/>
        <v>1109</v>
      </c>
      <c r="AK35" s="48">
        <f t="shared" si="9"/>
        <v>225.95762021189893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43295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1</v>
      </c>
      <c r="G36" s="118">
        <v>72</v>
      </c>
      <c r="H36" s="150">
        <f t="shared" si="0"/>
        <v>50.70422535211268</v>
      </c>
      <c r="I36" s="150">
        <v>71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101469419</v>
      </c>
      <c r="T36" s="45">
        <f t="shared" si="4"/>
        <v>4491</v>
      </c>
      <c r="U36" s="46">
        <f t="shared" si="5"/>
        <v>107.78400000000001</v>
      </c>
      <c r="V36" s="46">
        <f t="shared" si="6"/>
        <v>4.4909999999999997</v>
      </c>
      <c r="W36" s="96">
        <v>3</v>
      </c>
      <c r="X36" s="96">
        <f t="shared" si="1"/>
        <v>3</v>
      </c>
      <c r="Y36" s="97" t="s">
        <v>139</v>
      </c>
      <c r="Z36" s="154">
        <v>0</v>
      </c>
      <c r="AA36" s="154">
        <v>0</v>
      </c>
      <c r="AB36" s="154">
        <v>1186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17406450</v>
      </c>
      <c r="AJ36" s="45">
        <f t="shared" si="7"/>
        <v>1082</v>
      </c>
      <c r="AK36" s="48">
        <f t="shared" si="9"/>
        <v>240.92629703852151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114149</v>
      </c>
      <c r="U37" s="46">
        <f t="shared" si="5"/>
        <v>2739.576</v>
      </c>
      <c r="V37" s="46">
        <f t="shared" si="6"/>
        <v>114.149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27200</v>
      </c>
      <c r="AK37" s="61">
        <f>$AJ$37/$V37</f>
        <v>238.28504848925527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0.9883333333333334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88"/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225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226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227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223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224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32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209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R3:W3" name="Range1_16_1_1_1_1_1_1_2_2_2_2_2_2_2_2_2_2_2_2_2_2_2_2_2_2_2_2_2_2_2_1_2_2_2_2_2_2_2_2_2_2_3_2_2_2_2_2_2_2_2_2_2_1_1_1_1_2_2_1_1_1_1_1_1_1_1_1_1_1_1_1_1_3_1_2_1_1_1_1_1_1_2_1_1_1_1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R4:W4" name="Range1_16_1_1_1_1_1_1_2_2_2_2_2_2_2_2_2_2_2_2_2_2_2_2_2_2_2_2_2_2_2_1_2_2_2_2_2_2_2_2_2_2_3_2_2_2_2_2_2_2_2_2_2_1_1_1_1_2_2_1_1_1_1_1_1_1_1_1_1_1_1_1_1_3_1_2_1_1_1_1_1_2_2_2_2_1_1_1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305" priority="5" operator="containsText" text="N/A">
      <formula>NOT(ISERROR(SEARCH("N/A",Z13)))</formula>
    </cfRule>
    <cfRule type="cellIs" dxfId="304" priority="17" operator="equal">
      <formula>0</formula>
    </cfRule>
  </conditionalFormatting>
  <conditionalFormatting sqref="Z13:AG36">
    <cfRule type="cellIs" dxfId="303" priority="16" operator="greaterThanOrEqual">
      <formula>1185</formula>
    </cfRule>
  </conditionalFormatting>
  <conditionalFormatting sqref="Z13:AG36">
    <cfRule type="cellIs" dxfId="302" priority="15" operator="between">
      <formula>0.1</formula>
      <formula>1184</formula>
    </cfRule>
  </conditionalFormatting>
  <conditionalFormatting sqref="Z8:Z9 AT13:AT36 AL37:AQ37 AL13:AR36">
    <cfRule type="cellIs" dxfId="301" priority="14" operator="equal">
      <formula>0</formula>
    </cfRule>
  </conditionalFormatting>
  <conditionalFormatting sqref="Z8:Z9 AT13:AT36 AL37:AQ37 AL13:AR36">
    <cfRule type="cellIs" dxfId="300" priority="13" operator="greaterThan">
      <formula>1179</formula>
    </cfRule>
  </conditionalFormatting>
  <conditionalFormatting sqref="Z8:Z9 AT13:AT36 AL37:AQ37 AL13:AR36">
    <cfRule type="cellIs" dxfId="299" priority="12" operator="greaterThan">
      <formula>99</formula>
    </cfRule>
  </conditionalFormatting>
  <conditionalFormatting sqref="Z8:Z9 AT13:AT36 AL37:AQ37 AL13:AR36">
    <cfRule type="cellIs" dxfId="298" priority="11" operator="greaterThan">
      <formula>0.99</formula>
    </cfRule>
  </conditionalFormatting>
  <conditionalFormatting sqref="AD8:AD9">
    <cfRule type="cellIs" dxfId="297" priority="10" operator="equal">
      <formula>0</formula>
    </cfRule>
  </conditionalFormatting>
  <conditionalFormatting sqref="AD8:AD9">
    <cfRule type="cellIs" dxfId="296" priority="9" operator="greaterThan">
      <formula>1179</formula>
    </cfRule>
  </conditionalFormatting>
  <conditionalFormatting sqref="AD8:AD9">
    <cfRule type="cellIs" dxfId="295" priority="8" operator="greaterThan">
      <formula>99</formula>
    </cfRule>
  </conditionalFormatting>
  <conditionalFormatting sqref="AD8:AD9">
    <cfRule type="cellIs" dxfId="294" priority="7" operator="greaterThan">
      <formula>0.99</formula>
    </cfRule>
  </conditionalFormatting>
  <conditionalFormatting sqref="AK13:AK36">
    <cfRule type="cellIs" dxfId="293" priority="6" operator="greaterThan">
      <formula>$AK$8</formula>
    </cfRule>
  </conditionalFormatting>
  <conditionalFormatting sqref="AS13:AS36">
    <cfRule type="containsText" dxfId="292" priority="1" operator="containsText" text="N/A">
      <formula>NOT(ISERROR(SEARCH("N/A",AS13)))</formula>
    </cfRule>
    <cfRule type="cellIs" dxfId="291" priority="4" operator="equal">
      <formula>0</formula>
    </cfRule>
  </conditionalFormatting>
  <conditionalFormatting sqref="AS13:AS36">
    <cfRule type="cellIs" dxfId="290" priority="3" operator="greaterThanOrEqual">
      <formula>1185</formula>
    </cfRule>
  </conditionalFormatting>
  <conditionalFormatting sqref="AS13:AS36">
    <cfRule type="cellIs" dxfId="289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D00-000000000000}">
      <formula1>$BB$11:$BB$42</formula1>
    </dataValidation>
    <dataValidation type="list" allowBlank="1" showInputMessage="1" showErrorMessage="1" sqref="J13:J36" xr:uid="{00000000-0002-0000-0D00-000001000000}">
      <formula1>$AY$11:$AY$21</formula1>
    </dataValidation>
    <dataValidation type="list" allowBlank="1" showInputMessage="1" showErrorMessage="1" sqref="AS8:AT9 P11:P12 N11:N12 D8:E9 Q8:V9" xr:uid="{00000000-0002-0000-0D00-000002000000}">
      <formula1>#REF!</formula1>
    </dataValidation>
    <dataValidation type="list" allowBlank="1" showInputMessage="1" showErrorMessage="1" sqref="AY33:AZ33" xr:uid="{00000000-0002-0000-0D00-000003000000}">
      <formula1>$AY$26:$AY$30</formula1>
    </dataValidation>
  </dataValidations>
  <hyperlinks>
    <hyperlink ref="J10:J11" location="'1'!AH8" display="Plant Status" xr:uid="{00000000-0004-0000-0D00-000000000000}"/>
  </hyperlinks>
  <pageMargins left="0.7" right="0.7" top="0.75" bottom="0.75" header="0.3" footer="0.3"/>
  <pageSetup paperSize="9" orientation="portrait" horizont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7030A0"/>
  </sheetPr>
  <dimension ref="A2:BB88"/>
  <sheetViews>
    <sheetView topLeftCell="A13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231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36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4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41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43296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27111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42"/>
      <c r="C9" s="243"/>
      <c r="D9" s="244"/>
      <c r="E9" s="245"/>
      <c r="F9" s="245"/>
      <c r="G9" s="245"/>
      <c r="H9" s="245"/>
      <c r="I9" s="246"/>
      <c r="J9" s="121"/>
      <c r="K9" s="244"/>
      <c r="L9" s="245"/>
      <c r="M9" s="246"/>
      <c r="N9" s="29"/>
      <c r="O9" s="29"/>
      <c r="P9" s="29"/>
      <c r="Q9" s="121"/>
      <c r="R9" s="121"/>
      <c r="S9" s="121"/>
      <c r="T9" s="122"/>
      <c r="U9" s="123"/>
      <c r="V9" s="124"/>
      <c r="W9" s="244"/>
      <c r="X9" s="246"/>
      <c r="Y9" s="30"/>
      <c r="Z9" s="239"/>
      <c r="AA9" s="125"/>
      <c r="AB9" s="126"/>
      <c r="AC9" s="126"/>
      <c r="AD9" s="125"/>
      <c r="AE9" s="125"/>
      <c r="AF9" s="127"/>
      <c r="AG9" s="24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37" t="s">
        <v>51</v>
      </c>
      <c r="X10" s="237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35" t="s">
        <v>55</v>
      </c>
      <c r="AI10" s="235" t="s">
        <v>56</v>
      </c>
      <c r="AJ10" s="314" t="s">
        <v>57</v>
      </c>
      <c r="AK10" s="329" t="s">
        <v>58</v>
      </c>
      <c r="AL10" s="237" t="s">
        <v>59</v>
      </c>
      <c r="AM10" s="237" t="s">
        <v>60</v>
      </c>
      <c r="AN10" s="237" t="s">
        <v>61</v>
      </c>
      <c r="AO10" s="237" t="s">
        <v>62</v>
      </c>
      <c r="AP10" s="237" t="s">
        <v>63</v>
      </c>
      <c r="AQ10" s="237" t="s">
        <v>124</v>
      </c>
      <c r="AR10" s="237" t="s">
        <v>64</v>
      </c>
      <c r="AS10" s="237" t="s">
        <v>65</v>
      </c>
      <c r="AT10" s="312" t="s">
        <v>66</v>
      </c>
      <c r="AU10" s="237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37" t="s">
        <v>72</v>
      </c>
      <c r="C11" s="237" t="s">
        <v>73</v>
      </c>
      <c r="D11" s="237" t="s">
        <v>74</v>
      </c>
      <c r="E11" s="237" t="s">
        <v>75</v>
      </c>
      <c r="F11" s="237" t="s">
        <v>127</v>
      </c>
      <c r="G11" s="237" t="s">
        <v>74</v>
      </c>
      <c r="H11" s="237" t="s">
        <v>75</v>
      </c>
      <c r="I11" s="237" t="s">
        <v>127</v>
      </c>
      <c r="J11" s="309"/>
      <c r="K11" s="237" t="s">
        <v>75</v>
      </c>
      <c r="L11" s="237" t="s">
        <v>75</v>
      </c>
      <c r="M11" s="237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14'!S36</f>
        <v>101469419</v>
      </c>
      <c r="T11" s="322"/>
      <c r="U11" s="323"/>
      <c r="V11" s="324"/>
      <c r="W11" s="237" t="s">
        <v>75</v>
      </c>
      <c r="X11" s="237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14'!AI36</f>
        <v>17406450</v>
      </c>
      <c r="AJ11" s="314"/>
      <c r="AK11" s="330"/>
      <c r="AL11" s="237" t="s">
        <v>84</v>
      </c>
      <c r="AM11" s="237" t="s">
        <v>84</v>
      </c>
      <c r="AN11" s="237" t="s">
        <v>84</v>
      </c>
      <c r="AO11" s="237" t="s">
        <v>84</v>
      </c>
      <c r="AP11" s="237" t="s">
        <v>84</v>
      </c>
      <c r="AQ11" s="237" t="s">
        <v>84</v>
      </c>
      <c r="AR11" s="237" t="s">
        <v>84</v>
      </c>
      <c r="AS11" s="1"/>
      <c r="AT11" s="313"/>
      <c r="AU11" s="238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43296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3</v>
      </c>
      <c r="G13" s="118">
        <v>67</v>
      </c>
      <c r="H13" s="150">
        <f t="shared" ref="H13:H36" si="0">G13/1.42</f>
        <v>47.183098591549296</v>
      </c>
      <c r="I13" s="150">
        <v>70</v>
      </c>
      <c r="J13" s="41" t="s">
        <v>88</v>
      </c>
      <c r="K13" s="41">
        <f>L13-(2/1.42)</f>
        <v>42.253521126760567</v>
      </c>
      <c r="L13" s="42">
        <f>(G13-5)/1.42</f>
        <v>43.661971830985919</v>
      </c>
      <c r="M13" s="41">
        <f>L13+(6/1.42)</f>
        <v>47.887323943661976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101473514</v>
      </c>
      <c r="T13" s="45">
        <f>IF(ISBLANK(S13),"-",S13-S11)</f>
        <v>4095</v>
      </c>
      <c r="U13" s="46">
        <f>T13*24/1000</f>
        <v>98.28</v>
      </c>
      <c r="V13" s="46">
        <f>T13/1000</f>
        <v>4.0949999999999998</v>
      </c>
      <c r="W13" s="96">
        <v>4.5</v>
      </c>
      <c r="X13" s="96">
        <f t="shared" ref="X13:X36" si="1">W13</f>
        <v>4.5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17407569</v>
      </c>
      <c r="AJ13" s="45">
        <f>IF(ISBLANK(AI13),"-",AI13-AI11)</f>
        <v>1119</v>
      </c>
      <c r="AK13" s="48">
        <f>AJ13/V13</f>
        <v>273.26007326007328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43296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69</v>
      </c>
      <c r="H14" s="150">
        <f t="shared" si="0"/>
        <v>48.591549295774648</v>
      </c>
      <c r="I14" s="150">
        <v>72</v>
      </c>
      <c r="J14" s="41" t="s">
        <v>88</v>
      </c>
      <c r="K14" s="41">
        <f t="shared" ref="K14:K36" si="3">L14-(2/1.42)</f>
        <v>43.661971830985919</v>
      </c>
      <c r="L14" s="42">
        <f>(G14-5)/1.42</f>
        <v>45.070422535211272</v>
      </c>
      <c r="M14" s="41">
        <f>L14+(6/1.42)</f>
        <v>49.295774647887328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101477649</v>
      </c>
      <c r="T14" s="45">
        <f t="shared" ref="T14:T36" si="4">IF(ISBLANK(S14),"-",S14-S13)</f>
        <v>4135</v>
      </c>
      <c r="U14" s="46">
        <f t="shared" ref="U14:U37" si="5">T14*24/1000</f>
        <v>99.24</v>
      </c>
      <c r="V14" s="46">
        <f t="shared" ref="V14:V37" si="6">T14/1000</f>
        <v>4.1349999999999998</v>
      </c>
      <c r="W14" s="96">
        <v>6</v>
      </c>
      <c r="X14" s="96">
        <f t="shared" si="1"/>
        <v>6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17408680</v>
      </c>
      <c r="AJ14" s="45">
        <f t="shared" ref="AJ14:AJ36" si="7">IF(ISBLANK(AI14),"-",AI14-AI13)</f>
        <v>1111</v>
      </c>
      <c r="AK14" s="48">
        <f>AJ14/V14</f>
        <v>268.68198307134219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0.93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43296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7</v>
      </c>
      <c r="G15" s="118">
        <v>71</v>
      </c>
      <c r="H15" s="150">
        <f t="shared" si="0"/>
        <v>50</v>
      </c>
      <c r="I15" s="150">
        <v>75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101482219</v>
      </c>
      <c r="T15" s="45">
        <f>IF(ISBLANK(S15),"-",S15-S14)</f>
        <v>4570</v>
      </c>
      <c r="U15" s="46">
        <f t="shared" si="5"/>
        <v>109.68</v>
      </c>
      <c r="V15" s="46">
        <f t="shared" si="6"/>
        <v>4.57</v>
      </c>
      <c r="W15" s="96">
        <v>7.6</v>
      </c>
      <c r="X15" s="96">
        <f t="shared" si="1"/>
        <v>7.6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17409776</v>
      </c>
      <c r="AJ15" s="45">
        <f t="shared" si="7"/>
        <v>1096</v>
      </c>
      <c r="AK15" s="48">
        <f t="shared" ref="AK15:AK36" si="9">AJ15/V15</f>
        <v>239.8249452954048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43296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71</v>
      </c>
      <c r="H16" s="150">
        <f t="shared" si="0"/>
        <v>50</v>
      </c>
      <c r="I16" s="150">
        <v>75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101486690</v>
      </c>
      <c r="T16" s="45">
        <f t="shared" si="4"/>
        <v>4471</v>
      </c>
      <c r="U16" s="46">
        <f t="shared" si="5"/>
        <v>107.304</v>
      </c>
      <c r="V16" s="46">
        <f t="shared" si="6"/>
        <v>4.4710000000000001</v>
      </c>
      <c r="W16" s="96">
        <v>9.1</v>
      </c>
      <c r="X16" s="96">
        <f t="shared" si="1"/>
        <v>9.1</v>
      </c>
      <c r="Y16" s="97" t="s">
        <v>139</v>
      </c>
      <c r="Z16" s="154">
        <v>0</v>
      </c>
      <c r="AA16" s="154">
        <v>0</v>
      </c>
      <c r="AB16" s="154">
        <v>1188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17410874</v>
      </c>
      <c r="AJ16" s="45">
        <f t="shared" si="7"/>
        <v>1098</v>
      </c>
      <c r="AK16" s="48">
        <f t="shared" si="9"/>
        <v>245.58264370386937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43296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9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101491264</v>
      </c>
      <c r="T17" s="45">
        <f t="shared" si="4"/>
        <v>4574</v>
      </c>
      <c r="U17" s="46">
        <f t="shared" si="5"/>
        <v>109.776</v>
      </c>
      <c r="V17" s="46">
        <f t="shared" si="6"/>
        <v>4.5739999999999998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17411943</v>
      </c>
      <c r="AJ17" s="45">
        <f t="shared" si="7"/>
        <v>1069</v>
      </c>
      <c r="AK17" s="48">
        <f t="shared" si="9"/>
        <v>233.71228683865326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43296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9</v>
      </c>
      <c r="G18" s="118">
        <v>82</v>
      </c>
      <c r="H18" s="150">
        <f t="shared" si="0"/>
        <v>57.74647887323944</v>
      </c>
      <c r="I18" s="150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101496369</v>
      </c>
      <c r="T18" s="45">
        <f t="shared" si="4"/>
        <v>5105</v>
      </c>
      <c r="U18" s="46">
        <f t="shared" si="5"/>
        <v>122.52</v>
      </c>
      <c r="V18" s="46">
        <f t="shared" si="6"/>
        <v>5.1050000000000004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1097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17413032</v>
      </c>
      <c r="AJ18" s="45">
        <f t="shared" si="7"/>
        <v>1089</v>
      </c>
      <c r="AK18" s="48">
        <f t="shared" si="9"/>
        <v>213.32027424094025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0.92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43296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81</v>
      </c>
      <c r="H19" s="150">
        <f t="shared" si="0"/>
        <v>57.04225352112676</v>
      </c>
      <c r="I19" s="150">
        <v>78</v>
      </c>
      <c r="J19" s="41" t="s">
        <v>88</v>
      </c>
      <c r="K19" s="41">
        <f t="shared" si="3"/>
        <v>55.633802816901408</v>
      </c>
      <c r="L19" s="42">
        <f t="shared" si="10"/>
        <v>57.04225352112676</v>
      </c>
      <c r="M19" s="41">
        <f>L19+1.42</f>
        <v>58.462253521126762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101501422</v>
      </c>
      <c r="T19" s="45">
        <f t="shared" si="4"/>
        <v>5053</v>
      </c>
      <c r="U19" s="46">
        <f t="shared" si="5"/>
        <v>121.27200000000001</v>
      </c>
      <c r="V19" s="46">
        <f t="shared" si="6"/>
        <v>5.0529999999999999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1096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17414002</v>
      </c>
      <c r="AJ19" s="45">
        <f t="shared" si="7"/>
        <v>970</v>
      </c>
      <c r="AK19" s="48">
        <f t="shared" si="9"/>
        <v>191.96516920641204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43296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7</v>
      </c>
      <c r="G20" s="118">
        <v>78</v>
      </c>
      <c r="H20" s="150">
        <f t="shared" si="0"/>
        <v>54.929577464788736</v>
      </c>
      <c r="I20" s="150">
        <v>76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101506395</v>
      </c>
      <c r="T20" s="45">
        <f t="shared" si="4"/>
        <v>4973</v>
      </c>
      <c r="U20" s="46">
        <f>T20*24/1000</f>
        <v>119.352</v>
      </c>
      <c r="V20" s="46">
        <f t="shared" si="6"/>
        <v>4.9729999999999999</v>
      </c>
      <c r="W20" s="96">
        <v>9.5</v>
      </c>
      <c r="X20" s="96">
        <f t="shared" si="1"/>
        <v>9.5</v>
      </c>
      <c r="Y20" s="97" t="s">
        <v>139</v>
      </c>
      <c r="Z20" s="154">
        <v>0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17415040</v>
      </c>
      <c r="AJ20" s="45">
        <f t="shared" si="7"/>
        <v>1038</v>
      </c>
      <c r="AK20" s="48">
        <f t="shared" si="9"/>
        <v>208.72712648300825</v>
      </c>
      <c r="AL20" s="151">
        <v>0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43296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7</v>
      </c>
      <c r="G21" s="118">
        <v>78</v>
      </c>
      <c r="H21" s="150">
        <f t="shared" si="0"/>
        <v>54.929577464788736</v>
      </c>
      <c r="I21" s="150">
        <v>75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101511815</v>
      </c>
      <c r="T21" s="45">
        <f t="shared" si="4"/>
        <v>5420</v>
      </c>
      <c r="U21" s="46">
        <f t="shared" si="5"/>
        <v>130.08000000000001</v>
      </c>
      <c r="V21" s="46">
        <f t="shared" si="6"/>
        <v>5.42</v>
      </c>
      <c r="W21" s="96">
        <v>9.1</v>
      </c>
      <c r="X21" s="96">
        <f t="shared" si="1"/>
        <v>9.1</v>
      </c>
      <c r="Y21" s="97" t="s">
        <v>168</v>
      </c>
      <c r="Z21" s="154">
        <v>1025</v>
      </c>
      <c r="AA21" s="154">
        <v>0</v>
      </c>
      <c r="AB21" s="154">
        <v>1186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17416197</v>
      </c>
      <c r="AJ21" s="45">
        <f t="shared" si="7"/>
        <v>1157</v>
      </c>
      <c r="AK21" s="48">
        <f t="shared" si="9"/>
        <v>213.46863468634686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43296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7</v>
      </c>
      <c r="G22" s="118">
        <v>77</v>
      </c>
      <c r="H22" s="150">
        <f t="shared" si="0"/>
        <v>54.225352112676056</v>
      </c>
      <c r="I22" s="150">
        <v>75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101517779</v>
      </c>
      <c r="T22" s="45">
        <f t="shared" si="4"/>
        <v>5964</v>
      </c>
      <c r="U22" s="46">
        <f t="shared" si="5"/>
        <v>143.136</v>
      </c>
      <c r="V22" s="46">
        <f t="shared" si="6"/>
        <v>5.9640000000000004</v>
      </c>
      <c r="W22" s="96">
        <v>8.6</v>
      </c>
      <c r="X22" s="96">
        <f t="shared" si="1"/>
        <v>8.6</v>
      </c>
      <c r="Y22" s="97" t="s">
        <v>168</v>
      </c>
      <c r="Z22" s="154">
        <v>1027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17417385</v>
      </c>
      <c r="AJ22" s="45">
        <f t="shared" si="7"/>
        <v>1188</v>
      </c>
      <c r="AK22" s="48">
        <f t="shared" si="9"/>
        <v>199.19517102615694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1.03</v>
      </c>
      <c r="AV22" s="50" t="s">
        <v>126</v>
      </c>
      <c r="BB22" s="136" t="s">
        <v>156</v>
      </c>
    </row>
    <row r="23" spans="1:54" x14ac:dyDescent="0.35">
      <c r="A23" s="331">
        <v>43296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6</v>
      </c>
      <c r="G23" s="118">
        <v>75</v>
      </c>
      <c r="H23" s="150">
        <f t="shared" si="0"/>
        <v>52.816901408450704</v>
      </c>
      <c r="I23" s="150">
        <v>73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101522820</v>
      </c>
      <c r="T23" s="45">
        <f t="shared" si="4"/>
        <v>5041</v>
      </c>
      <c r="U23" s="46">
        <f t="shared" si="5"/>
        <v>120.98399999999999</v>
      </c>
      <c r="V23" s="46">
        <f t="shared" si="6"/>
        <v>5.0410000000000004</v>
      </c>
      <c r="W23" s="96">
        <v>8</v>
      </c>
      <c r="X23" s="96">
        <f>W23</f>
        <v>8</v>
      </c>
      <c r="Y23" s="97" t="s">
        <v>168</v>
      </c>
      <c r="Z23" s="154">
        <v>1027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17418557</v>
      </c>
      <c r="AJ23" s="45">
        <f t="shared" si="7"/>
        <v>1172</v>
      </c>
      <c r="AK23" s="48">
        <f t="shared" si="9"/>
        <v>232.49355286649472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43296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5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101527445</v>
      </c>
      <c r="T24" s="45">
        <f t="shared" si="4"/>
        <v>4625</v>
      </c>
      <c r="U24" s="46">
        <f>T24*24/1000</f>
        <v>111</v>
      </c>
      <c r="V24" s="46">
        <f t="shared" si="6"/>
        <v>4.625</v>
      </c>
      <c r="W24" s="96">
        <v>7.3</v>
      </c>
      <c r="X24" s="96">
        <f t="shared" si="1"/>
        <v>7.3</v>
      </c>
      <c r="Y24" s="97" t="s">
        <v>168</v>
      </c>
      <c r="Z24" s="154">
        <v>1026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17419751</v>
      </c>
      <c r="AJ24" s="45">
        <f t="shared" si="7"/>
        <v>1194</v>
      </c>
      <c r="AK24" s="48">
        <f t="shared" si="9"/>
        <v>258.16216216216219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43296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4</v>
      </c>
      <c r="G25" s="118">
        <v>75</v>
      </c>
      <c r="H25" s="150">
        <f t="shared" si="0"/>
        <v>52.816901408450704</v>
      </c>
      <c r="I25" s="150">
        <v>73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101532019</v>
      </c>
      <c r="T25" s="45">
        <f t="shared" si="4"/>
        <v>4574</v>
      </c>
      <c r="U25" s="46">
        <f>T25*24/1000</f>
        <v>109.776</v>
      </c>
      <c r="V25" s="46">
        <f t="shared" si="6"/>
        <v>4.5739999999999998</v>
      </c>
      <c r="W25" s="96">
        <v>6.7</v>
      </c>
      <c r="X25" s="96">
        <f t="shared" si="1"/>
        <v>6.7</v>
      </c>
      <c r="Y25" s="97" t="s">
        <v>168</v>
      </c>
      <c r="Z25" s="154">
        <v>1025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17420947</v>
      </c>
      <c r="AJ25" s="45">
        <f t="shared" si="7"/>
        <v>1196</v>
      </c>
      <c r="AK25" s="48">
        <f t="shared" si="9"/>
        <v>261.47791867074773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43296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3</v>
      </c>
      <c r="G26" s="118">
        <v>75</v>
      </c>
      <c r="H26" s="150">
        <f t="shared" si="0"/>
        <v>52.816901408450704</v>
      </c>
      <c r="I26" s="150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101536515</v>
      </c>
      <c r="T26" s="45">
        <f t="shared" si="4"/>
        <v>4496</v>
      </c>
      <c r="U26" s="46">
        <f t="shared" si="5"/>
        <v>107.904</v>
      </c>
      <c r="V26" s="46">
        <f t="shared" si="6"/>
        <v>4.4960000000000004</v>
      </c>
      <c r="W26" s="96">
        <v>6.1</v>
      </c>
      <c r="X26" s="96">
        <f t="shared" si="1"/>
        <v>6.1</v>
      </c>
      <c r="Y26" s="97" t="s">
        <v>168</v>
      </c>
      <c r="Z26" s="154">
        <v>1027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17422119</v>
      </c>
      <c r="AJ26" s="45">
        <f t="shared" si="7"/>
        <v>1172</v>
      </c>
      <c r="AK26" s="48">
        <f t="shared" si="9"/>
        <v>260.67615658362985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0.97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43296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3</v>
      </c>
      <c r="G27" s="118">
        <v>75</v>
      </c>
      <c r="H27" s="150">
        <f t="shared" si="0"/>
        <v>52.816901408450704</v>
      </c>
      <c r="I27" s="150">
        <v>73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101541014</v>
      </c>
      <c r="T27" s="45">
        <f t="shared" si="4"/>
        <v>4499</v>
      </c>
      <c r="U27" s="46">
        <f t="shared" si="5"/>
        <v>107.976</v>
      </c>
      <c r="V27" s="46">
        <f t="shared" si="6"/>
        <v>4.4989999999999997</v>
      </c>
      <c r="W27" s="96">
        <v>5.6</v>
      </c>
      <c r="X27" s="96">
        <f t="shared" si="1"/>
        <v>5.6</v>
      </c>
      <c r="Y27" s="97" t="s">
        <v>168</v>
      </c>
      <c r="Z27" s="154">
        <v>1016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17423294</v>
      </c>
      <c r="AJ27" s="45">
        <f t="shared" si="7"/>
        <v>1175</v>
      </c>
      <c r="AK27" s="48">
        <f t="shared" si="9"/>
        <v>261.16914869971106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43296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2</v>
      </c>
      <c r="G28" s="118">
        <v>76</v>
      </c>
      <c r="H28" s="150">
        <f t="shared" si="0"/>
        <v>53.521126760563384</v>
      </c>
      <c r="I28" s="150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101545602</v>
      </c>
      <c r="T28" s="45">
        <f t="shared" si="4"/>
        <v>4588</v>
      </c>
      <c r="U28" s="46">
        <f t="shared" si="5"/>
        <v>110.11199999999999</v>
      </c>
      <c r="V28" s="46">
        <f t="shared" si="6"/>
        <v>4.5880000000000001</v>
      </c>
      <c r="W28" s="96">
        <v>5.2</v>
      </c>
      <c r="X28" s="96">
        <f t="shared" si="1"/>
        <v>5.2</v>
      </c>
      <c r="Y28" s="97" t="s">
        <v>168</v>
      </c>
      <c r="Z28" s="154">
        <v>1015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17424470</v>
      </c>
      <c r="AJ28" s="45">
        <f>IF(ISBLANK(AI28),"-",AI28-AI27)</f>
        <v>1176</v>
      </c>
      <c r="AK28" s="48">
        <f t="shared" si="9"/>
        <v>256.32083696599824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43296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2</v>
      </c>
      <c r="G29" s="118">
        <v>75</v>
      </c>
      <c r="H29" s="150">
        <f t="shared" si="0"/>
        <v>52.816901408450704</v>
      </c>
      <c r="I29" s="150">
        <v>74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101550133</v>
      </c>
      <c r="T29" s="45">
        <f t="shared" si="4"/>
        <v>4531</v>
      </c>
      <c r="U29" s="46">
        <f t="shared" si="5"/>
        <v>108.744</v>
      </c>
      <c r="V29" s="46">
        <f t="shared" si="6"/>
        <v>4.5309999999999997</v>
      </c>
      <c r="W29" s="96">
        <v>4.7</v>
      </c>
      <c r="X29" s="96">
        <f t="shared" si="1"/>
        <v>4.7</v>
      </c>
      <c r="Y29" s="97" t="s">
        <v>168</v>
      </c>
      <c r="Z29" s="154">
        <v>1016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17425617</v>
      </c>
      <c r="AJ29" s="45">
        <f t="shared" si="7"/>
        <v>1147</v>
      </c>
      <c r="AK29" s="48">
        <f>AJ28/V29</f>
        <v>259.54535422644011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43296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2</v>
      </c>
      <c r="G30" s="118">
        <v>75</v>
      </c>
      <c r="H30" s="150">
        <f t="shared" si="0"/>
        <v>52.816901408450704</v>
      </c>
      <c r="I30" s="150">
        <v>74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101554875</v>
      </c>
      <c r="T30" s="45">
        <f t="shared" si="4"/>
        <v>4742</v>
      </c>
      <c r="U30" s="46">
        <f t="shared" si="5"/>
        <v>113.80800000000001</v>
      </c>
      <c r="V30" s="46">
        <f t="shared" si="6"/>
        <v>4.742</v>
      </c>
      <c r="W30" s="96">
        <v>4.3</v>
      </c>
      <c r="X30" s="96">
        <v>4.3</v>
      </c>
      <c r="Y30" s="97" t="s">
        <v>168</v>
      </c>
      <c r="Z30" s="154">
        <v>1016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17426752</v>
      </c>
      <c r="AJ30" s="45">
        <f t="shared" si="7"/>
        <v>1135</v>
      </c>
      <c r="AK30" s="48">
        <f>AJ29/V30</f>
        <v>241.88106284268241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1.05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43296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1</v>
      </c>
      <c r="G31" s="118">
        <v>75</v>
      </c>
      <c r="H31" s="150">
        <f t="shared" si="0"/>
        <v>52.816901408450704</v>
      </c>
      <c r="I31" s="150">
        <v>74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101559876</v>
      </c>
      <c r="T31" s="45">
        <f t="shared" si="4"/>
        <v>5001</v>
      </c>
      <c r="U31" s="46">
        <f t="shared" si="5"/>
        <v>120.024</v>
      </c>
      <c r="V31" s="46">
        <f t="shared" si="6"/>
        <v>5.0010000000000003</v>
      </c>
      <c r="W31" s="96">
        <v>3.8</v>
      </c>
      <c r="X31" s="96">
        <f t="shared" si="1"/>
        <v>3.8</v>
      </c>
      <c r="Y31" s="97" t="s">
        <v>168</v>
      </c>
      <c r="Z31" s="154">
        <v>1016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17427919</v>
      </c>
      <c r="AJ31" s="45">
        <f t="shared" si="7"/>
        <v>1167</v>
      </c>
      <c r="AK31" s="48">
        <f t="shared" si="9"/>
        <v>233.35332933413315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43296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0</v>
      </c>
      <c r="G32" s="118">
        <v>75</v>
      </c>
      <c r="H32" s="150">
        <f t="shared" si="0"/>
        <v>52.816901408450704</v>
      </c>
      <c r="I32" s="150">
        <v>74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101564869</v>
      </c>
      <c r="T32" s="45">
        <f t="shared" si="4"/>
        <v>4993</v>
      </c>
      <c r="U32" s="46">
        <f t="shared" si="5"/>
        <v>119.83199999999999</v>
      </c>
      <c r="V32" s="46">
        <f t="shared" si="6"/>
        <v>4.9930000000000003</v>
      </c>
      <c r="W32" s="96">
        <v>3.4</v>
      </c>
      <c r="X32" s="96">
        <f t="shared" si="1"/>
        <v>3.4</v>
      </c>
      <c r="Y32" s="97" t="s">
        <v>168</v>
      </c>
      <c r="Z32" s="154">
        <v>1015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17429070</v>
      </c>
      <c r="AJ32" s="45">
        <f t="shared" si="7"/>
        <v>1151</v>
      </c>
      <c r="AK32" s="48">
        <f t="shared" si="9"/>
        <v>230.52273182455437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43296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-1</v>
      </c>
      <c r="G33" s="118">
        <v>76</v>
      </c>
      <c r="H33" s="150">
        <f t="shared" si="0"/>
        <v>53.521126760563384</v>
      </c>
      <c r="I33" s="150">
        <v>74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101570134</v>
      </c>
      <c r="T33" s="45">
        <f t="shared" si="4"/>
        <v>5265</v>
      </c>
      <c r="U33" s="46">
        <f t="shared" si="5"/>
        <v>126.36</v>
      </c>
      <c r="V33" s="46">
        <f t="shared" si="6"/>
        <v>5.2649999999999997</v>
      </c>
      <c r="W33" s="96">
        <v>3.1</v>
      </c>
      <c r="X33" s="96">
        <f t="shared" si="1"/>
        <v>3.1</v>
      </c>
      <c r="Y33" s="97" t="s">
        <v>168</v>
      </c>
      <c r="Z33" s="154">
        <v>1015</v>
      </c>
      <c r="AA33" s="154">
        <v>0</v>
      </c>
      <c r="AB33" s="154">
        <v>1188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17430219</v>
      </c>
      <c r="AJ33" s="45">
        <f t="shared" si="7"/>
        <v>1149</v>
      </c>
      <c r="AK33" s="48">
        <f t="shared" si="9"/>
        <v>218.23361823361824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43296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-5</v>
      </c>
      <c r="G34" s="118">
        <v>75</v>
      </c>
      <c r="H34" s="150">
        <f t="shared" si="0"/>
        <v>52.816901408450704</v>
      </c>
      <c r="I34" s="150">
        <v>73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101575540</v>
      </c>
      <c r="T34" s="45">
        <f t="shared" si="4"/>
        <v>5406</v>
      </c>
      <c r="U34" s="46">
        <f t="shared" si="5"/>
        <v>129.744</v>
      </c>
      <c r="V34" s="46">
        <f t="shared" si="6"/>
        <v>5.4059999999999997</v>
      </c>
      <c r="W34" s="96">
        <v>2.9</v>
      </c>
      <c r="X34" s="96">
        <f t="shared" si="1"/>
        <v>2.9</v>
      </c>
      <c r="Y34" s="97" t="s">
        <v>168</v>
      </c>
      <c r="Z34" s="154">
        <v>1015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17431382</v>
      </c>
      <c r="AJ34" s="45">
        <f t="shared" si="7"/>
        <v>1163</v>
      </c>
      <c r="AK34" s="48">
        <f t="shared" si="9"/>
        <v>215.13133555308917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0.84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43296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0</v>
      </c>
      <c r="G35" s="118">
        <v>67</v>
      </c>
      <c r="H35" s="150">
        <f t="shared" si="0"/>
        <v>47.183098591549296</v>
      </c>
      <c r="I35" s="150">
        <v>64</v>
      </c>
      <c r="J35" s="41" t="s">
        <v>88</v>
      </c>
      <c r="K35" s="41">
        <f>L35-(2/1.42)</f>
        <v>42.253521126760567</v>
      </c>
      <c r="L35" s="42">
        <f>(G35-5)/1.42</f>
        <v>43.661971830985919</v>
      </c>
      <c r="M35" s="41">
        <f t="shared" si="12"/>
        <v>47.887323943661976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101580048</v>
      </c>
      <c r="T35" s="45">
        <f t="shared" si="4"/>
        <v>4508</v>
      </c>
      <c r="U35" s="46">
        <f t="shared" si="5"/>
        <v>108.19199999999999</v>
      </c>
      <c r="V35" s="46">
        <f t="shared" si="6"/>
        <v>4.508</v>
      </c>
      <c r="W35" s="96">
        <v>4.0999999999999996</v>
      </c>
      <c r="X35" s="96">
        <f t="shared" si="1"/>
        <v>4.0999999999999996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17432462</v>
      </c>
      <c r="AJ35" s="45">
        <f t="shared" si="7"/>
        <v>1080</v>
      </c>
      <c r="AK35" s="48">
        <f t="shared" si="9"/>
        <v>239.57409050576751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43296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4</v>
      </c>
      <c r="G36" s="118">
        <v>71</v>
      </c>
      <c r="H36" s="150">
        <f t="shared" si="0"/>
        <v>50</v>
      </c>
      <c r="I36" s="150">
        <v>68</v>
      </c>
      <c r="J36" s="41" t="s">
        <v>88</v>
      </c>
      <c r="K36" s="41">
        <f t="shared" si="3"/>
        <v>45.070422535211272</v>
      </c>
      <c r="L36" s="42">
        <f>(G36-5)/1.42</f>
        <v>46.478873239436624</v>
      </c>
      <c r="M36" s="41">
        <f t="shared" si="12"/>
        <v>50.70422535211268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101584550</v>
      </c>
      <c r="T36" s="45">
        <f t="shared" si="4"/>
        <v>4502</v>
      </c>
      <c r="U36" s="46">
        <f t="shared" si="5"/>
        <v>108.048</v>
      </c>
      <c r="V36" s="46">
        <f t="shared" si="6"/>
        <v>4.5019999999999998</v>
      </c>
      <c r="W36" s="96">
        <v>5.6</v>
      </c>
      <c r="X36" s="96">
        <f t="shared" si="1"/>
        <v>5.6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17433561</v>
      </c>
      <c r="AJ36" s="45">
        <f t="shared" si="7"/>
        <v>1099</v>
      </c>
      <c r="AK36" s="48">
        <f t="shared" si="9"/>
        <v>244.1137272323412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115131</v>
      </c>
      <c r="U37" s="46">
        <f t="shared" si="5"/>
        <v>2763.1439999999998</v>
      </c>
      <c r="V37" s="46">
        <f t="shared" si="6"/>
        <v>115.131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27111</v>
      </c>
      <c r="AK37" s="61">
        <f>$AJ$37/$V37</f>
        <v>235.47958412590876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0.95666666666666655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228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229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230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232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224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209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4:W4" name="Range1_16_1_1_1_1_1_1_2_2_2_2_2_2_2_2_2_2_2_2_2_2_2_2_2_2_2_2_2_2_2_1_2_2_2_2_2_2_2_2_2_2_3_2_2_2_2_2_2_2_2_2_2_1_1_1_1_2_2_1_1_1_1_1_1_1_1_1_1_1_1_1_1_3_1_2_1_1_1_1_1_2_2_2_2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3:W3" name="Range1_16_1_1_1_1_1_1_2_2_2_2_2_2_2_2_2_2_2_2_2_2_2_2_2_2_2_2_2_2_2_1_2_2_2_2_2_2_2_2_2_2_3_2_2_2_2_2_2_2_2_2_2_1_1_1_1_2_2_1_1_1_1_1_1_1_1_1_1_1_1_1_1_3_1_2_1_1_1_1_1_1_2_1_1_1_1_1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3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88" priority="5" operator="containsText" text="N/A">
      <formula>NOT(ISERROR(SEARCH("N/A",Z13)))</formula>
    </cfRule>
    <cfRule type="cellIs" dxfId="287" priority="17" operator="equal">
      <formula>0</formula>
    </cfRule>
  </conditionalFormatting>
  <conditionalFormatting sqref="Z13:AG36">
    <cfRule type="cellIs" dxfId="286" priority="16" operator="greaterThanOrEqual">
      <formula>1185</formula>
    </cfRule>
  </conditionalFormatting>
  <conditionalFormatting sqref="Z13:AG36">
    <cfRule type="cellIs" dxfId="285" priority="15" operator="between">
      <formula>0.1</formula>
      <formula>1184</formula>
    </cfRule>
  </conditionalFormatting>
  <conditionalFormatting sqref="Z8:Z9 AT13:AT36 AL37:AQ37 AL13:AR36">
    <cfRule type="cellIs" dxfId="284" priority="14" operator="equal">
      <formula>0</formula>
    </cfRule>
  </conditionalFormatting>
  <conditionalFormatting sqref="Z8:Z9 AT13:AT36 AL37:AQ37 AL13:AR36">
    <cfRule type="cellIs" dxfId="283" priority="13" operator="greaterThan">
      <formula>1179</formula>
    </cfRule>
  </conditionalFormatting>
  <conditionalFormatting sqref="Z8:Z9 AT13:AT36 AL37:AQ37 AL13:AR36">
    <cfRule type="cellIs" dxfId="282" priority="12" operator="greaterThan">
      <formula>99</formula>
    </cfRule>
  </conditionalFormatting>
  <conditionalFormatting sqref="Z8:Z9 AT13:AT36 AL37:AQ37 AL13:AR36">
    <cfRule type="cellIs" dxfId="281" priority="11" operator="greaterThan">
      <formula>0.99</formula>
    </cfRule>
  </conditionalFormatting>
  <conditionalFormatting sqref="AD8:AD9">
    <cfRule type="cellIs" dxfId="280" priority="10" operator="equal">
      <formula>0</formula>
    </cfRule>
  </conditionalFormatting>
  <conditionalFormatting sqref="AD8:AD9">
    <cfRule type="cellIs" dxfId="279" priority="9" operator="greaterThan">
      <formula>1179</formula>
    </cfRule>
  </conditionalFormatting>
  <conditionalFormatting sqref="AD8:AD9">
    <cfRule type="cellIs" dxfId="278" priority="8" operator="greaterThan">
      <formula>99</formula>
    </cfRule>
  </conditionalFormatting>
  <conditionalFormatting sqref="AD8:AD9">
    <cfRule type="cellIs" dxfId="277" priority="7" operator="greaterThan">
      <formula>0.99</formula>
    </cfRule>
  </conditionalFormatting>
  <conditionalFormatting sqref="AK13:AK36">
    <cfRule type="cellIs" dxfId="276" priority="6" operator="greaterThan">
      <formula>$AK$8</formula>
    </cfRule>
  </conditionalFormatting>
  <conditionalFormatting sqref="AS13:AS36">
    <cfRule type="containsText" dxfId="275" priority="1" operator="containsText" text="N/A">
      <formula>NOT(ISERROR(SEARCH("N/A",AS13)))</formula>
    </cfRule>
    <cfRule type="cellIs" dxfId="274" priority="4" operator="equal">
      <formula>0</formula>
    </cfRule>
  </conditionalFormatting>
  <conditionalFormatting sqref="AS13:AS36">
    <cfRule type="cellIs" dxfId="273" priority="3" operator="greaterThanOrEqual">
      <formula>1185</formula>
    </cfRule>
  </conditionalFormatting>
  <conditionalFormatting sqref="AS13:AS36">
    <cfRule type="cellIs" dxfId="272" priority="2" operator="between">
      <formula>0.1</formula>
      <formula>1184</formula>
    </cfRule>
  </conditionalFormatting>
  <dataValidations count="4">
    <dataValidation type="list" allowBlank="1" showInputMessage="1" showErrorMessage="1" sqref="AY33:AZ33" xr:uid="{00000000-0002-0000-0E00-000000000000}">
      <formula1>$AY$26:$AY$30</formula1>
    </dataValidation>
    <dataValidation type="list" allowBlank="1" showInputMessage="1" showErrorMessage="1" sqref="AS8:AT9 P11:P12 N11:N12 D8:E9 Q8:V9" xr:uid="{00000000-0002-0000-0E00-000001000000}">
      <formula1>#REF!</formula1>
    </dataValidation>
    <dataValidation type="list" allowBlank="1" showInputMessage="1" showErrorMessage="1" sqref="J13:J36" xr:uid="{00000000-0002-0000-0E00-000002000000}">
      <formula1>$AY$11:$AY$21</formula1>
    </dataValidation>
    <dataValidation type="list" allowBlank="1" showInputMessage="1" showErrorMessage="1" sqref="R3:R5" xr:uid="{00000000-0002-0000-0E00-000003000000}">
      <formula1>$BB$11:$BB$42</formula1>
    </dataValidation>
  </dataValidations>
  <hyperlinks>
    <hyperlink ref="J10:J11" location="'1'!AH8" display="Plant Status" xr:uid="{00000000-0004-0000-0E00-000000000000}"/>
  </hyperlinks>
  <pageMargins left="0.7" right="0.7" top="0.75" bottom="0.75" header="0.3" footer="0.3"/>
  <pageSetup paperSize="9" orientation="portrait" horizont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2:BB88"/>
  <sheetViews>
    <sheetView topLeftCell="A22" zoomScaleNormal="100" workbookViewId="0">
      <selection activeCell="B57" sqref="B57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143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231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235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36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41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41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43297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27283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42"/>
      <c r="C9" s="243"/>
      <c r="D9" s="244"/>
      <c r="E9" s="245"/>
      <c r="F9" s="245"/>
      <c r="G9" s="245"/>
      <c r="H9" s="245"/>
      <c r="I9" s="246"/>
      <c r="J9" s="121"/>
      <c r="K9" s="244"/>
      <c r="L9" s="245"/>
      <c r="M9" s="246"/>
      <c r="N9" s="29"/>
      <c r="O9" s="29"/>
      <c r="P9" s="29"/>
      <c r="Q9" s="121"/>
      <c r="R9" s="121"/>
      <c r="S9" s="121"/>
      <c r="T9" s="122"/>
      <c r="U9" s="123"/>
      <c r="V9" s="124"/>
      <c r="W9" s="244"/>
      <c r="X9" s="246"/>
      <c r="Y9" s="30"/>
      <c r="Z9" s="239"/>
      <c r="AA9" s="125"/>
      <c r="AB9" s="126"/>
      <c r="AC9" s="126"/>
      <c r="AD9" s="125"/>
      <c r="AE9" s="125"/>
      <c r="AF9" s="127"/>
      <c r="AG9" s="240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37" t="s">
        <v>51</v>
      </c>
      <c r="X10" s="237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35" t="s">
        <v>55</v>
      </c>
      <c r="AI10" s="235" t="s">
        <v>56</v>
      </c>
      <c r="AJ10" s="314" t="s">
        <v>57</v>
      </c>
      <c r="AK10" s="329" t="s">
        <v>58</v>
      </c>
      <c r="AL10" s="237" t="s">
        <v>59</v>
      </c>
      <c r="AM10" s="237" t="s">
        <v>60</v>
      </c>
      <c r="AN10" s="237" t="s">
        <v>61</v>
      </c>
      <c r="AO10" s="237" t="s">
        <v>62</v>
      </c>
      <c r="AP10" s="237" t="s">
        <v>63</v>
      </c>
      <c r="AQ10" s="237" t="s">
        <v>124</v>
      </c>
      <c r="AR10" s="237" t="s">
        <v>64</v>
      </c>
      <c r="AS10" s="237" t="s">
        <v>65</v>
      </c>
      <c r="AT10" s="312" t="s">
        <v>66</v>
      </c>
      <c r="AU10" s="237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37" t="s">
        <v>72</v>
      </c>
      <c r="C11" s="237" t="s">
        <v>73</v>
      </c>
      <c r="D11" s="237" t="s">
        <v>74</v>
      </c>
      <c r="E11" s="237" t="s">
        <v>75</v>
      </c>
      <c r="F11" s="237" t="s">
        <v>127</v>
      </c>
      <c r="G11" s="237" t="s">
        <v>74</v>
      </c>
      <c r="H11" s="237" t="s">
        <v>75</v>
      </c>
      <c r="I11" s="237" t="s">
        <v>127</v>
      </c>
      <c r="J11" s="309"/>
      <c r="K11" s="237" t="s">
        <v>75</v>
      </c>
      <c r="L11" s="237" t="s">
        <v>75</v>
      </c>
      <c r="M11" s="237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15'!S36</f>
        <v>101584550</v>
      </c>
      <c r="T11" s="322"/>
      <c r="U11" s="323"/>
      <c r="V11" s="324"/>
      <c r="W11" s="237" t="s">
        <v>75</v>
      </c>
      <c r="X11" s="237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15'!AI36</f>
        <v>17433561</v>
      </c>
      <c r="AJ11" s="314"/>
      <c r="AK11" s="330"/>
      <c r="AL11" s="237" t="s">
        <v>84</v>
      </c>
      <c r="AM11" s="237" t="s">
        <v>84</v>
      </c>
      <c r="AN11" s="237" t="s">
        <v>84</v>
      </c>
      <c r="AO11" s="237" t="s">
        <v>84</v>
      </c>
      <c r="AP11" s="237" t="s">
        <v>84</v>
      </c>
      <c r="AQ11" s="237" t="s">
        <v>84</v>
      </c>
      <c r="AR11" s="237" t="s">
        <v>84</v>
      </c>
      <c r="AS11" s="1"/>
      <c r="AT11" s="313"/>
      <c r="AU11" s="238" t="s">
        <v>85</v>
      </c>
      <c r="AV11" s="314"/>
      <c r="AY11" s="39" t="s">
        <v>86</v>
      </c>
      <c r="AZ11" s="39" t="s">
        <v>87</v>
      </c>
      <c r="BB11" s="74" t="s">
        <v>235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74"/>
    </row>
    <row r="13" spans="1:54" x14ac:dyDescent="0.35">
      <c r="A13" s="331">
        <v>43297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5</v>
      </c>
      <c r="G13" s="118">
        <v>70</v>
      </c>
      <c r="H13" s="150">
        <f t="shared" ref="H13:H36" si="0">G13/1.42</f>
        <v>49.295774647887328</v>
      </c>
      <c r="I13" s="150">
        <v>68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101589035</v>
      </c>
      <c r="T13" s="45">
        <f>IF(ISBLANK(S13),"-",S13-S11)</f>
        <v>4485</v>
      </c>
      <c r="U13" s="46">
        <f>T13*24/1000</f>
        <v>107.64</v>
      </c>
      <c r="V13" s="46">
        <f>T13/1000</f>
        <v>4.4850000000000003</v>
      </c>
      <c r="W13" s="96">
        <v>6.9</v>
      </c>
      <c r="X13" s="96">
        <f t="shared" ref="X13:X36" si="1">W13</f>
        <v>6.9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17434650</v>
      </c>
      <c r="AJ13" s="45">
        <f>IF(ISBLANK(AI13),"-",AI13-AI11)</f>
        <v>1089</v>
      </c>
      <c r="AK13" s="48">
        <f>AJ13/V13</f>
        <v>242.80936454849495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43297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8</v>
      </c>
      <c r="G14" s="118">
        <v>72</v>
      </c>
      <c r="H14" s="150">
        <f t="shared" si="0"/>
        <v>50.70422535211268</v>
      </c>
      <c r="I14" s="150">
        <v>70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101593640</v>
      </c>
      <c r="T14" s="45">
        <f t="shared" ref="T14:T36" si="4">IF(ISBLANK(S14),"-",S14-S13)</f>
        <v>4605</v>
      </c>
      <c r="U14" s="46">
        <f t="shared" ref="U14:U37" si="5">T14*24/1000</f>
        <v>110.52</v>
      </c>
      <c r="V14" s="46">
        <f t="shared" ref="V14:V37" si="6">T14/1000</f>
        <v>4.6050000000000004</v>
      </c>
      <c r="W14" s="96">
        <v>8.5</v>
      </c>
      <c r="X14" s="96">
        <f t="shared" si="1"/>
        <v>8.5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17435768</v>
      </c>
      <c r="AJ14" s="45">
        <f t="shared" ref="AJ14:AJ36" si="7">IF(ISBLANK(AI14),"-",AI14-AI13)</f>
        <v>1118</v>
      </c>
      <c r="AK14" s="48">
        <f>AJ14/V14</f>
        <v>242.77958740499454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1.02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43297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83</v>
      </c>
      <c r="H15" s="150">
        <f t="shared" si="0"/>
        <v>58.450704225352112</v>
      </c>
      <c r="I15" s="150">
        <v>80</v>
      </c>
      <c r="J15" s="41" t="s">
        <v>88</v>
      </c>
      <c r="K15" s="41">
        <f t="shared" si="3"/>
        <v>53.521126760563384</v>
      </c>
      <c r="L15" s="42">
        <f>(G15-5)/1.42</f>
        <v>54.929577464788736</v>
      </c>
      <c r="M15" s="41">
        <f>L15+(6/1.42)</f>
        <v>59.154929577464792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101598373</v>
      </c>
      <c r="T15" s="45">
        <f>IF(ISBLANK(S15),"-",S15-S14)</f>
        <v>4733</v>
      </c>
      <c r="U15" s="46">
        <f t="shared" si="5"/>
        <v>113.592</v>
      </c>
      <c r="V15" s="46">
        <f t="shared" si="6"/>
        <v>4.7329999999999997</v>
      </c>
      <c r="W15" s="96">
        <v>9.5</v>
      </c>
      <c r="X15" s="96">
        <f t="shared" si="1"/>
        <v>9.5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17436874</v>
      </c>
      <c r="AJ15" s="45">
        <f t="shared" si="7"/>
        <v>1106</v>
      </c>
      <c r="AK15" s="48">
        <f t="shared" ref="AK15:AK36" si="9">AJ15/V15</f>
        <v>233.67842805831398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43297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101603274</v>
      </c>
      <c r="T16" s="45">
        <f t="shared" si="4"/>
        <v>4901</v>
      </c>
      <c r="U16" s="46">
        <f t="shared" si="5"/>
        <v>117.624</v>
      </c>
      <c r="V16" s="46">
        <f t="shared" si="6"/>
        <v>4.9009999999999998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1116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17437886</v>
      </c>
      <c r="AJ16" s="45">
        <f t="shared" si="7"/>
        <v>1012</v>
      </c>
      <c r="AK16" s="48">
        <f t="shared" si="9"/>
        <v>206.48847174046114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122</v>
      </c>
      <c r="BB16" s="74" t="s">
        <v>138</v>
      </c>
    </row>
    <row r="17" spans="1:54" x14ac:dyDescent="0.35">
      <c r="A17" s="331">
        <v>43297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101606750</v>
      </c>
      <c r="T17" s="45">
        <f t="shared" si="4"/>
        <v>3476</v>
      </c>
      <c r="U17" s="46">
        <f t="shared" si="5"/>
        <v>83.424000000000007</v>
      </c>
      <c r="V17" s="46">
        <f t="shared" si="6"/>
        <v>3.476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17438878</v>
      </c>
      <c r="AJ17" s="45">
        <f t="shared" si="7"/>
        <v>992</v>
      </c>
      <c r="AK17" s="48">
        <f t="shared" si="9"/>
        <v>285.38550057537401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43297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78</v>
      </c>
      <c r="H18" s="150">
        <f t="shared" si="0"/>
        <v>54.929577464788736</v>
      </c>
      <c r="I18" s="150">
        <v>79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101612579</v>
      </c>
      <c r="T18" s="45">
        <f t="shared" si="4"/>
        <v>5829</v>
      </c>
      <c r="U18" s="46">
        <f t="shared" si="5"/>
        <v>139.89599999999999</v>
      </c>
      <c r="V18" s="46">
        <f t="shared" si="6"/>
        <v>5.8289999999999997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17439939</v>
      </c>
      <c r="AJ18" s="45">
        <f t="shared" si="7"/>
        <v>1061</v>
      </c>
      <c r="AK18" s="48">
        <f t="shared" si="9"/>
        <v>182.02092983359069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1.07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43297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80</v>
      </c>
      <c r="H19" s="150">
        <f t="shared" si="0"/>
        <v>56.338028169014088</v>
      </c>
      <c r="I19" s="150">
        <v>80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101617817</v>
      </c>
      <c r="T19" s="45">
        <f t="shared" si="4"/>
        <v>5238</v>
      </c>
      <c r="U19" s="46">
        <f t="shared" si="5"/>
        <v>125.712</v>
      </c>
      <c r="V19" s="46">
        <f t="shared" si="6"/>
        <v>5.2380000000000004</v>
      </c>
      <c r="W19" s="96">
        <v>9.1999999999999993</v>
      </c>
      <c r="X19" s="96">
        <f t="shared" si="1"/>
        <v>9.1999999999999993</v>
      </c>
      <c r="Y19" s="97" t="s">
        <v>168</v>
      </c>
      <c r="Z19" s="154">
        <v>0</v>
      </c>
      <c r="AA19" s="154">
        <v>1006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17441112</v>
      </c>
      <c r="AJ19" s="45">
        <f t="shared" si="7"/>
        <v>1173</v>
      </c>
      <c r="AK19" s="48">
        <f t="shared" si="9"/>
        <v>223.94043528064145</v>
      </c>
      <c r="AL19" s="151">
        <v>0</v>
      </c>
      <c r="AM19" s="151">
        <v>1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43297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5</v>
      </c>
      <c r="G20" s="118">
        <v>78</v>
      </c>
      <c r="H20" s="150">
        <f t="shared" si="0"/>
        <v>54.929577464788736</v>
      </c>
      <c r="I20" s="150">
        <v>79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101623690</v>
      </c>
      <c r="T20" s="45">
        <f t="shared" si="4"/>
        <v>5873</v>
      </c>
      <c r="U20" s="46">
        <f>T20*24/1000</f>
        <v>140.952</v>
      </c>
      <c r="V20" s="46">
        <f t="shared" si="6"/>
        <v>5.8730000000000002</v>
      </c>
      <c r="W20" s="96">
        <v>8.8000000000000007</v>
      </c>
      <c r="X20" s="96">
        <f t="shared" si="1"/>
        <v>8.8000000000000007</v>
      </c>
      <c r="Y20" s="97" t="s">
        <v>168</v>
      </c>
      <c r="Z20" s="154">
        <v>0</v>
      </c>
      <c r="AA20" s="154">
        <v>1016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17442281</v>
      </c>
      <c r="AJ20" s="45">
        <f t="shared" si="7"/>
        <v>1169</v>
      </c>
      <c r="AK20" s="48">
        <f t="shared" si="9"/>
        <v>199.04648390941597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43297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5</v>
      </c>
      <c r="G21" s="118">
        <v>78</v>
      </c>
      <c r="H21" s="150">
        <f t="shared" si="0"/>
        <v>54.929577464788736</v>
      </c>
      <c r="I21" s="150">
        <v>77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101629275</v>
      </c>
      <c r="T21" s="45">
        <f t="shared" si="4"/>
        <v>5585</v>
      </c>
      <c r="U21" s="46">
        <f t="shared" si="5"/>
        <v>134.04</v>
      </c>
      <c r="V21" s="46">
        <f t="shared" si="6"/>
        <v>5.585</v>
      </c>
      <c r="W21" s="96">
        <v>8.1999999999999993</v>
      </c>
      <c r="X21" s="96">
        <f t="shared" si="1"/>
        <v>8.1999999999999993</v>
      </c>
      <c r="Y21" s="97" t="s">
        <v>168</v>
      </c>
      <c r="Z21" s="154">
        <v>0</v>
      </c>
      <c r="AA21" s="154">
        <v>1026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17443433</v>
      </c>
      <c r="AJ21" s="45">
        <f t="shared" si="7"/>
        <v>1152</v>
      </c>
      <c r="AK21" s="48">
        <f t="shared" si="9"/>
        <v>206.2667860340197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43297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3</v>
      </c>
      <c r="G22" s="118">
        <v>77</v>
      </c>
      <c r="H22" s="150">
        <f t="shared" si="0"/>
        <v>54.225352112676056</v>
      </c>
      <c r="I22" s="150">
        <v>75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101634822</v>
      </c>
      <c r="T22" s="45">
        <f t="shared" si="4"/>
        <v>5547</v>
      </c>
      <c r="U22" s="46">
        <f t="shared" si="5"/>
        <v>133.12799999999999</v>
      </c>
      <c r="V22" s="46">
        <f t="shared" si="6"/>
        <v>5.5469999999999997</v>
      </c>
      <c r="W22" s="96">
        <v>7.6</v>
      </c>
      <c r="X22" s="96">
        <f t="shared" si="1"/>
        <v>7.6</v>
      </c>
      <c r="Y22" s="97" t="s">
        <v>168</v>
      </c>
      <c r="Z22" s="154">
        <v>0</v>
      </c>
      <c r="AA22" s="154">
        <v>1057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17444628</v>
      </c>
      <c r="AJ22" s="45">
        <f t="shared" si="7"/>
        <v>1195</v>
      </c>
      <c r="AK22" s="48">
        <f t="shared" si="9"/>
        <v>215.43176491797368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1.1200000000000001</v>
      </c>
      <c r="AV22" s="50" t="s">
        <v>126</v>
      </c>
      <c r="BB22" s="136" t="s">
        <v>156</v>
      </c>
    </row>
    <row r="23" spans="1:54" x14ac:dyDescent="0.35">
      <c r="A23" s="331">
        <v>43297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3</v>
      </c>
      <c r="G23" s="118">
        <v>76</v>
      </c>
      <c r="H23" s="150">
        <f t="shared" si="0"/>
        <v>53.521126760563384</v>
      </c>
      <c r="I23" s="150">
        <v>76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101640222</v>
      </c>
      <c r="T23" s="45">
        <f t="shared" si="4"/>
        <v>5400</v>
      </c>
      <c r="U23" s="46">
        <f t="shared" si="5"/>
        <v>129.6</v>
      </c>
      <c r="V23" s="46">
        <f t="shared" si="6"/>
        <v>5.4</v>
      </c>
      <c r="W23" s="96">
        <v>6.9</v>
      </c>
      <c r="X23" s="96">
        <f>W23</f>
        <v>6.9</v>
      </c>
      <c r="Y23" s="97" t="s">
        <v>168</v>
      </c>
      <c r="Z23" s="154">
        <v>0</v>
      </c>
      <c r="AA23" s="154">
        <v>1057</v>
      </c>
      <c r="AB23" s="154">
        <v>1186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17445847</v>
      </c>
      <c r="AJ23" s="45">
        <f t="shared" si="7"/>
        <v>1219</v>
      </c>
      <c r="AK23" s="48">
        <f t="shared" si="9"/>
        <v>225.74074074074073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43297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2</v>
      </c>
      <c r="G24" s="118">
        <v>77</v>
      </c>
      <c r="H24" s="150">
        <f t="shared" si="0"/>
        <v>54.225352112676056</v>
      </c>
      <c r="I24" s="150">
        <v>76</v>
      </c>
      <c r="J24" s="41" t="s">
        <v>88</v>
      </c>
      <c r="K24" s="41">
        <f t="shared" si="3"/>
        <v>52.816901408450704</v>
      </c>
      <c r="L24" s="42">
        <f t="shared" si="10"/>
        <v>54.225352112676056</v>
      </c>
      <c r="M24" s="41">
        <f t="shared" si="11"/>
        <v>55.645352112676058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101645427</v>
      </c>
      <c r="T24" s="45">
        <f t="shared" si="4"/>
        <v>5205</v>
      </c>
      <c r="U24" s="46">
        <f>T24*24/1000</f>
        <v>124.92</v>
      </c>
      <c r="V24" s="46">
        <f t="shared" si="6"/>
        <v>5.2050000000000001</v>
      </c>
      <c r="W24" s="96">
        <v>6.2</v>
      </c>
      <c r="X24" s="96">
        <f t="shared" si="1"/>
        <v>6.2</v>
      </c>
      <c r="Y24" s="97" t="s">
        <v>168</v>
      </c>
      <c r="Z24" s="154">
        <v>0</v>
      </c>
      <c r="AA24" s="154">
        <v>1058</v>
      </c>
      <c r="AB24" s="154">
        <v>1186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17447022</v>
      </c>
      <c r="AJ24" s="45">
        <f t="shared" si="7"/>
        <v>1175</v>
      </c>
      <c r="AK24" s="48">
        <f t="shared" si="9"/>
        <v>225.74447646493755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43297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1</v>
      </c>
      <c r="G25" s="118">
        <v>77</v>
      </c>
      <c r="H25" s="150">
        <f t="shared" si="0"/>
        <v>54.225352112676056</v>
      </c>
      <c r="I25" s="150">
        <v>75</v>
      </c>
      <c r="J25" s="41" t="s">
        <v>88</v>
      </c>
      <c r="K25" s="41">
        <f t="shared" si="3"/>
        <v>52.816901408450704</v>
      </c>
      <c r="L25" s="42">
        <f t="shared" si="10"/>
        <v>54.225352112676056</v>
      </c>
      <c r="M25" s="41">
        <f>L25+(6/1.42)</f>
        <v>58.450704225352112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101650620</v>
      </c>
      <c r="T25" s="45">
        <f t="shared" si="4"/>
        <v>5193</v>
      </c>
      <c r="U25" s="46">
        <f>T25*24/1000</f>
        <v>124.63200000000001</v>
      </c>
      <c r="V25" s="46">
        <f t="shared" si="6"/>
        <v>5.1929999999999996</v>
      </c>
      <c r="W25" s="96">
        <v>5.4</v>
      </c>
      <c r="X25" s="96">
        <f t="shared" si="1"/>
        <v>5.4</v>
      </c>
      <c r="Y25" s="97" t="s">
        <v>168</v>
      </c>
      <c r="Z25" s="154">
        <v>0</v>
      </c>
      <c r="AA25" s="154">
        <v>1056</v>
      </c>
      <c r="AB25" s="154">
        <v>1186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17448209</v>
      </c>
      <c r="AJ25" s="45">
        <f t="shared" si="7"/>
        <v>1187</v>
      </c>
      <c r="AK25" s="48">
        <f t="shared" si="9"/>
        <v>228.57693048334298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43297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0</v>
      </c>
      <c r="G26" s="118">
        <v>78</v>
      </c>
      <c r="H26" s="150">
        <f t="shared" si="0"/>
        <v>54.929577464788736</v>
      </c>
      <c r="I26" s="150">
        <v>76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101655460</v>
      </c>
      <c r="T26" s="45">
        <f t="shared" si="4"/>
        <v>4840</v>
      </c>
      <c r="U26" s="46">
        <f t="shared" si="5"/>
        <v>116.16</v>
      </c>
      <c r="V26" s="46">
        <f t="shared" si="6"/>
        <v>4.84</v>
      </c>
      <c r="W26" s="96">
        <v>4.9000000000000004</v>
      </c>
      <c r="X26" s="96">
        <f t="shared" si="1"/>
        <v>4.9000000000000004</v>
      </c>
      <c r="Y26" s="97" t="s">
        <v>168</v>
      </c>
      <c r="Z26" s="154">
        <v>0</v>
      </c>
      <c r="AA26" s="154">
        <v>1057</v>
      </c>
      <c r="AB26" s="154">
        <v>1186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17449401</v>
      </c>
      <c r="AJ26" s="45">
        <f t="shared" si="7"/>
        <v>1192</v>
      </c>
      <c r="AK26" s="48">
        <f t="shared" si="9"/>
        <v>246.28099173553719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1.1000000000000001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43297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0</v>
      </c>
      <c r="G27" s="118">
        <v>78</v>
      </c>
      <c r="H27" s="150">
        <f t="shared" si="0"/>
        <v>54.929577464788736</v>
      </c>
      <c r="I27" s="150">
        <v>79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101660325</v>
      </c>
      <c r="T27" s="45">
        <f t="shared" si="4"/>
        <v>4865</v>
      </c>
      <c r="U27" s="46">
        <f t="shared" si="5"/>
        <v>116.76</v>
      </c>
      <c r="V27" s="46">
        <f t="shared" si="6"/>
        <v>4.8650000000000002</v>
      </c>
      <c r="W27" s="96">
        <v>4.5</v>
      </c>
      <c r="X27" s="96">
        <f t="shared" si="1"/>
        <v>4.5</v>
      </c>
      <c r="Y27" s="97" t="s">
        <v>168</v>
      </c>
      <c r="Z27" s="154">
        <v>0</v>
      </c>
      <c r="AA27" s="154">
        <v>1035</v>
      </c>
      <c r="AB27" s="154">
        <v>1188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17450543</v>
      </c>
      <c r="AJ27" s="45">
        <f t="shared" si="7"/>
        <v>1142</v>
      </c>
      <c r="AK27" s="48">
        <f t="shared" si="9"/>
        <v>234.73792394655703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43297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-1</v>
      </c>
      <c r="G28" s="118">
        <v>76</v>
      </c>
      <c r="H28" s="150">
        <f t="shared" si="0"/>
        <v>53.521126760563384</v>
      </c>
      <c r="I28" s="150">
        <v>76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101665521</v>
      </c>
      <c r="T28" s="45">
        <f t="shared" si="4"/>
        <v>5196</v>
      </c>
      <c r="U28" s="46">
        <f t="shared" si="5"/>
        <v>124.70399999999999</v>
      </c>
      <c r="V28" s="46">
        <f t="shared" si="6"/>
        <v>5.1959999999999997</v>
      </c>
      <c r="W28" s="96">
        <v>3.9</v>
      </c>
      <c r="X28" s="96">
        <f t="shared" si="1"/>
        <v>3.9</v>
      </c>
      <c r="Y28" s="97" t="s">
        <v>168</v>
      </c>
      <c r="Z28" s="154">
        <v>0</v>
      </c>
      <c r="AA28" s="154">
        <v>1036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17451725</v>
      </c>
      <c r="AJ28" s="45">
        <f>IF(ISBLANK(AI28),"-",AI28-AI27)</f>
        <v>1182</v>
      </c>
      <c r="AK28" s="48">
        <f t="shared" si="9"/>
        <v>227.48267898383372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43297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-1</v>
      </c>
      <c r="G29" s="118">
        <v>76</v>
      </c>
      <c r="H29" s="150">
        <f t="shared" si="0"/>
        <v>53.521126760563384</v>
      </c>
      <c r="I29" s="150">
        <v>75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101670885</v>
      </c>
      <c r="T29" s="45">
        <f t="shared" si="4"/>
        <v>5364</v>
      </c>
      <c r="U29" s="46">
        <f t="shared" si="5"/>
        <v>128.73599999999999</v>
      </c>
      <c r="V29" s="46">
        <f t="shared" si="6"/>
        <v>5.3639999999999999</v>
      </c>
      <c r="W29" s="96">
        <v>3.4</v>
      </c>
      <c r="X29" s="96">
        <f t="shared" si="1"/>
        <v>3.4</v>
      </c>
      <c r="Y29" s="97" t="s">
        <v>168</v>
      </c>
      <c r="Z29" s="154">
        <v>0</v>
      </c>
      <c r="AA29" s="154">
        <v>1036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17452891</v>
      </c>
      <c r="AJ29" s="45">
        <f t="shared" si="7"/>
        <v>1166</v>
      </c>
      <c r="AK29" s="48">
        <f>AJ28/V29</f>
        <v>220.35794183445191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43297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-2</v>
      </c>
      <c r="G30" s="118">
        <v>75</v>
      </c>
      <c r="H30" s="150">
        <f t="shared" si="0"/>
        <v>52.816901408450704</v>
      </c>
      <c r="I30" s="150">
        <v>74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101676221</v>
      </c>
      <c r="T30" s="45">
        <f t="shared" si="4"/>
        <v>5336</v>
      </c>
      <c r="U30" s="46">
        <f t="shared" si="5"/>
        <v>128.06399999999999</v>
      </c>
      <c r="V30" s="46">
        <f t="shared" si="6"/>
        <v>5.3360000000000003</v>
      </c>
      <c r="W30" s="96">
        <v>3</v>
      </c>
      <c r="X30" s="96">
        <f t="shared" si="1"/>
        <v>3</v>
      </c>
      <c r="Y30" s="97" t="s">
        <v>168</v>
      </c>
      <c r="Z30" s="154">
        <v>0</v>
      </c>
      <c r="AA30" s="154">
        <v>1017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17454043</v>
      </c>
      <c r="AJ30" s="45">
        <f t="shared" si="7"/>
        <v>1152</v>
      </c>
      <c r="AK30" s="48">
        <f>AJ29/V30</f>
        <v>218.51574212893553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1.07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43297</v>
      </c>
      <c r="B31" s="40">
        <v>2.75</v>
      </c>
      <c r="C31" s="40">
        <v>0.79166666666666663</v>
      </c>
      <c r="D31" s="152">
        <v>3</v>
      </c>
      <c r="E31" s="150">
        <f t="shared" si="2"/>
        <v>2.1126760563380285</v>
      </c>
      <c r="F31" s="150">
        <v>-1</v>
      </c>
      <c r="G31" s="118">
        <v>75</v>
      </c>
      <c r="H31" s="150">
        <f t="shared" si="0"/>
        <v>52.816901408450704</v>
      </c>
      <c r="I31" s="150">
        <v>73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101681497</v>
      </c>
      <c r="T31" s="45">
        <f t="shared" si="4"/>
        <v>5276</v>
      </c>
      <c r="U31" s="46">
        <f t="shared" si="5"/>
        <v>126.624</v>
      </c>
      <c r="V31" s="46">
        <f t="shared" si="6"/>
        <v>5.2759999999999998</v>
      </c>
      <c r="W31" s="96">
        <v>2.7</v>
      </c>
      <c r="X31" s="96">
        <f t="shared" si="1"/>
        <v>2.7</v>
      </c>
      <c r="Y31" s="97" t="s">
        <v>168</v>
      </c>
      <c r="Z31" s="154">
        <v>0</v>
      </c>
      <c r="AA31" s="154">
        <v>1016</v>
      </c>
      <c r="AB31" s="154">
        <v>1186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17455183</v>
      </c>
      <c r="AJ31" s="45">
        <f t="shared" si="7"/>
        <v>1140</v>
      </c>
      <c r="AK31" s="48">
        <f t="shared" si="9"/>
        <v>216.07278241091737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43297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0</v>
      </c>
      <c r="G32" s="118">
        <v>75</v>
      </c>
      <c r="H32" s="150">
        <f t="shared" si="0"/>
        <v>52.816901408450704</v>
      </c>
      <c r="I32" s="150">
        <v>74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101687065</v>
      </c>
      <c r="T32" s="45">
        <f t="shared" si="4"/>
        <v>5568</v>
      </c>
      <c r="U32" s="46">
        <f t="shared" si="5"/>
        <v>133.63200000000001</v>
      </c>
      <c r="V32" s="46">
        <f t="shared" si="6"/>
        <v>5.5679999999999996</v>
      </c>
      <c r="W32" s="96">
        <v>2.4</v>
      </c>
      <c r="X32" s="96">
        <f t="shared" si="1"/>
        <v>2.4</v>
      </c>
      <c r="Y32" s="97" t="s">
        <v>168</v>
      </c>
      <c r="Z32" s="154">
        <v>0</v>
      </c>
      <c r="AA32" s="154">
        <v>1025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17456345</v>
      </c>
      <c r="AJ32" s="45">
        <f t="shared" si="7"/>
        <v>1162</v>
      </c>
      <c r="AK32" s="48">
        <f t="shared" si="9"/>
        <v>208.69252873563221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43297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1</v>
      </c>
      <c r="G33" s="118">
        <v>75</v>
      </c>
      <c r="H33" s="150">
        <f t="shared" si="0"/>
        <v>52.816901408450704</v>
      </c>
      <c r="I33" s="150">
        <v>74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101692798</v>
      </c>
      <c r="T33" s="45">
        <f t="shared" si="4"/>
        <v>5733</v>
      </c>
      <c r="U33" s="46">
        <f t="shared" si="5"/>
        <v>137.59200000000001</v>
      </c>
      <c r="V33" s="46">
        <f t="shared" si="6"/>
        <v>5.7329999999999997</v>
      </c>
      <c r="W33" s="96">
        <v>2</v>
      </c>
      <c r="X33" s="96">
        <f t="shared" si="1"/>
        <v>2</v>
      </c>
      <c r="Y33" s="97" t="s">
        <v>168</v>
      </c>
      <c r="Z33" s="154">
        <v>0</v>
      </c>
      <c r="AA33" s="154">
        <v>1026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17457512</v>
      </c>
      <c r="AJ33" s="45">
        <f t="shared" si="7"/>
        <v>1167</v>
      </c>
      <c r="AK33" s="48">
        <f t="shared" si="9"/>
        <v>203.5583464154893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43297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1</v>
      </c>
      <c r="G34" s="118">
        <v>77</v>
      </c>
      <c r="H34" s="150">
        <f t="shared" si="0"/>
        <v>54.225352112676056</v>
      </c>
      <c r="I34" s="150">
        <v>74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101698652</v>
      </c>
      <c r="T34" s="45">
        <f t="shared" si="4"/>
        <v>5854</v>
      </c>
      <c r="U34" s="46">
        <f t="shared" si="5"/>
        <v>140.49600000000001</v>
      </c>
      <c r="V34" s="46">
        <f t="shared" si="6"/>
        <v>5.8540000000000001</v>
      </c>
      <c r="W34" s="96">
        <v>1.8</v>
      </c>
      <c r="X34" s="96">
        <f t="shared" si="1"/>
        <v>1.8</v>
      </c>
      <c r="Y34" s="97" t="s">
        <v>168</v>
      </c>
      <c r="Z34" s="154">
        <v>0</v>
      </c>
      <c r="AA34" s="154">
        <v>1024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17458646</v>
      </c>
      <c r="AJ34" s="45">
        <f t="shared" si="7"/>
        <v>1134</v>
      </c>
      <c r="AK34" s="48">
        <f t="shared" si="9"/>
        <v>193.71370003416467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43297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2</v>
      </c>
      <c r="G35" s="118">
        <v>72</v>
      </c>
      <c r="H35" s="150">
        <f t="shared" si="0"/>
        <v>50.70422535211268</v>
      </c>
      <c r="I35" s="150">
        <v>76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101703964</v>
      </c>
      <c r="T35" s="45">
        <f t="shared" si="4"/>
        <v>5312</v>
      </c>
      <c r="U35" s="46">
        <f t="shared" si="5"/>
        <v>127.488</v>
      </c>
      <c r="V35" s="46">
        <f t="shared" si="6"/>
        <v>5.3120000000000003</v>
      </c>
      <c r="W35" s="96">
        <v>2.5</v>
      </c>
      <c r="X35" s="96">
        <f t="shared" si="1"/>
        <v>2.5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17459746</v>
      </c>
      <c r="AJ35" s="45">
        <f t="shared" si="7"/>
        <v>1100</v>
      </c>
      <c r="AK35" s="48">
        <f t="shared" si="9"/>
        <v>207.07831325301203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43297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3</v>
      </c>
      <c r="G36" s="118">
        <v>75</v>
      </c>
      <c r="H36" s="150">
        <f t="shared" si="0"/>
        <v>52.816901408450704</v>
      </c>
      <c r="I36" s="150">
        <v>76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101709288</v>
      </c>
      <c r="T36" s="45">
        <f t="shared" si="4"/>
        <v>5324</v>
      </c>
      <c r="U36" s="46">
        <f t="shared" si="5"/>
        <v>127.776</v>
      </c>
      <c r="V36" s="46">
        <f t="shared" si="6"/>
        <v>5.3239999999999998</v>
      </c>
      <c r="W36" s="96">
        <v>3.4</v>
      </c>
      <c r="X36" s="96">
        <f t="shared" si="1"/>
        <v>3.4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17460844</v>
      </c>
      <c r="AJ36" s="45">
        <f t="shared" si="7"/>
        <v>1098</v>
      </c>
      <c r="AK36" s="48">
        <f t="shared" si="9"/>
        <v>206.23591284748309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124738</v>
      </c>
      <c r="U37" s="46">
        <f t="shared" si="5"/>
        <v>2993.712</v>
      </c>
      <c r="V37" s="46">
        <f t="shared" si="6"/>
        <v>124.738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27283</v>
      </c>
      <c r="AK37" s="61">
        <f>$AJ$37/$V37</f>
        <v>218.72244223893281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1.07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233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179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234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244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177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209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Z13:AE36 X13:X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4:W4" name="Range1_16_1_1_1_1_1_1_2_2_2_2_2_2_2_2_2_2_2_2_2_2_2_2_2_2_2_2_2_2_2_1_2_2_2_2_2_2_2_2_2_2_3_2_2_2_2_2_2_2_2_2_2_1_1_1_1_2_2_1_1_1_1_1_1_1_1_1_1_1_1_1_1_3_1_2_1_1_1_1_1_2_2_2_2_1_1_1_1"/>
    <protectedRange sqref="R3:W3" name="Range1_16_1_1_1_1_1_1_2_2_2_2_2_2_2_2_2_2_2_2_2_2_2_2_2_2_2_2_2_2_2_1_2_2_2_2_2_2_2_2_2_2_3_2_2_2_2_2_2_2_2_2_2_1_1_1_1_2_2_1_1_1_1_1_1_1_1_1_1_1_1_1_1_3_1_2_1_1_1_1_1_1_2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1"/>
  </protectedRanges>
  <mergeCells count="41"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R3:W3"/>
    <mergeCell ref="R4:W4"/>
    <mergeCell ref="R5:W5"/>
    <mergeCell ref="B6:C6"/>
    <mergeCell ref="D6:J6"/>
    <mergeCell ref="N6:O6"/>
  </mergeCells>
  <conditionalFormatting sqref="Z13:AG36">
    <cfRule type="containsText" dxfId="271" priority="5" operator="containsText" text="N/A">
      <formula>NOT(ISERROR(SEARCH("N/A",Z13)))</formula>
    </cfRule>
    <cfRule type="cellIs" dxfId="270" priority="17" operator="equal">
      <formula>0</formula>
    </cfRule>
  </conditionalFormatting>
  <conditionalFormatting sqref="Z13:AG36">
    <cfRule type="cellIs" dxfId="269" priority="16" operator="greaterThanOrEqual">
      <formula>1185</formula>
    </cfRule>
  </conditionalFormatting>
  <conditionalFormatting sqref="Z13:AG36">
    <cfRule type="cellIs" dxfId="268" priority="15" operator="between">
      <formula>0.1</formula>
      <formula>1184</formula>
    </cfRule>
  </conditionalFormatting>
  <conditionalFormatting sqref="Z8:Z9 AT13:AT36 AL37:AQ37 AL13:AR36">
    <cfRule type="cellIs" dxfId="267" priority="14" operator="equal">
      <formula>0</formula>
    </cfRule>
  </conditionalFormatting>
  <conditionalFormatting sqref="Z8:Z9 AT13:AT36 AL37:AQ37 AL13:AR36">
    <cfRule type="cellIs" dxfId="266" priority="13" operator="greaterThan">
      <formula>1179</formula>
    </cfRule>
  </conditionalFormatting>
  <conditionalFormatting sqref="Z8:Z9 AT13:AT36 AL37:AQ37 AL13:AR36">
    <cfRule type="cellIs" dxfId="265" priority="12" operator="greaterThan">
      <formula>99</formula>
    </cfRule>
  </conditionalFormatting>
  <conditionalFormatting sqref="Z8:Z9 AT13:AT36 AL37:AQ37 AL13:AR36">
    <cfRule type="cellIs" dxfId="264" priority="11" operator="greaterThan">
      <formula>0.99</formula>
    </cfRule>
  </conditionalFormatting>
  <conditionalFormatting sqref="AD8:AD9">
    <cfRule type="cellIs" dxfId="263" priority="10" operator="equal">
      <formula>0</formula>
    </cfRule>
  </conditionalFormatting>
  <conditionalFormatting sqref="AD8:AD9">
    <cfRule type="cellIs" dxfId="262" priority="9" operator="greaterThan">
      <formula>1179</formula>
    </cfRule>
  </conditionalFormatting>
  <conditionalFormatting sqref="AD8:AD9">
    <cfRule type="cellIs" dxfId="261" priority="8" operator="greaterThan">
      <formula>99</formula>
    </cfRule>
  </conditionalFormatting>
  <conditionalFormatting sqref="AD8:AD9">
    <cfRule type="cellIs" dxfId="260" priority="7" operator="greaterThan">
      <formula>0.99</formula>
    </cfRule>
  </conditionalFormatting>
  <conditionalFormatting sqref="AK13:AK36">
    <cfRule type="cellIs" dxfId="259" priority="6" operator="greaterThan">
      <formula>$AK$8</formula>
    </cfRule>
  </conditionalFormatting>
  <conditionalFormatting sqref="AS13:AS36">
    <cfRule type="containsText" dxfId="258" priority="1" operator="containsText" text="N/A">
      <formula>NOT(ISERROR(SEARCH("N/A",AS13)))</formula>
    </cfRule>
    <cfRule type="cellIs" dxfId="257" priority="4" operator="equal">
      <formula>0</formula>
    </cfRule>
  </conditionalFormatting>
  <conditionalFormatting sqref="AS13:AS36">
    <cfRule type="cellIs" dxfId="256" priority="3" operator="greaterThanOrEqual">
      <formula>1185</formula>
    </cfRule>
  </conditionalFormatting>
  <conditionalFormatting sqref="AS13:AS36">
    <cfRule type="cellIs" dxfId="255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0F00-000000000000}">
      <formula1>$BB$11:$BB$42</formula1>
    </dataValidation>
    <dataValidation type="list" allowBlank="1" showInputMessage="1" showErrorMessage="1" sqref="J13:J36" xr:uid="{00000000-0002-0000-0F00-000001000000}">
      <formula1>$AY$11:$AY$21</formula1>
    </dataValidation>
    <dataValidation type="list" allowBlank="1" showInputMessage="1" showErrorMessage="1" sqref="AS8:AT9 P11:P12 N11:N12 D8:E9 Q8:V9" xr:uid="{00000000-0002-0000-0F00-000002000000}">
      <formula1>#REF!</formula1>
    </dataValidation>
    <dataValidation type="list" allowBlank="1" showInputMessage="1" showErrorMessage="1" sqref="AY33:AZ33" xr:uid="{00000000-0002-0000-0F00-000003000000}">
      <formula1>$AY$26:$AY$30</formula1>
    </dataValidation>
  </dataValidations>
  <hyperlinks>
    <hyperlink ref="J10:J11" location="'1'!AH8" display="Plant Status" xr:uid="{00000000-0004-0000-0F00-000000000000}"/>
  </hyperlinks>
  <pageMargins left="0.7" right="0.7" top="0.75" bottom="0.75" header="0.3" footer="0.3"/>
  <pageSetup paperSize="9" orientation="portrait" horizont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2:BB88"/>
  <sheetViews>
    <sheetView topLeftCell="A43" zoomScaleNormal="100" workbookViewId="0">
      <selection activeCell="B58" sqref="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134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149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57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4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47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43298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27202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48"/>
      <c r="C9" s="249"/>
      <c r="D9" s="250"/>
      <c r="E9" s="251"/>
      <c r="F9" s="251"/>
      <c r="G9" s="251"/>
      <c r="H9" s="251"/>
      <c r="I9" s="252"/>
      <c r="J9" s="121"/>
      <c r="K9" s="250"/>
      <c r="L9" s="251"/>
      <c r="M9" s="252"/>
      <c r="N9" s="29"/>
      <c r="O9" s="29"/>
      <c r="P9" s="29"/>
      <c r="Q9" s="121"/>
      <c r="R9" s="121"/>
      <c r="S9" s="121"/>
      <c r="T9" s="122"/>
      <c r="U9" s="123"/>
      <c r="V9" s="124"/>
      <c r="W9" s="250"/>
      <c r="X9" s="252"/>
      <c r="Y9" s="30"/>
      <c r="Z9" s="253"/>
      <c r="AA9" s="125"/>
      <c r="AB9" s="126"/>
      <c r="AC9" s="126"/>
      <c r="AD9" s="125"/>
      <c r="AE9" s="125"/>
      <c r="AF9" s="127"/>
      <c r="AG9" s="254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58" t="s">
        <v>51</v>
      </c>
      <c r="X10" s="258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56" t="s">
        <v>55</v>
      </c>
      <c r="AI10" s="256" t="s">
        <v>56</v>
      </c>
      <c r="AJ10" s="314" t="s">
        <v>57</v>
      </c>
      <c r="AK10" s="329" t="s">
        <v>58</v>
      </c>
      <c r="AL10" s="258" t="s">
        <v>59</v>
      </c>
      <c r="AM10" s="258" t="s">
        <v>60</v>
      </c>
      <c r="AN10" s="258" t="s">
        <v>61</v>
      </c>
      <c r="AO10" s="258" t="s">
        <v>62</v>
      </c>
      <c r="AP10" s="258" t="s">
        <v>63</v>
      </c>
      <c r="AQ10" s="258" t="s">
        <v>124</v>
      </c>
      <c r="AR10" s="258" t="s">
        <v>64</v>
      </c>
      <c r="AS10" s="258" t="s">
        <v>65</v>
      </c>
      <c r="AT10" s="312" t="s">
        <v>66</v>
      </c>
      <c r="AU10" s="258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8" t="s">
        <v>72</v>
      </c>
      <c r="C11" s="258" t="s">
        <v>73</v>
      </c>
      <c r="D11" s="258" t="s">
        <v>74</v>
      </c>
      <c r="E11" s="258" t="s">
        <v>75</v>
      </c>
      <c r="F11" s="258" t="s">
        <v>127</v>
      </c>
      <c r="G11" s="258" t="s">
        <v>74</v>
      </c>
      <c r="H11" s="258" t="s">
        <v>75</v>
      </c>
      <c r="I11" s="258" t="s">
        <v>127</v>
      </c>
      <c r="J11" s="309"/>
      <c r="K11" s="258" t="s">
        <v>75</v>
      </c>
      <c r="L11" s="258" t="s">
        <v>75</v>
      </c>
      <c r="M11" s="258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16'!S36</f>
        <v>101709288</v>
      </c>
      <c r="T11" s="322"/>
      <c r="U11" s="323"/>
      <c r="V11" s="324"/>
      <c r="W11" s="258" t="s">
        <v>75</v>
      </c>
      <c r="X11" s="258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16'!AI36</f>
        <v>17460844</v>
      </c>
      <c r="AJ11" s="314"/>
      <c r="AK11" s="330"/>
      <c r="AL11" s="258" t="s">
        <v>84</v>
      </c>
      <c r="AM11" s="258" t="s">
        <v>84</v>
      </c>
      <c r="AN11" s="258" t="s">
        <v>84</v>
      </c>
      <c r="AO11" s="258" t="s">
        <v>84</v>
      </c>
      <c r="AP11" s="258" t="s">
        <v>84</v>
      </c>
      <c r="AQ11" s="258" t="s">
        <v>84</v>
      </c>
      <c r="AR11" s="258" t="s">
        <v>84</v>
      </c>
      <c r="AS11" s="1"/>
      <c r="AT11" s="313"/>
      <c r="AU11" s="255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43298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72</v>
      </c>
      <c r="H13" s="150">
        <f t="shared" ref="H13:H36" si="0">G13/1.42</f>
        <v>50.70422535211268</v>
      </c>
      <c r="I13" s="150">
        <v>76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101714346</v>
      </c>
      <c r="T13" s="45">
        <f>IF(ISBLANK(S13),"-",S13-S11)</f>
        <v>5058</v>
      </c>
      <c r="U13" s="46">
        <f>T13*24/1000</f>
        <v>121.392</v>
      </c>
      <c r="V13" s="46">
        <f>T13/1000</f>
        <v>5.0579999999999998</v>
      </c>
      <c r="W13" s="96">
        <v>5.0999999999999996</v>
      </c>
      <c r="X13" s="96">
        <f t="shared" ref="X13:X36" si="1">W13</f>
        <v>5.0999999999999996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17461964</v>
      </c>
      <c r="AJ13" s="45">
        <f>IF(ISBLANK(AI13),"-",AI13-AI11)</f>
        <v>1120</v>
      </c>
      <c r="AK13" s="48">
        <f>AJ13/V13</f>
        <v>221.43139580862001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43298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6</v>
      </c>
      <c r="G14" s="118">
        <v>72</v>
      </c>
      <c r="H14" s="150">
        <f t="shared" si="0"/>
        <v>50.70422535211268</v>
      </c>
      <c r="I14" s="150">
        <v>76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101719224</v>
      </c>
      <c r="T14" s="45">
        <f t="shared" ref="T14:T36" si="4">IF(ISBLANK(S14),"-",S14-S13)</f>
        <v>4878</v>
      </c>
      <c r="U14" s="46">
        <f t="shared" ref="U14:U37" si="5">T14*24/1000</f>
        <v>117.072</v>
      </c>
      <c r="V14" s="46">
        <f t="shared" ref="V14:V37" si="6">T14/1000</f>
        <v>4.8780000000000001</v>
      </c>
      <c r="W14" s="96">
        <v>6.7</v>
      </c>
      <c r="X14" s="96">
        <f t="shared" si="1"/>
        <v>6.7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17463072</v>
      </c>
      <c r="AJ14" s="45">
        <f t="shared" ref="AJ14:AJ36" si="7">IF(ISBLANK(AI14),"-",AI14-AI13)</f>
        <v>1108</v>
      </c>
      <c r="AK14" s="48">
        <f>AJ14/V14</f>
        <v>227.14227142271423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0.98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43298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72</v>
      </c>
      <c r="H15" s="150">
        <f t="shared" si="0"/>
        <v>50.70422535211268</v>
      </c>
      <c r="I15" s="150">
        <v>78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101724022</v>
      </c>
      <c r="T15" s="45">
        <f>IF(ISBLANK(S15),"-",S15-S14)</f>
        <v>4798</v>
      </c>
      <c r="U15" s="46">
        <f t="shared" si="5"/>
        <v>115.152</v>
      </c>
      <c r="V15" s="46">
        <f t="shared" si="6"/>
        <v>4.798</v>
      </c>
      <c r="W15" s="96">
        <v>8.3000000000000007</v>
      </c>
      <c r="X15" s="96">
        <f t="shared" si="1"/>
        <v>8.3000000000000007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17464192</v>
      </c>
      <c r="AJ15" s="45">
        <f t="shared" si="7"/>
        <v>1120</v>
      </c>
      <c r="AK15" s="48">
        <f t="shared" ref="AK15:AK36" si="9">AJ15/V15</f>
        <v>233.43059608170071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43298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101728554</v>
      </c>
      <c r="T16" s="45">
        <f t="shared" si="4"/>
        <v>4532</v>
      </c>
      <c r="U16" s="46">
        <f t="shared" si="5"/>
        <v>108.768</v>
      </c>
      <c r="V16" s="46">
        <f t="shared" si="6"/>
        <v>4.532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17465232</v>
      </c>
      <c r="AJ16" s="45">
        <f t="shared" si="7"/>
        <v>1040</v>
      </c>
      <c r="AK16" s="48">
        <f t="shared" si="9"/>
        <v>229.47925860547218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43298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82</v>
      </c>
      <c r="H17" s="150">
        <f t="shared" si="0"/>
        <v>57.74647887323944</v>
      </c>
      <c r="I17" s="150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101732996</v>
      </c>
      <c r="T17" s="45">
        <f t="shared" si="4"/>
        <v>4442</v>
      </c>
      <c r="U17" s="46">
        <f t="shared" si="5"/>
        <v>106.608</v>
      </c>
      <c r="V17" s="46">
        <f t="shared" si="6"/>
        <v>4.4420000000000002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17466300</v>
      </c>
      <c r="AJ17" s="45">
        <f t="shared" si="7"/>
        <v>1068</v>
      </c>
      <c r="AK17" s="48">
        <f t="shared" si="9"/>
        <v>240.43223773075189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43298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78</v>
      </c>
      <c r="H18" s="150">
        <f t="shared" si="0"/>
        <v>54.929577464788736</v>
      </c>
      <c r="I18" s="150">
        <v>77</v>
      </c>
      <c r="J18" s="41" t="s">
        <v>88</v>
      </c>
      <c r="K18" s="41">
        <f t="shared" si="3"/>
        <v>53.521126760563384</v>
      </c>
      <c r="L18" s="42">
        <f t="shared" ref="L18:L27" si="10">G18/1.42</f>
        <v>54.929577464788736</v>
      </c>
      <c r="M18" s="41">
        <f>L18+1.42</f>
        <v>56.349577464788737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101738395</v>
      </c>
      <c r="T18" s="45">
        <f t="shared" si="4"/>
        <v>5399</v>
      </c>
      <c r="U18" s="46">
        <f t="shared" si="5"/>
        <v>129.57599999999999</v>
      </c>
      <c r="V18" s="46">
        <f t="shared" si="6"/>
        <v>5.399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17467411</v>
      </c>
      <c r="AJ18" s="45">
        <f t="shared" si="7"/>
        <v>1111</v>
      </c>
      <c r="AK18" s="48">
        <f t="shared" si="9"/>
        <v>205.77884793480274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1.06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43298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78</v>
      </c>
      <c r="H19" s="150">
        <f t="shared" si="0"/>
        <v>54.929577464788736</v>
      </c>
      <c r="I19" s="150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101743599</v>
      </c>
      <c r="T19" s="45">
        <f t="shared" si="4"/>
        <v>5204</v>
      </c>
      <c r="U19" s="46">
        <f t="shared" si="5"/>
        <v>124.896</v>
      </c>
      <c r="V19" s="46">
        <f t="shared" si="6"/>
        <v>5.2039999999999997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17468516</v>
      </c>
      <c r="AJ19" s="45">
        <f t="shared" si="7"/>
        <v>1105</v>
      </c>
      <c r="AK19" s="48">
        <f t="shared" si="9"/>
        <v>212.33666410453498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43298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7</v>
      </c>
      <c r="G20" s="118">
        <v>78</v>
      </c>
      <c r="H20" s="150">
        <f t="shared" si="0"/>
        <v>54.929577464788736</v>
      </c>
      <c r="I20" s="150">
        <v>77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101749084</v>
      </c>
      <c r="T20" s="45">
        <f t="shared" si="4"/>
        <v>5485</v>
      </c>
      <c r="U20" s="46">
        <f>T20*24/1000</f>
        <v>131.63999999999999</v>
      </c>
      <c r="V20" s="46">
        <f t="shared" si="6"/>
        <v>5.4850000000000003</v>
      </c>
      <c r="W20" s="96">
        <v>9.3000000000000007</v>
      </c>
      <c r="X20" s="96">
        <f t="shared" si="1"/>
        <v>9.3000000000000007</v>
      </c>
      <c r="Y20" s="97" t="s">
        <v>168</v>
      </c>
      <c r="Z20" s="154">
        <v>1017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17469657</v>
      </c>
      <c r="AJ20" s="45">
        <f t="shared" si="7"/>
        <v>1141</v>
      </c>
      <c r="AK20" s="48">
        <f t="shared" si="9"/>
        <v>208.0218778486782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43298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6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101755094</v>
      </c>
      <c r="T21" s="45">
        <f t="shared" si="4"/>
        <v>6010</v>
      </c>
      <c r="U21" s="46">
        <f t="shared" si="5"/>
        <v>144.24</v>
      </c>
      <c r="V21" s="46">
        <f t="shared" si="6"/>
        <v>6.01</v>
      </c>
      <c r="W21" s="96">
        <v>8.8000000000000007</v>
      </c>
      <c r="X21" s="96">
        <f t="shared" si="1"/>
        <v>8.8000000000000007</v>
      </c>
      <c r="Y21" s="97" t="s">
        <v>168</v>
      </c>
      <c r="Z21" s="154">
        <v>1027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17470834</v>
      </c>
      <c r="AJ21" s="45">
        <f t="shared" si="7"/>
        <v>1177</v>
      </c>
      <c r="AK21" s="48">
        <f t="shared" si="9"/>
        <v>195.84026622296173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43298</v>
      </c>
      <c r="B22" s="40">
        <v>2.375</v>
      </c>
      <c r="C22" s="40">
        <v>0.41666666666666669</v>
      </c>
      <c r="D22" s="152">
        <v>3</v>
      </c>
      <c r="E22" s="150">
        <f t="shared" si="2"/>
        <v>2.1126760563380285</v>
      </c>
      <c r="F22" s="150">
        <v>6</v>
      </c>
      <c r="G22" s="118">
        <v>78</v>
      </c>
      <c r="H22" s="150">
        <f t="shared" si="0"/>
        <v>54.929577464788736</v>
      </c>
      <c r="I22" s="150">
        <v>77</v>
      </c>
      <c r="J22" s="41" t="s">
        <v>88</v>
      </c>
      <c r="K22" s="41">
        <f t="shared" si="3"/>
        <v>53.521126760563384</v>
      </c>
      <c r="L22" s="42">
        <f t="shared" si="10"/>
        <v>54.929577464788736</v>
      </c>
      <c r="M22" s="41">
        <f t="shared" si="11"/>
        <v>56.349577464788737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101761354</v>
      </c>
      <c r="T22" s="45">
        <f t="shared" si="4"/>
        <v>6260</v>
      </c>
      <c r="U22" s="46">
        <f t="shared" si="5"/>
        <v>150.24</v>
      </c>
      <c r="V22" s="46">
        <f t="shared" si="6"/>
        <v>6.26</v>
      </c>
      <c r="W22" s="96">
        <v>8.1999999999999993</v>
      </c>
      <c r="X22" s="96">
        <f t="shared" si="1"/>
        <v>8.1999999999999993</v>
      </c>
      <c r="Y22" s="97" t="s">
        <v>168</v>
      </c>
      <c r="Z22" s="154">
        <v>1027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17472026</v>
      </c>
      <c r="AJ22" s="45">
        <f t="shared" si="7"/>
        <v>1192</v>
      </c>
      <c r="AK22" s="48">
        <f t="shared" si="9"/>
        <v>190.4153354632588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0.95</v>
      </c>
      <c r="AV22" s="50" t="s">
        <v>126</v>
      </c>
      <c r="BB22" s="136" t="s">
        <v>156</v>
      </c>
    </row>
    <row r="23" spans="1:54" x14ac:dyDescent="0.35">
      <c r="A23" s="331">
        <v>43298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6</v>
      </c>
      <c r="G23" s="118">
        <v>78</v>
      </c>
      <c r="H23" s="150">
        <f t="shared" si="0"/>
        <v>54.929577464788736</v>
      </c>
      <c r="I23" s="150">
        <v>77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101767804</v>
      </c>
      <c r="T23" s="45">
        <f t="shared" si="4"/>
        <v>6450</v>
      </c>
      <c r="U23" s="46">
        <f t="shared" si="5"/>
        <v>154.80000000000001</v>
      </c>
      <c r="V23" s="46">
        <f t="shared" si="6"/>
        <v>6.45</v>
      </c>
      <c r="W23" s="96">
        <v>7.6</v>
      </c>
      <c r="X23" s="96">
        <f>W23</f>
        <v>7.6</v>
      </c>
      <c r="Y23" s="97" t="s">
        <v>168</v>
      </c>
      <c r="Z23" s="154">
        <v>1026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17473205</v>
      </c>
      <c r="AJ23" s="45">
        <f t="shared" si="7"/>
        <v>1179</v>
      </c>
      <c r="AK23" s="48">
        <f t="shared" si="9"/>
        <v>182.7906976744186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43298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5</v>
      </c>
      <c r="G24" s="118">
        <v>78</v>
      </c>
      <c r="H24" s="150">
        <f t="shared" si="0"/>
        <v>54.929577464788736</v>
      </c>
      <c r="I24" s="150">
        <v>77</v>
      </c>
      <c r="J24" s="41" t="s">
        <v>88</v>
      </c>
      <c r="K24" s="41">
        <f t="shared" si="3"/>
        <v>53.521126760563384</v>
      </c>
      <c r="L24" s="42">
        <f t="shared" si="10"/>
        <v>54.929577464788736</v>
      </c>
      <c r="M24" s="41">
        <f t="shared" si="11"/>
        <v>56.349577464788737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101773946</v>
      </c>
      <c r="T24" s="45">
        <f t="shared" si="4"/>
        <v>6142</v>
      </c>
      <c r="U24" s="46">
        <f>T24*24/1000</f>
        <v>147.40799999999999</v>
      </c>
      <c r="V24" s="46">
        <f t="shared" si="6"/>
        <v>6.1420000000000003</v>
      </c>
      <c r="W24" s="96">
        <v>7.1</v>
      </c>
      <c r="X24" s="96">
        <f t="shared" si="1"/>
        <v>7.1</v>
      </c>
      <c r="Y24" s="97" t="s">
        <v>168</v>
      </c>
      <c r="Z24" s="154">
        <v>1026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17474383</v>
      </c>
      <c r="AJ24" s="45">
        <f t="shared" si="7"/>
        <v>1178</v>
      </c>
      <c r="AK24" s="48">
        <f t="shared" si="9"/>
        <v>191.7942038423966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43298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5</v>
      </c>
      <c r="G25" s="118">
        <v>78</v>
      </c>
      <c r="H25" s="150">
        <f t="shared" si="0"/>
        <v>54.929577464788736</v>
      </c>
      <c r="I25" s="150">
        <v>77</v>
      </c>
      <c r="J25" s="41" t="s">
        <v>88</v>
      </c>
      <c r="K25" s="41">
        <f t="shared" si="3"/>
        <v>53.521126760563384</v>
      </c>
      <c r="L25" s="42">
        <f t="shared" si="10"/>
        <v>54.929577464788736</v>
      </c>
      <c r="M25" s="41">
        <f>L25+(6/1.42)</f>
        <v>59.154929577464792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101779712</v>
      </c>
      <c r="T25" s="45">
        <f t="shared" si="4"/>
        <v>5766</v>
      </c>
      <c r="U25" s="46">
        <f>T25*24/1000</f>
        <v>138.38399999999999</v>
      </c>
      <c r="V25" s="46">
        <f t="shared" si="6"/>
        <v>5.766</v>
      </c>
      <c r="W25" s="96">
        <v>6.6</v>
      </c>
      <c r="X25" s="96">
        <f t="shared" si="1"/>
        <v>6.6</v>
      </c>
      <c r="Y25" s="97" t="s">
        <v>168</v>
      </c>
      <c r="Z25" s="154">
        <v>1026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17475551</v>
      </c>
      <c r="AJ25" s="45">
        <f t="shared" si="7"/>
        <v>1168</v>
      </c>
      <c r="AK25" s="48">
        <f t="shared" si="9"/>
        <v>202.56677072493929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43298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5</v>
      </c>
      <c r="G26" s="118">
        <v>78</v>
      </c>
      <c r="H26" s="150">
        <f t="shared" si="0"/>
        <v>54.929577464788736</v>
      </c>
      <c r="I26" s="150">
        <v>78</v>
      </c>
      <c r="J26" s="41" t="s">
        <v>88</v>
      </c>
      <c r="K26" s="41">
        <f t="shared" si="3"/>
        <v>53.521126760563384</v>
      </c>
      <c r="L26" s="42">
        <f t="shared" si="10"/>
        <v>54.929577464788736</v>
      </c>
      <c r="M26" s="41">
        <f t="shared" ref="M26:M36" si="12">L26+(6/1.42)</f>
        <v>59.154929577464792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101785120</v>
      </c>
      <c r="T26" s="45">
        <f t="shared" si="4"/>
        <v>5408</v>
      </c>
      <c r="U26" s="46">
        <f t="shared" si="5"/>
        <v>129.792</v>
      </c>
      <c r="V26" s="46">
        <f t="shared" si="6"/>
        <v>5.4080000000000004</v>
      </c>
      <c r="W26" s="96">
        <v>6.2</v>
      </c>
      <c r="X26" s="96">
        <f t="shared" si="1"/>
        <v>6.2</v>
      </c>
      <c r="Y26" s="97" t="s">
        <v>168</v>
      </c>
      <c r="Z26" s="154">
        <v>1016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17476675</v>
      </c>
      <c r="AJ26" s="45">
        <f t="shared" si="7"/>
        <v>1124</v>
      </c>
      <c r="AK26" s="48">
        <f t="shared" si="9"/>
        <v>207.84023668639051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0.91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43298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4</v>
      </c>
      <c r="G27" s="118">
        <v>78</v>
      </c>
      <c r="H27" s="150">
        <f t="shared" si="0"/>
        <v>54.929577464788736</v>
      </c>
      <c r="I27" s="150">
        <v>79</v>
      </c>
      <c r="J27" s="41" t="s">
        <v>88</v>
      </c>
      <c r="K27" s="41">
        <f t="shared" si="3"/>
        <v>53.521126760563384</v>
      </c>
      <c r="L27" s="42">
        <f t="shared" si="10"/>
        <v>54.929577464788736</v>
      </c>
      <c r="M27" s="41">
        <f t="shared" si="12"/>
        <v>59.154929577464792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101790919</v>
      </c>
      <c r="T27" s="45">
        <f t="shared" si="4"/>
        <v>5799</v>
      </c>
      <c r="U27" s="46">
        <f t="shared" si="5"/>
        <v>139.17599999999999</v>
      </c>
      <c r="V27" s="46">
        <f t="shared" si="6"/>
        <v>5.7990000000000004</v>
      </c>
      <c r="W27" s="96">
        <v>5.8</v>
      </c>
      <c r="X27" s="96">
        <f t="shared" si="1"/>
        <v>5.8</v>
      </c>
      <c r="Y27" s="97" t="s">
        <v>168</v>
      </c>
      <c r="Z27" s="154">
        <v>1015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17477834</v>
      </c>
      <c r="AJ27" s="45">
        <f t="shared" si="7"/>
        <v>1159</v>
      </c>
      <c r="AK27" s="48">
        <f t="shared" si="9"/>
        <v>199.86204518020347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43298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4</v>
      </c>
      <c r="G28" s="118">
        <v>78</v>
      </c>
      <c r="H28" s="150">
        <f t="shared" si="0"/>
        <v>54.929577464788736</v>
      </c>
      <c r="I28" s="150">
        <v>79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101796909</v>
      </c>
      <c r="T28" s="45">
        <f t="shared" si="4"/>
        <v>5990</v>
      </c>
      <c r="U28" s="46">
        <f t="shared" si="5"/>
        <v>143.76</v>
      </c>
      <c r="V28" s="46">
        <f t="shared" si="6"/>
        <v>5.99</v>
      </c>
      <c r="W28" s="96">
        <v>5.4</v>
      </c>
      <c r="X28" s="96">
        <f t="shared" si="1"/>
        <v>5.4</v>
      </c>
      <c r="Y28" s="97" t="s">
        <v>168</v>
      </c>
      <c r="Z28" s="154">
        <v>1016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17479003</v>
      </c>
      <c r="AJ28" s="45">
        <f>IF(ISBLANK(AI28),"-",AI28-AI27)</f>
        <v>1169</v>
      </c>
      <c r="AK28" s="48">
        <f t="shared" si="9"/>
        <v>195.15859766277129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43298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3</v>
      </c>
      <c r="G29" s="118">
        <v>77</v>
      </c>
      <c r="H29" s="150">
        <f t="shared" si="0"/>
        <v>54.225352112676056</v>
      </c>
      <c r="I29" s="150">
        <v>77</v>
      </c>
      <c r="J29" s="41" t="s">
        <v>88</v>
      </c>
      <c r="K29" s="41">
        <f t="shared" si="3"/>
        <v>50.70422535211268</v>
      </c>
      <c r="L29" s="42">
        <f t="shared" ref="L29:L34" si="13">(G29-3)/1.42</f>
        <v>52.112676056338032</v>
      </c>
      <c r="M29" s="41">
        <f t="shared" si="12"/>
        <v>56.338028169014088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101802810</v>
      </c>
      <c r="T29" s="45">
        <f t="shared" si="4"/>
        <v>5901</v>
      </c>
      <c r="U29" s="46">
        <f t="shared" si="5"/>
        <v>141.624</v>
      </c>
      <c r="V29" s="46">
        <f t="shared" si="6"/>
        <v>5.9009999999999998</v>
      </c>
      <c r="W29" s="96">
        <v>5.0999999999999996</v>
      </c>
      <c r="X29" s="96">
        <f t="shared" si="1"/>
        <v>5.0999999999999996</v>
      </c>
      <c r="Y29" s="97" t="s">
        <v>168</v>
      </c>
      <c r="Z29" s="154">
        <v>1016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17480132</v>
      </c>
      <c r="AJ29" s="45">
        <f t="shared" si="7"/>
        <v>1129</v>
      </c>
      <c r="AK29" s="48">
        <f>AJ28/V29</f>
        <v>198.1020166073547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43298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3</v>
      </c>
      <c r="G30" s="118">
        <v>75</v>
      </c>
      <c r="H30" s="150">
        <f t="shared" si="0"/>
        <v>52.816901408450704</v>
      </c>
      <c r="I30" s="150">
        <v>74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101808458</v>
      </c>
      <c r="T30" s="45">
        <f t="shared" si="4"/>
        <v>5648</v>
      </c>
      <c r="U30" s="46">
        <f t="shared" si="5"/>
        <v>135.55199999999999</v>
      </c>
      <c r="V30" s="46">
        <f t="shared" si="6"/>
        <v>5.6479999999999997</v>
      </c>
      <c r="W30" s="96">
        <v>4.8</v>
      </c>
      <c r="X30" s="96">
        <f t="shared" si="1"/>
        <v>4.8</v>
      </c>
      <c r="Y30" s="97" t="s">
        <v>168</v>
      </c>
      <c r="Z30" s="154">
        <v>1016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17481282</v>
      </c>
      <c r="AJ30" s="45">
        <f t="shared" si="7"/>
        <v>1150</v>
      </c>
      <c r="AK30" s="48">
        <f>AJ29/V30</f>
        <v>199.89376770538246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1.05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43298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2</v>
      </c>
      <c r="G31" s="118">
        <v>76</v>
      </c>
      <c r="H31" s="150">
        <f t="shared" si="0"/>
        <v>53.521126760563384</v>
      </c>
      <c r="I31" s="150">
        <v>76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101814273</v>
      </c>
      <c r="T31" s="45">
        <f t="shared" si="4"/>
        <v>5815</v>
      </c>
      <c r="U31" s="46">
        <f t="shared" si="5"/>
        <v>139.56</v>
      </c>
      <c r="V31" s="46">
        <f t="shared" si="6"/>
        <v>5.8150000000000004</v>
      </c>
      <c r="W31" s="96">
        <v>4.3</v>
      </c>
      <c r="X31" s="96">
        <f t="shared" si="1"/>
        <v>4.3</v>
      </c>
      <c r="Y31" s="97" t="s">
        <v>168</v>
      </c>
      <c r="Z31" s="154">
        <v>1016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17482438</v>
      </c>
      <c r="AJ31" s="45">
        <f t="shared" si="7"/>
        <v>1156</v>
      </c>
      <c r="AK31" s="48">
        <f t="shared" si="9"/>
        <v>198.79621668099742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43298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1</v>
      </c>
      <c r="G32" s="118">
        <v>75</v>
      </c>
      <c r="H32" s="150">
        <f t="shared" si="0"/>
        <v>52.816901408450704</v>
      </c>
      <c r="I32" s="150">
        <v>75</v>
      </c>
      <c r="J32" s="41" t="s">
        <v>88</v>
      </c>
      <c r="K32" s="41">
        <f t="shared" si="3"/>
        <v>49.295774647887328</v>
      </c>
      <c r="L32" s="42">
        <f t="shared" si="13"/>
        <v>50.70422535211268</v>
      </c>
      <c r="M32" s="41">
        <f t="shared" si="12"/>
        <v>54.929577464788736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101819896</v>
      </c>
      <c r="T32" s="45">
        <f t="shared" si="4"/>
        <v>5623</v>
      </c>
      <c r="U32" s="46">
        <f t="shared" si="5"/>
        <v>134.952</v>
      </c>
      <c r="V32" s="46">
        <f t="shared" si="6"/>
        <v>5.6230000000000002</v>
      </c>
      <c r="W32" s="96">
        <v>3.9</v>
      </c>
      <c r="X32" s="96">
        <f t="shared" si="1"/>
        <v>3.9</v>
      </c>
      <c r="Y32" s="97" t="s">
        <v>168</v>
      </c>
      <c r="Z32" s="154">
        <v>1016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17483585</v>
      </c>
      <c r="AJ32" s="45">
        <f t="shared" si="7"/>
        <v>1147</v>
      </c>
      <c r="AK32" s="48">
        <f t="shared" si="9"/>
        <v>203.98363862706739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43298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-1</v>
      </c>
      <c r="G33" s="118">
        <v>76</v>
      </c>
      <c r="H33" s="150">
        <f t="shared" si="0"/>
        <v>53.521126760563384</v>
      </c>
      <c r="I33" s="150">
        <v>75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101825750</v>
      </c>
      <c r="T33" s="45">
        <f t="shared" si="4"/>
        <v>5854</v>
      </c>
      <c r="U33" s="46">
        <f t="shared" si="5"/>
        <v>140.49600000000001</v>
      </c>
      <c r="V33" s="46">
        <f t="shared" si="6"/>
        <v>5.8540000000000001</v>
      </c>
      <c r="W33" s="96">
        <v>3.5</v>
      </c>
      <c r="X33" s="96">
        <f t="shared" si="1"/>
        <v>3.5</v>
      </c>
      <c r="Y33" s="97" t="s">
        <v>168</v>
      </c>
      <c r="Z33" s="154">
        <v>1016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17484731</v>
      </c>
      <c r="AJ33" s="45">
        <f t="shared" si="7"/>
        <v>1146</v>
      </c>
      <c r="AK33" s="48">
        <f t="shared" si="9"/>
        <v>195.76358045780663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43298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1</v>
      </c>
      <c r="G34" s="118">
        <v>77</v>
      </c>
      <c r="H34" s="150">
        <f t="shared" si="0"/>
        <v>54.225352112676056</v>
      </c>
      <c r="I34" s="150">
        <v>75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101831468</v>
      </c>
      <c r="T34" s="45">
        <f t="shared" si="4"/>
        <v>5718</v>
      </c>
      <c r="U34" s="46">
        <f t="shared" si="5"/>
        <v>137.232</v>
      </c>
      <c r="V34" s="46">
        <f t="shared" si="6"/>
        <v>5.718</v>
      </c>
      <c r="W34" s="96">
        <v>3.3</v>
      </c>
      <c r="X34" s="96">
        <f t="shared" si="1"/>
        <v>3.3</v>
      </c>
      <c r="Y34" s="97" t="s">
        <v>168</v>
      </c>
      <c r="Z34" s="154">
        <v>1014</v>
      </c>
      <c r="AA34" s="154">
        <v>0</v>
      </c>
      <c r="AB34" s="154">
        <v>1186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17485822</v>
      </c>
      <c r="AJ34" s="45">
        <f t="shared" si="7"/>
        <v>1091</v>
      </c>
      <c r="AK34" s="48">
        <f t="shared" si="9"/>
        <v>190.80097936341377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43298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2</v>
      </c>
      <c r="G35" s="118">
        <v>74</v>
      </c>
      <c r="H35" s="150">
        <f t="shared" si="0"/>
        <v>52.112676056338032</v>
      </c>
      <c r="I35" s="150">
        <v>77</v>
      </c>
      <c r="J35" s="41" t="s">
        <v>88</v>
      </c>
      <c r="K35" s="41">
        <f>L35-(2/1.42)</f>
        <v>47.183098591549296</v>
      </c>
      <c r="L35" s="42">
        <f>(G35-5)/1.42</f>
        <v>48.591549295774648</v>
      </c>
      <c r="M35" s="41">
        <f t="shared" si="12"/>
        <v>52.816901408450704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101836886</v>
      </c>
      <c r="T35" s="45">
        <f t="shared" si="4"/>
        <v>5418</v>
      </c>
      <c r="U35" s="46">
        <f t="shared" si="5"/>
        <v>130.03200000000001</v>
      </c>
      <c r="V35" s="46">
        <f t="shared" si="6"/>
        <v>5.4180000000000001</v>
      </c>
      <c r="W35" s="96">
        <v>4.2</v>
      </c>
      <c r="X35" s="96">
        <f t="shared" si="1"/>
        <v>4.2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17486920</v>
      </c>
      <c r="AJ35" s="45">
        <f t="shared" si="7"/>
        <v>1098</v>
      </c>
      <c r="AK35" s="48">
        <f t="shared" si="9"/>
        <v>202.65780730897009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43298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75</v>
      </c>
      <c r="H36" s="150">
        <f t="shared" si="0"/>
        <v>52.816901408450704</v>
      </c>
      <c r="I36" s="150">
        <v>78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101841962</v>
      </c>
      <c r="T36" s="45">
        <f t="shared" si="4"/>
        <v>5076</v>
      </c>
      <c r="U36" s="46">
        <f t="shared" si="5"/>
        <v>121.824</v>
      </c>
      <c r="V36" s="46">
        <f t="shared" si="6"/>
        <v>5.0759999999999996</v>
      </c>
      <c r="W36" s="96" t="s">
        <v>241</v>
      </c>
      <c r="X36" s="96" t="str">
        <f t="shared" si="1"/>
        <v>5..3</v>
      </c>
      <c r="Y36" s="97" t="s">
        <v>139</v>
      </c>
      <c r="Z36" s="154">
        <v>0</v>
      </c>
      <c r="AA36" s="154">
        <v>0</v>
      </c>
      <c r="AB36" s="154">
        <v>1096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17488046</v>
      </c>
      <c r="AJ36" s="45">
        <f t="shared" si="7"/>
        <v>1126</v>
      </c>
      <c r="AK36" s="48">
        <f t="shared" si="9"/>
        <v>221.82821118991333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132674</v>
      </c>
      <c r="U37" s="46">
        <f t="shared" si="5"/>
        <v>3184.1759999999999</v>
      </c>
      <c r="V37" s="46">
        <f t="shared" si="6"/>
        <v>132.67400000000001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27202</v>
      </c>
      <c r="AK37" s="61">
        <f>$AJ$37/$V37</f>
        <v>205.02886775102883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1.0050000000000001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236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237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49" t="s">
        <v>238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49" t="s">
        <v>239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240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171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83" t="s">
        <v>172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173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32" t="s">
        <v>174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15" t="s">
        <v>245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209" t="s">
        <v>176</v>
      </c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58" t="s">
        <v>177</v>
      </c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4:W4" name="Range1_16_1_1_1_1_1_1_2_2_2_2_2_2_2_2_2_2_2_2_2_2_2_2_2_2_2_2_2_2_2_1_2_2_2_2_2_2_2_2_2_2_3_2_2_2_2_2_2_2_2_2_2_1_1_1_1_2_2_1_1_1_1_1_1_1_1_1_1_1_1_1_1_3_1_2_1_1_1_1_1_2_2_2_2_1_1_1_1"/>
    <protectedRange sqref="R3:W3" name="Range1_16_1_1_1_1_1_1_2_2_2_2_2_2_2_2_2_2_2_2_2_2_2_2_2_2_2_2_2_2_2_1_2_2_2_2_2_2_2_2_2_2_3_2_2_2_2_2_2_2_2_2_2_1_1_1_1_2_2_1_1_1_1_1_1_1_1_1_1_1_1_1_1_3_1_2_1_1_1_1_1_1_2_1_1_1_1_1_1_1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4" name="Range2_12_5_1_1_1_2_1_1_1_1_1_1_1_1_1_1_1_2_1_1_1_1_1_1_1_1_1_1_1_1_1_1_1_1_1_1_1_1_1_1_2_1_1_1_1_1_1_1_1_1_1_1_2_1_1_1_1_2_1_1_1_1_1_1_1_1_1_1_1_2_1_1_1_1_1_1_1_1_1_1_1_1_1_1_3_1_1_1_1_2_1_1_1_1_1_1_1_2_1_1_1_1_1_1_1_1_1_1_1_1_1_1_1_1_1_1_1_1_1_1_1_1__6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54" priority="5" operator="containsText" text="N/A">
      <formula>NOT(ISERROR(SEARCH("N/A",Z13)))</formula>
    </cfRule>
    <cfRule type="cellIs" dxfId="253" priority="17" operator="equal">
      <formula>0</formula>
    </cfRule>
  </conditionalFormatting>
  <conditionalFormatting sqref="Z13:AG36">
    <cfRule type="cellIs" dxfId="252" priority="16" operator="greaterThanOrEqual">
      <formula>1185</formula>
    </cfRule>
  </conditionalFormatting>
  <conditionalFormatting sqref="Z13:AG36">
    <cfRule type="cellIs" dxfId="251" priority="15" operator="between">
      <formula>0.1</formula>
      <formula>1184</formula>
    </cfRule>
  </conditionalFormatting>
  <conditionalFormatting sqref="Z8:Z9 AT13:AT36 AL37:AQ37 AL13:AR36">
    <cfRule type="cellIs" dxfId="250" priority="14" operator="equal">
      <formula>0</formula>
    </cfRule>
  </conditionalFormatting>
  <conditionalFormatting sqref="Z8:Z9 AT13:AT36 AL37:AQ37 AL13:AR36">
    <cfRule type="cellIs" dxfId="249" priority="13" operator="greaterThan">
      <formula>1179</formula>
    </cfRule>
  </conditionalFormatting>
  <conditionalFormatting sqref="Z8:Z9 AT13:AT36 AL37:AQ37 AL13:AR36">
    <cfRule type="cellIs" dxfId="248" priority="12" operator="greaterThan">
      <formula>99</formula>
    </cfRule>
  </conditionalFormatting>
  <conditionalFormatting sqref="Z8:Z9 AT13:AT36 AL37:AQ37 AL13:AR36">
    <cfRule type="cellIs" dxfId="247" priority="11" operator="greaterThan">
      <formula>0.99</formula>
    </cfRule>
  </conditionalFormatting>
  <conditionalFormatting sqref="AD8:AD9">
    <cfRule type="cellIs" dxfId="246" priority="10" operator="equal">
      <formula>0</formula>
    </cfRule>
  </conditionalFormatting>
  <conditionalFormatting sqref="AD8:AD9">
    <cfRule type="cellIs" dxfId="245" priority="9" operator="greaterThan">
      <formula>1179</formula>
    </cfRule>
  </conditionalFormatting>
  <conditionalFormatting sqref="AD8:AD9">
    <cfRule type="cellIs" dxfId="244" priority="8" operator="greaterThan">
      <formula>99</formula>
    </cfRule>
  </conditionalFormatting>
  <conditionalFormatting sqref="AD8:AD9">
    <cfRule type="cellIs" dxfId="243" priority="7" operator="greaterThan">
      <formula>0.99</formula>
    </cfRule>
  </conditionalFormatting>
  <conditionalFormatting sqref="AK13:AK36">
    <cfRule type="cellIs" dxfId="242" priority="6" operator="greaterThan">
      <formula>$AK$8</formula>
    </cfRule>
  </conditionalFormatting>
  <conditionalFormatting sqref="AS13:AS36">
    <cfRule type="containsText" dxfId="241" priority="1" operator="containsText" text="N/A">
      <formula>NOT(ISERROR(SEARCH("N/A",AS13)))</formula>
    </cfRule>
    <cfRule type="cellIs" dxfId="240" priority="4" operator="equal">
      <formula>0</formula>
    </cfRule>
  </conditionalFormatting>
  <conditionalFormatting sqref="AS13:AS36">
    <cfRule type="cellIs" dxfId="239" priority="3" operator="greaterThanOrEqual">
      <formula>1185</formula>
    </cfRule>
  </conditionalFormatting>
  <conditionalFormatting sqref="AS13:AS36">
    <cfRule type="cellIs" dxfId="238" priority="2" operator="between">
      <formula>0.1</formula>
      <formula>1184</formula>
    </cfRule>
  </conditionalFormatting>
  <dataValidations count="4">
    <dataValidation type="list" allowBlank="1" showInputMessage="1" showErrorMessage="1" sqref="AY33:AZ33" xr:uid="{00000000-0002-0000-1000-000000000000}">
      <formula1>$AY$26:$AY$30</formula1>
    </dataValidation>
    <dataValidation type="list" allowBlank="1" showInputMessage="1" showErrorMessage="1" sqref="AS8:AT9 P11:P12 N11:N12 D8:E9 Q8:V9" xr:uid="{00000000-0002-0000-1000-000001000000}">
      <formula1>#REF!</formula1>
    </dataValidation>
    <dataValidation type="list" allowBlank="1" showInputMessage="1" showErrorMessage="1" sqref="J13:J36" xr:uid="{00000000-0002-0000-1000-000002000000}">
      <formula1>$AY$11:$AY$21</formula1>
    </dataValidation>
    <dataValidation type="list" allowBlank="1" showInputMessage="1" showErrorMessage="1" sqref="R3:R5" xr:uid="{00000000-0002-0000-1000-000003000000}">
      <formula1>$BB$11:$BB$42</formula1>
    </dataValidation>
  </dataValidations>
  <hyperlinks>
    <hyperlink ref="J10:J11" location="'1'!AH8" display="Plant Status" xr:uid="{00000000-0004-0000-1000-000000000000}"/>
  </hyperlinks>
  <pageMargins left="0.7" right="0.7" top="0.75" bottom="0.75" header="0.3" footer="0.3"/>
  <pageSetup paperSize="9" orientation="portrait" horizont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30A0"/>
  </sheetPr>
  <dimension ref="A2:BB88"/>
  <sheetViews>
    <sheetView topLeftCell="A43" zoomScaleNormal="100" workbookViewId="0">
      <selection activeCell="B50" sqref="B50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149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57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47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47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43299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26898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48"/>
      <c r="C9" s="249"/>
      <c r="D9" s="250"/>
      <c r="E9" s="251"/>
      <c r="F9" s="251"/>
      <c r="G9" s="251"/>
      <c r="H9" s="251"/>
      <c r="I9" s="252"/>
      <c r="J9" s="121"/>
      <c r="K9" s="250"/>
      <c r="L9" s="251"/>
      <c r="M9" s="252"/>
      <c r="N9" s="29"/>
      <c r="O9" s="29"/>
      <c r="P9" s="29"/>
      <c r="Q9" s="121"/>
      <c r="R9" s="121"/>
      <c r="S9" s="121"/>
      <c r="T9" s="122"/>
      <c r="U9" s="123"/>
      <c r="V9" s="124"/>
      <c r="W9" s="250"/>
      <c r="X9" s="252"/>
      <c r="Y9" s="30"/>
      <c r="Z9" s="253"/>
      <c r="AA9" s="125"/>
      <c r="AB9" s="126"/>
      <c r="AC9" s="126"/>
      <c r="AD9" s="125"/>
      <c r="AE9" s="125"/>
      <c r="AF9" s="127"/>
      <c r="AG9" s="254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58" t="s">
        <v>51</v>
      </c>
      <c r="X10" s="258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56" t="s">
        <v>55</v>
      </c>
      <c r="AI10" s="256" t="s">
        <v>56</v>
      </c>
      <c r="AJ10" s="314" t="s">
        <v>57</v>
      </c>
      <c r="AK10" s="329" t="s">
        <v>58</v>
      </c>
      <c r="AL10" s="258" t="s">
        <v>59</v>
      </c>
      <c r="AM10" s="258" t="s">
        <v>60</v>
      </c>
      <c r="AN10" s="258" t="s">
        <v>61</v>
      </c>
      <c r="AO10" s="258" t="s">
        <v>62</v>
      </c>
      <c r="AP10" s="258" t="s">
        <v>63</v>
      </c>
      <c r="AQ10" s="258" t="s">
        <v>124</v>
      </c>
      <c r="AR10" s="258" t="s">
        <v>64</v>
      </c>
      <c r="AS10" s="258" t="s">
        <v>65</v>
      </c>
      <c r="AT10" s="312" t="s">
        <v>66</v>
      </c>
      <c r="AU10" s="258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58" t="s">
        <v>72</v>
      </c>
      <c r="C11" s="258" t="s">
        <v>73</v>
      </c>
      <c r="D11" s="258" t="s">
        <v>74</v>
      </c>
      <c r="E11" s="258" t="s">
        <v>75</v>
      </c>
      <c r="F11" s="258" t="s">
        <v>127</v>
      </c>
      <c r="G11" s="258" t="s">
        <v>74</v>
      </c>
      <c r="H11" s="258" t="s">
        <v>75</v>
      </c>
      <c r="I11" s="258" t="s">
        <v>127</v>
      </c>
      <c r="J11" s="309"/>
      <c r="K11" s="258" t="s">
        <v>75</v>
      </c>
      <c r="L11" s="258" t="s">
        <v>75</v>
      </c>
      <c r="M11" s="258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17'!S36</f>
        <v>101841962</v>
      </c>
      <c r="T11" s="322"/>
      <c r="U11" s="323"/>
      <c r="V11" s="324"/>
      <c r="W11" s="258" t="s">
        <v>75</v>
      </c>
      <c r="X11" s="258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17'!AI36</f>
        <v>17488046</v>
      </c>
      <c r="AJ11" s="314"/>
      <c r="AK11" s="330"/>
      <c r="AL11" s="258" t="s">
        <v>84</v>
      </c>
      <c r="AM11" s="258" t="s">
        <v>84</v>
      </c>
      <c r="AN11" s="258" t="s">
        <v>84</v>
      </c>
      <c r="AO11" s="258" t="s">
        <v>84</v>
      </c>
      <c r="AP11" s="258" t="s">
        <v>84</v>
      </c>
      <c r="AQ11" s="258" t="s">
        <v>84</v>
      </c>
      <c r="AR11" s="258" t="s">
        <v>84</v>
      </c>
      <c r="AS11" s="1"/>
      <c r="AT11" s="313"/>
      <c r="AU11" s="255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43299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5</v>
      </c>
      <c r="G13" s="118">
        <v>72</v>
      </c>
      <c r="H13" s="150">
        <f t="shared" ref="H13:H36" si="0">G13/1.42</f>
        <v>50.70422535211268</v>
      </c>
      <c r="I13" s="150">
        <v>77</v>
      </c>
      <c r="J13" s="41" t="s">
        <v>88</v>
      </c>
      <c r="K13" s="41">
        <f>L13-(2/1.42)</f>
        <v>45.774647887323944</v>
      </c>
      <c r="L13" s="42">
        <f>(G13-5)/1.42</f>
        <v>47.183098591549296</v>
      </c>
      <c r="M13" s="41">
        <f>L13+(6/1.42)</f>
        <v>51.408450704225352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101846754</v>
      </c>
      <c r="T13" s="45">
        <f>IF(ISBLANK(S13),"-",S13-S11)</f>
        <v>4792</v>
      </c>
      <c r="U13" s="46">
        <f>T13*24/1000</f>
        <v>115.008</v>
      </c>
      <c r="V13" s="46">
        <f>T13/1000</f>
        <v>4.7919999999999998</v>
      </c>
      <c r="W13" s="96">
        <v>6.8</v>
      </c>
      <c r="X13" s="96">
        <f t="shared" ref="X13:X36" si="1">W13</f>
        <v>6.8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17489156</v>
      </c>
      <c r="AJ13" s="45">
        <f>IF(ISBLANK(AI13),"-",AI13-AI11)</f>
        <v>1110</v>
      </c>
      <c r="AK13" s="48">
        <f>AJ13/V13</f>
        <v>231.63606010016696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43299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6</v>
      </c>
      <c r="G14" s="118">
        <v>72</v>
      </c>
      <c r="H14" s="150">
        <f t="shared" si="0"/>
        <v>50.70422535211268</v>
      </c>
      <c r="I14" s="150">
        <v>78</v>
      </c>
      <c r="J14" s="41" t="s">
        <v>88</v>
      </c>
      <c r="K14" s="41">
        <f t="shared" ref="K14:K36" si="3">L14-(2/1.42)</f>
        <v>45.774647887323944</v>
      </c>
      <c r="L14" s="42">
        <f>(G14-5)/1.42</f>
        <v>47.183098591549296</v>
      </c>
      <c r="M14" s="41">
        <f>L14+(6/1.42)</f>
        <v>51.408450704225352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101851446</v>
      </c>
      <c r="T14" s="45">
        <f t="shared" ref="T14:T36" si="4">IF(ISBLANK(S14),"-",S14-S13)</f>
        <v>4692</v>
      </c>
      <c r="U14" s="46">
        <f t="shared" ref="U14:U37" si="5">T14*24/1000</f>
        <v>112.608</v>
      </c>
      <c r="V14" s="46">
        <f t="shared" ref="V14:V37" si="6">T14/1000</f>
        <v>4.6920000000000002</v>
      </c>
      <c r="W14" s="96">
        <v>8.4</v>
      </c>
      <c r="X14" s="96">
        <f t="shared" si="1"/>
        <v>8.4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17490246</v>
      </c>
      <c r="AJ14" s="45">
        <f t="shared" ref="AJ14:AJ36" si="7">IF(ISBLANK(AI14),"-",AI14-AI13)</f>
        <v>1090</v>
      </c>
      <c r="AK14" s="48">
        <f>AJ14/V14</f>
        <v>232.31031543052003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1.02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43299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75</v>
      </c>
      <c r="H15" s="150">
        <f t="shared" si="0"/>
        <v>52.816901408450704</v>
      </c>
      <c r="I15" s="150">
        <v>80</v>
      </c>
      <c r="J15" s="41" t="s">
        <v>88</v>
      </c>
      <c r="K15" s="41">
        <f t="shared" si="3"/>
        <v>47.887323943661976</v>
      </c>
      <c r="L15" s="42">
        <f>(G15-5)/1.42</f>
        <v>49.295774647887328</v>
      </c>
      <c r="M15" s="41">
        <f>L15+(6/1.42)</f>
        <v>53.521126760563384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101856184</v>
      </c>
      <c r="T15" s="45">
        <f>IF(ISBLANK(S15),"-",S15-S14)</f>
        <v>4738</v>
      </c>
      <c r="U15" s="46">
        <f t="shared" si="5"/>
        <v>113.712</v>
      </c>
      <c r="V15" s="46">
        <f t="shared" si="6"/>
        <v>4.7380000000000004</v>
      </c>
      <c r="W15" s="96">
        <v>9.5</v>
      </c>
      <c r="X15" s="96">
        <f t="shared" si="1"/>
        <v>9.5</v>
      </c>
      <c r="Y15" s="97" t="s">
        <v>139</v>
      </c>
      <c r="Z15" s="154">
        <v>0</v>
      </c>
      <c r="AA15" s="154">
        <v>0</v>
      </c>
      <c r="AB15" s="154">
        <v>996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17491290</v>
      </c>
      <c r="AJ15" s="45">
        <f t="shared" si="7"/>
        <v>1044</v>
      </c>
      <c r="AK15" s="48">
        <f t="shared" ref="AK15:AK36" si="9">AJ15/V15</f>
        <v>220.34613761080624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43299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75</v>
      </c>
      <c r="H16" s="150">
        <f t="shared" si="0"/>
        <v>52.816901408450704</v>
      </c>
      <c r="I16" s="150">
        <v>80</v>
      </c>
      <c r="J16" s="41" t="s">
        <v>88</v>
      </c>
      <c r="K16" s="41">
        <f t="shared" si="3"/>
        <v>47.887323943661976</v>
      </c>
      <c r="L16" s="42">
        <f>(G16-5)/1.42</f>
        <v>49.295774647887328</v>
      </c>
      <c r="M16" s="41">
        <f>L16+(6/1.42)</f>
        <v>53.521126760563384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101860910</v>
      </c>
      <c r="T16" s="45">
        <f t="shared" si="4"/>
        <v>4726</v>
      </c>
      <c r="U16" s="46">
        <f t="shared" si="5"/>
        <v>113.42400000000001</v>
      </c>
      <c r="V16" s="46">
        <f t="shared" si="6"/>
        <v>4.726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1018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17492296</v>
      </c>
      <c r="AJ16" s="45">
        <f t="shared" si="7"/>
        <v>1006</v>
      </c>
      <c r="AK16" s="48">
        <f t="shared" si="9"/>
        <v>212.8650021159543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43299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82</v>
      </c>
      <c r="H17" s="150">
        <f t="shared" si="0"/>
        <v>57.74647887323944</v>
      </c>
      <c r="I17" s="150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101865410</v>
      </c>
      <c r="T17" s="45">
        <f t="shared" si="4"/>
        <v>4500</v>
      </c>
      <c r="U17" s="46">
        <f t="shared" si="5"/>
        <v>108</v>
      </c>
      <c r="V17" s="46">
        <f t="shared" si="6"/>
        <v>4.5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1097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17493342</v>
      </c>
      <c r="AJ17" s="45">
        <f t="shared" si="7"/>
        <v>1046</v>
      </c>
      <c r="AK17" s="48">
        <f t="shared" si="9"/>
        <v>232.44444444444446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43299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9</v>
      </c>
      <c r="G18" s="118">
        <v>82</v>
      </c>
      <c r="H18" s="150">
        <f t="shared" si="0"/>
        <v>57.74647887323944</v>
      </c>
      <c r="I18" s="150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101870371</v>
      </c>
      <c r="T18" s="45">
        <f t="shared" si="4"/>
        <v>4961</v>
      </c>
      <c r="U18" s="46">
        <f t="shared" si="5"/>
        <v>119.06399999999999</v>
      </c>
      <c r="V18" s="46">
        <f t="shared" si="6"/>
        <v>4.9610000000000003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1136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17494255</v>
      </c>
      <c r="AJ18" s="45">
        <f t="shared" si="7"/>
        <v>913</v>
      </c>
      <c r="AK18" s="48">
        <f t="shared" si="9"/>
        <v>184.03547671840354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1.1399999999999999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43299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79</v>
      </c>
      <c r="H19" s="150">
        <f t="shared" si="0"/>
        <v>55.633802816901408</v>
      </c>
      <c r="I19" s="150">
        <v>78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101876001</v>
      </c>
      <c r="T19" s="45">
        <f t="shared" si="4"/>
        <v>5630</v>
      </c>
      <c r="U19" s="46">
        <f t="shared" si="5"/>
        <v>135.12</v>
      </c>
      <c r="V19" s="46">
        <f t="shared" si="6"/>
        <v>5.63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17495345</v>
      </c>
      <c r="AJ19" s="45">
        <f t="shared" si="7"/>
        <v>1090</v>
      </c>
      <c r="AK19" s="48">
        <f t="shared" si="9"/>
        <v>193.60568383658969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43299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8</v>
      </c>
      <c r="G20" s="118">
        <v>80</v>
      </c>
      <c r="H20" s="150">
        <f t="shared" si="0"/>
        <v>56.338028169014088</v>
      </c>
      <c r="I20" s="150">
        <v>80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101881060</v>
      </c>
      <c r="T20" s="45">
        <f t="shared" si="4"/>
        <v>5059</v>
      </c>
      <c r="U20" s="46">
        <f>T20*24/1000</f>
        <v>121.416</v>
      </c>
      <c r="V20" s="46">
        <f t="shared" si="6"/>
        <v>5.0590000000000002</v>
      </c>
      <c r="W20" s="96">
        <v>9.5</v>
      </c>
      <c r="X20" s="96">
        <f t="shared" si="1"/>
        <v>9.5</v>
      </c>
      <c r="Y20" s="97" t="s">
        <v>139</v>
      </c>
      <c r="Z20" s="154">
        <v>0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17496420</v>
      </c>
      <c r="AJ20" s="45">
        <f t="shared" si="7"/>
        <v>1075</v>
      </c>
      <c r="AK20" s="48">
        <f t="shared" si="9"/>
        <v>212.49258746787902</v>
      </c>
      <c r="AL20" s="151">
        <v>0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43299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7</v>
      </c>
      <c r="G21" s="118">
        <v>78</v>
      </c>
      <c r="H21" s="150">
        <f t="shared" si="0"/>
        <v>54.929577464788736</v>
      </c>
      <c r="I21" s="150">
        <v>77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101886755</v>
      </c>
      <c r="T21" s="45">
        <f t="shared" si="4"/>
        <v>5695</v>
      </c>
      <c r="U21" s="46">
        <f t="shared" si="5"/>
        <v>136.68</v>
      </c>
      <c r="V21" s="46">
        <f t="shared" si="6"/>
        <v>5.6950000000000003</v>
      </c>
      <c r="W21" s="96">
        <v>9</v>
      </c>
      <c r="X21" s="96">
        <f t="shared" si="1"/>
        <v>9</v>
      </c>
      <c r="Y21" s="97" t="s">
        <v>168</v>
      </c>
      <c r="Z21" s="154">
        <v>0</v>
      </c>
      <c r="AA21" s="154">
        <v>1026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17497599</v>
      </c>
      <c r="AJ21" s="45">
        <f t="shared" si="7"/>
        <v>1179</v>
      </c>
      <c r="AK21" s="48">
        <f t="shared" si="9"/>
        <v>207.0237050043898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43299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7</v>
      </c>
      <c r="G22" s="118">
        <v>77</v>
      </c>
      <c r="H22" s="150">
        <f t="shared" si="0"/>
        <v>54.225352112676056</v>
      </c>
      <c r="I22" s="150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101892640</v>
      </c>
      <c r="T22" s="45">
        <f t="shared" si="4"/>
        <v>5885</v>
      </c>
      <c r="U22" s="46">
        <f t="shared" si="5"/>
        <v>141.24</v>
      </c>
      <c r="V22" s="46">
        <f t="shared" si="6"/>
        <v>5.8849999999999998</v>
      </c>
      <c r="W22" s="96">
        <v>8.4</v>
      </c>
      <c r="X22" s="96">
        <f t="shared" si="1"/>
        <v>8.4</v>
      </c>
      <c r="Y22" s="97" t="s">
        <v>168</v>
      </c>
      <c r="Z22" s="154">
        <v>0</v>
      </c>
      <c r="AA22" s="154">
        <v>1037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17498790</v>
      </c>
      <c r="AJ22" s="45">
        <f t="shared" si="7"/>
        <v>1191</v>
      </c>
      <c r="AK22" s="48">
        <f t="shared" si="9"/>
        <v>202.37892948173322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1.08</v>
      </c>
      <c r="AV22" s="50" t="s">
        <v>126</v>
      </c>
      <c r="BB22" s="136" t="s">
        <v>156</v>
      </c>
    </row>
    <row r="23" spans="1:54" x14ac:dyDescent="0.35">
      <c r="A23" s="331">
        <v>43299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6</v>
      </c>
      <c r="G23" s="118">
        <v>77</v>
      </c>
      <c r="H23" s="150">
        <f t="shared" si="0"/>
        <v>54.225352112676056</v>
      </c>
      <c r="I23" s="150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101898137</v>
      </c>
      <c r="T23" s="45">
        <f t="shared" si="4"/>
        <v>5497</v>
      </c>
      <c r="U23" s="46">
        <f t="shared" si="5"/>
        <v>131.928</v>
      </c>
      <c r="V23" s="46">
        <f t="shared" si="6"/>
        <v>5.4969999999999999</v>
      </c>
      <c r="W23" s="96">
        <v>7.7</v>
      </c>
      <c r="X23" s="96">
        <f>W23</f>
        <v>7.7</v>
      </c>
      <c r="Y23" s="97" t="s">
        <v>168</v>
      </c>
      <c r="Z23" s="154">
        <v>0</v>
      </c>
      <c r="AA23" s="154">
        <v>1046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17499992</v>
      </c>
      <c r="AJ23" s="45">
        <f t="shared" si="7"/>
        <v>1202</v>
      </c>
      <c r="AK23" s="48">
        <f t="shared" si="9"/>
        <v>218.66472621429872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43299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5</v>
      </c>
      <c r="G24" s="118">
        <v>76</v>
      </c>
      <c r="H24" s="150">
        <f t="shared" si="0"/>
        <v>53.521126760563384</v>
      </c>
      <c r="I24" s="150">
        <v>75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101903370</v>
      </c>
      <c r="T24" s="45">
        <f t="shared" si="4"/>
        <v>5233</v>
      </c>
      <c r="U24" s="46">
        <f>T24*24/1000</f>
        <v>125.592</v>
      </c>
      <c r="V24" s="46">
        <f t="shared" si="6"/>
        <v>5.2329999999999997</v>
      </c>
      <c r="W24" s="96">
        <v>7.1</v>
      </c>
      <c r="X24" s="96">
        <f t="shared" si="1"/>
        <v>7.1</v>
      </c>
      <c r="Y24" s="97" t="s">
        <v>168</v>
      </c>
      <c r="Z24" s="154">
        <v>0</v>
      </c>
      <c r="AA24" s="154">
        <v>1046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17501176</v>
      </c>
      <c r="AJ24" s="45">
        <f t="shared" si="7"/>
        <v>1184</v>
      </c>
      <c r="AK24" s="48">
        <f t="shared" si="9"/>
        <v>226.25644945537934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43299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5</v>
      </c>
      <c r="G25" s="118">
        <v>76</v>
      </c>
      <c r="H25" s="150">
        <f t="shared" si="0"/>
        <v>53.521126760563384</v>
      </c>
      <c r="I25" s="150">
        <v>75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101908604</v>
      </c>
      <c r="T25" s="45">
        <f t="shared" si="4"/>
        <v>5234</v>
      </c>
      <c r="U25" s="46">
        <f>T25*24/1000</f>
        <v>125.616</v>
      </c>
      <c r="V25" s="46">
        <f t="shared" si="6"/>
        <v>5.234</v>
      </c>
      <c r="W25" s="96">
        <v>6.4</v>
      </c>
      <c r="X25" s="96">
        <f t="shared" si="1"/>
        <v>6.4</v>
      </c>
      <c r="Y25" s="97" t="s">
        <v>168</v>
      </c>
      <c r="Z25" s="154">
        <v>0</v>
      </c>
      <c r="AA25" s="154">
        <v>1046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17502367</v>
      </c>
      <c r="AJ25" s="45">
        <f t="shared" si="7"/>
        <v>1191</v>
      </c>
      <c r="AK25" s="48">
        <f t="shared" si="9"/>
        <v>227.55063049293085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43299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5</v>
      </c>
      <c r="G26" s="118">
        <v>76</v>
      </c>
      <c r="H26" s="150">
        <f t="shared" si="0"/>
        <v>53.521126760563384</v>
      </c>
      <c r="I26" s="150">
        <v>76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101913650</v>
      </c>
      <c r="T26" s="45">
        <f t="shared" si="4"/>
        <v>5046</v>
      </c>
      <c r="U26" s="46">
        <f t="shared" si="5"/>
        <v>121.104</v>
      </c>
      <c r="V26" s="46">
        <f t="shared" si="6"/>
        <v>5.0460000000000003</v>
      </c>
      <c r="W26" s="96">
        <v>5.9</v>
      </c>
      <c r="X26" s="96">
        <f t="shared" si="1"/>
        <v>5.9</v>
      </c>
      <c r="Y26" s="97" t="s">
        <v>168</v>
      </c>
      <c r="Z26" s="154">
        <v>0</v>
      </c>
      <c r="AA26" s="154">
        <v>1016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17503511</v>
      </c>
      <c r="AJ26" s="45">
        <f t="shared" si="7"/>
        <v>1144</v>
      </c>
      <c r="AK26" s="48">
        <f t="shared" si="9"/>
        <v>226.71422909235037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1.1200000000000001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43299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4</v>
      </c>
      <c r="G27" s="118">
        <v>76</v>
      </c>
      <c r="H27" s="150">
        <f t="shared" si="0"/>
        <v>53.521126760563384</v>
      </c>
      <c r="I27" s="150">
        <v>76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101918849</v>
      </c>
      <c r="T27" s="45">
        <f t="shared" si="4"/>
        <v>5199</v>
      </c>
      <c r="U27" s="46">
        <f t="shared" si="5"/>
        <v>124.776</v>
      </c>
      <c r="V27" s="46">
        <f t="shared" si="6"/>
        <v>5.1989999999999998</v>
      </c>
      <c r="W27" s="96">
        <v>5.4</v>
      </c>
      <c r="X27" s="96">
        <f t="shared" si="1"/>
        <v>5.4</v>
      </c>
      <c r="Y27" s="97" t="s">
        <v>168</v>
      </c>
      <c r="Z27" s="154">
        <v>0</v>
      </c>
      <c r="AA27" s="154">
        <v>1016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17504647</v>
      </c>
      <c r="AJ27" s="45">
        <f t="shared" si="7"/>
        <v>1136</v>
      </c>
      <c r="AK27" s="48">
        <f t="shared" si="9"/>
        <v>218.5035583766109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43299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3</v>
      </c>
      <c r="G28" s="118">
        <v>75</v>
      </c>
      <c r="H28" s="150">
        <f t="shared" si="0"/>
        <v>52.816901408450704</v>
      </c>
      <c r="I28" s="150">
        <v>74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101924004</v>
      </c>
      <c r="T28" s="45">
        <f t="shared" si="4"/>
        <v>5155</v>
      </c>
      <c r="U28" s="46">
        <f t="shared" si="5"/>
        <v>123.72</v>
      </c>
      <c r="V28" s="46">
        <f t="shared" si="6"/>
        <v>5.1550000000000002</v>
      </c>
      <c r="W28" s="96">
        <v>5</v>
      </c>
      <c r="X28" s="96">
        <f t="shared" si="1"/>
        <v>5</v>
      </c>
      <c r="Y28" s="97" t="s">
        <v>168</v>
      </c>
      <c r="Z28" s="154">
        <v>0</v>
      </c>
      <c r="AA28" s="154">
        <v>1016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17505833</v>
      </c>
      <c r="AJ28" s="45">
        <f>IF(ISBLANK(AI28),"-",AI28-AI27)</f>
        <v>1186</v>
      </c>
      <c r="AK28" s="48">
        <f t="shared" si="9"/>
        <v>230.06789524733267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43299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3</v>
      </c>
      <c r="G29" s="118">
        <v>74</v>
      </c>
      <c r="H29" s="150">
        <f t="shared" si="0"/>
        <v>52.112676056338032</v>
      </c>
      <c r="I29" s="150">
        <v>73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101929164</v>
      </c>
      <c r="T29" s="45">
        <f t="shared" si="4"/>
        <v>5160</v>
      </c>
      <c r="U29" s="46">
        <f t="shared" si="5"/>
        <v>123.84</v>
      </c>
      <c r="V29" s="46">
        <f t="shared" si="6"/>
        <v>5.16</v>
      </c>
      <c r="W29" s="96">
        <v>4.5999999999999996</v>
      </c>
      <c r="X29" s="96">
        <f t="shared" si="1"/>
        <v>4.5999999999999996</v>
      </c>
      <c r="Y29" s="97" t="s">
        <v>168</v>
      </c>
      <c r="Z29" s="154">
        <v>0</v>
      </c>
      <c r="AA29" s="154">
        <v>1016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17506956</v>
      </c>
      <c r="AJ29" s="45">
        <f t="shared" si="7"/>
        <v>1123</v>
      </c>
      <c r="AK29" s="48">
        <f>AJ28/V29</f>
        <v>229.84496124031008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43299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2</v>
      </c>
      <c r="G30" s="118">
        <v>74</v>
      </c>
      <c r="H30" s="150">
        <f t="shared" si="0"/>
        <v>52.112676056338032</v>
      </c>
      <c r="I30" s="150">
        <v>74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101934588</v>
      </c>
      <c r="T30" s="45">
        <f t="shared" si="4"/>
        <v>5424</v>
      </c>
      <c r="U30" s="46">
        <f t="shared" si="5"/>
        <v>130.17599999999999</v>
      </c>
      <c r="V30" s="46">
        <f t="shared" si="6"/>
        <v>5.4240000000000004</v>
      </c>
      <c r="W30" s="96">
        <v>4</v>
      </c>
      <c r="X30" s="96">
        <f t="shared" si="1"/>
        <v>4</v>
      </c>
      <c r="Y30" s="97" t="s">
        <v>168</v>
      </c>
      <c r="Z30" s="154">
        <v>0</v>
      </c>
      <c r="AA30" s="154">
        <v>1017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17508167</v>
      </c>
      <c r="AJ30" s="45">
        <f t="shared" si="7"/>
        <v>1211</v>
      </c>
      <c r="AK30" s="48">
        <f>AJ29/V30</f>
        <v>207.04277286135692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43299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1</v>
      </c>
      <c r="G31" s="118">
        <v>75</v>
      </c>
      <c r="H31" s="150">
        <f t="shared" si="0"/>
        <v>52.816901408450704</v>
      </c>
      <c r="I31" s="150">
        <v>76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101940096</v>
      </c>
      <c r="T31" s="45">
        <f t="shared" si="4"/>
        <v>5508</v>
      </c>
      <c r="U31" s="46">
        <f t="shared" si="5"/>
        <v>132.19200000000001</v>
      </c>
      <c r="V31" s="46">
        <f t="shared" si="6"/>
        <v>5.508</v>
      </c>
      <c r="W31" s="96">
        <v>3.5</v>
      </c>
      <c r="X31" s="96">
        <f t="shared" si="1"/>
        <v>3.5</v>
      </c>
      <c r="Y31" s="97" t="s">
        <v>168</v>
      </c>
      <c r="Z31" s="154">
        <v>0</v>
      </c>
      <c r="AA31" s="154">
        <v>1015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17509316</v>
      </c>
      <c r="AJ31" s="45">
        <f t="shared" si="7"/>
        <v>1149</v>
      </c>
      <c r="AK31" s="48">
        <f t="shared" si="9"/>
        <v>208.60566448801742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43299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0</v>
      </c>
      <c r="G32" s="118">
        <v>74</v>
      </c>
      <c r="H32" s="150">
        <f t="shared" si="0"/>
        <v>52.112676056338032</v>
      </c>
      <c r="I32" s="150">
        <v>74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101945564</v>
      </c>
      <c r="T32" s="45">
        <f t="shared" si="4"/>
        <v>5468</v>
      </c>
      <c r="U32" s="46">
        <f t="shared" si="5"/>
        <v>131.232</v>
      </c>
      <c r="V32" s="46">
        <f t="shared" si="6"/>
        <v>5.468</v>
      </c>
      <c r="W32" s="96">
        <v>3.1</v>
      </c>
      <c r="X32" s="96">
        <f t="shared" si="1"/>
        <v>3.1</v>
      </c>
      <c r="Y32" s="97" t="s">
        <v>168</v>
      </c>
      <c r="Z32" s="154">
        <v>0</v>
      </c>
      <c r="AA32" s="154">
        <v>1016</v>
      </c>
      <c r="AB32" s="154">
        <v>1186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17510484</v>
      </c>
      <c r="AJ32" s="45">
        <f t="shared" si="7"/>
        <v>1168</v>
      </c>
      <c r="AK32" s="48">
        <f t="shared" si="9"/>
        <v>213.60643745427944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43299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0</v>
      </c>
      <c r="G33" s="118">
        <v>75</v>
      </c>
      <c r="H33" s="150">
        <f t="shared" si="0"/>
        <v>52.816901408450704</v>
      </c>
      <c r="I33" s="150">
        <v>74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101951221</v>
      </c>
      <c r="T33" s="45">
        <f t="shared" si="4"/>
        <v>5657</v>
      </c>
      <c r="U33" s="46">
        <f t="shared" si="5"/>
        <v>135.768</v>
      </c>
      <c r="V33" s="46">
        <f t="shared" si="6"/>
        <v>5.657</v>
      </c>
      <c r="W33" s="96">
        <v>2.8</v>
      </c>
      <c r="X33" s="96">
        <f t="shared" si="1"/>
        <v>2.8</v>
      </c>
      <c r="Y33" s="97" t="s">
        <v>168</v>
      </c>
      <c r="Z33" s="154">
        <v>0</v>
      </c>
      <c r="AA33" s="154">
        <v>1015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17511649</v>
      </c>
      <c r="AJ33" s="45">
        <f t="shared" si="7"/>
        <v>1165</v>
      </c>
      <c r="AK33" s="48">
        <f t="shared" si="9"/>
        <v>205.93954392787697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43299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1</v>
      </c>
      <c r="G34" s="118">
        <v>77</v>
      </c>
      <c r="H34" s="150">
        <f t="shared" si="0"/>
        <v>54.225352112676056</v>
      </c>
      <c r="I34" s="150">
        <v>74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101957356</v>
      </c>
      <c r="T34" s="45">
        <f t="shared" si="4"/>
        <v>6135</v>
      </c>
      <c r="U34" s="46">
        <f t="shared" si="5"/>
        <v>147.24</v>
      </c>
      <c r="V34" s="46">
        <f t="shared" si="6"/>
        <v>6.1349999999999998</v>
      </c>
      <c r="W34" s="96">
        <v>2.5</v>
      </c>
      <c r="X34" s="96">
        <f t="shared" si="1"/>
        <v>2.5</v>
      </c>
      <c r="Y34" s="97" t="s">
        <v>168</v>
      </c>
      <c r="Z34" s="154">
        <v>0</v>
      </c>
      <c r="AA34" s="154">
        <v>1015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17512756</v>
      </c>
      <c r="AJ34" s="45">
        <f t="shared" si="7"/>
        <v>1107</v>
      </c>
      <c r="AK34" s="48">
        <f t="shared" si="9"/>
        <v>180.44009779951102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43299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1</v>
      </c>
      <c r="G35" s="118">
        <v>72</v>
      </c>
      <c r="H35" s="150">
        <f t="shared" si="0"/>
        <v>50.70422535211268</v>
      </c>
      <c r="I35" s="150">
        <v>76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101962044</v>
      </c>
      <c r="T35" s="45">
        <f t="shared" si="4"/>
        <v>4688</v>
      </c>
      <c r="U35" s="46">
        <f t="shared" si="5"/>
        <v>112.512</v>
      </c>
      <c r="V35" s="46">
        <f t="shared" si="6"/>
        <v>4.6879999999999997</v>
      </c>
      <c r="W35" s="96">
        <v>3.7</v>
      </c>
      <c r="X35" s="96">
        <f t="shared" si="1"/>
        <v>3.7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17513864</v>
      </c>
      <c r="AJ35" s="45">
        <f t="shared" si="7"/>
        <v>1108</v>
      </c>
      <c r="AK35" s="48">
        <f t="shared" si="9"/>
        <v>236.34812286689422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43299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3</v>
      </c>
      <c r="G36" s="118">
        <v>70</v>
      </c>
      <c r="H36" s="150">
        <f t="shared" si="0"/>
        <v>49.295774647887328</v>
      </c>
      <c r="I36" s="150">
        <v>76</v>
      </c>
      <c r="J36" s="41" t="s">
        <v>88</v>
      </c>
      <c r="K36" s="41">
        <f t="shared" si="3"/>
        <v>44.366197183098592</v>
      </c>
      <c r="L36" s="42">
        <f>(G36-5)/1.42</f>
        <v>45.774647887323944</v>
      </c>
      <c r="M36" s="41">
        <f t="shared" si="12"/>
        <v>50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101966666</v>
      </c>
      <c r="T36" s="45">
        <f t="shared" si="4"/>
        <v>4622</v>
      </c>
      <c r="U36" s="46">
        <f t="shared" si="5"/>
        <v>110.928</v>
      </c>
      <c r="V36" s="46">
        <f t="shared" si="6"/>
        <v>4.6219999999999999</v>
      </c>
      <c r="W36" s="96">
        <v>5.2</v>
      </c>
      <c r="X36" s="96">
        <f t="shared" si="1"/>
        <v>5.2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17514944</v>
      </c>
      <c r="AJ36" s="45">
        <f t="shared" si="7"/>
        <v>1080</v>
      </c>
      <c r="AK36" s="48">
        <f t="shared" si="9"/>
        <v>233.66508005192557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124704</v>
      </c>
      <c r="U37" s="46">
        <f t="shared" si="5"/>
        <v>2992.8960000000002</v>
      </c>
      <c r="V37" s="46">
        <f t="shared" si="6"/>
        <v>124.70399999999999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26898</v>
      </c>
      <c r="AK37" s="61">
        <f>$AJ$37/$V37</f>
        <v>215.69476520400309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1.0666666666666667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67" t="s">
        <v>242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32" t="s">
        <v>163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204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243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244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177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209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3:W3" name="Range1_16_1_1_1_1_1_1_2_2_2_2_2_2_2_2_2_2_2_2_2_2_2_2_2_2_2_2_2_2_2_1_2_2_2_2_2_2_2_2_2_2_3_2_2_2_2_2_2_2_2_2_2_1_1_1_1_2_2_1_1_1_1_1_1_1_1_1_1_1_1_1_1_3_1_2_1_1_1_1_1_1_2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R4:W4" name="Range1_16_1_1_1_1_1_1_2_2_2_2_2_2_2_2_2_2_2_2_2_2_2_2_2_2_2_2_2_2_2_1_2_2_2_2_2_2_2_2_2_2_3_2_2_2_2_2_2_2_2_2_2_1_1_1_1_2_2_1_1_1_1_1_1_1_1_1_1_1_1_1_1_3_1_2_1_1_1_1_1_2_2_2_2_1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37" priority="5" operator="containsText" text="N/A">
      <formula>NOT(ISERROR(SEARCH("N/A",Z13)))</formula>
    </cfRule>
    <cfRule type="cellIs" dxfId="236" priority="17" operator="equal">
      <formula>0</formula>
    </cfRule>
  </conditionalFormatting>
  <conditionalFormatting sqref="Z13:AG36">
    <cfRule type="cellIs" dxfId="235" priority="16" operator="greaterThanOrEqual">
      <formula>1185</formula>
    </cfRule>
  </conditionalFormatting>
  <conditionalFormatting sqref="Z13:AG36">
    <cfRule type="cellIs" dxfId="234" priority="15" operator="between">
      <formula>0.1</formula>
      <formula>1184</formula>
    </cfRule>
  </conditionalFormatting>
  <conditionalFormatting sqref="Z8:Z9 AT13:AT36 AL37:AQ37 AL13:AR36">
    <cfRule type="cellIs" dxfId="233" priority="14" operator="equal">
      <formula>0</formula>
    </cfRule>
  </conditionalFormatting>
  <conditionalFormatting sqref="Z8:Z9 AT13:AT36 AL37:AQ37 AL13:AR36">
    <cfRule type="cellIs" dxfId="232" priority="13" operator="greaterThan">
      <formula>1179</formula>
    </cfRule>
  </conditionalFormatting>
  <conditionalFormatting sqref="Z8:Z9 AT13:AT36 AL37:AQ37 AL13:AR36">
    <cfRule type="cellIs" dxfId="231" priority="12" operator="greaterThan">
      <formula>99</formula>
    </cfRule>
  </conditionalFormatting>
  <conditionalFormatting sqref="Z8:Z9 AT13:AT36 AL37:AQ37 AL13:AR36">
    <cfRule type="cellIs" dxfId="230" priority="11" operator="greaterThan">
      <formula>0.99</formula>
    </cfRule>
  </conditionalFormatting>
  <conditionalFormatting sqref="AD8:AD9">
    <cfRule type="cellIs" dxfId="229" priority="10" operator="equal">
      <formula>0</formula>
    </cfRule>
  </conditionalFormatting>
  <conditionalFormatting sqref="AD8:AD9">
    <cfRule type="cellIs" dxfId="228" priority="9" operator="greaterThan">
      <formula>1179</formula>
    </cfRule>
  </conditionalFormatting>
  <conditionalFormatting sqref="AD8:AD9">
    <cfRule type="cellIs" dxfId="227" priority="8" operator="greaterThan">
      <formula>99</formula>
    </cfRule>
  </conditionalFormatting>
  <conditionalFormatting sqref="AD8:AD9">
    <cfRule type="cellIs" dxfId="226" priority="7" operator="greaterThan">
      <formula>0.99</formula>
    </cfRule>
  </conditionalFormatting>
  <conditionalFormatting sqref="AK13:AK36">
    <cfRule type="cellIs" dxfId="225" priority="6" operator="greaterThan">
      <formula>$AK$8</formula>
    </cfRule>
  </conditionalFormatting>
  <conditionalFormatting sqref="AS13:AS36">
    <cfRule type="containsText" dxfId="224" priority="1" operator="containsText" text="N/A">
      <formula>NOT(ISERROR(SEARCH("N/A",AS13)))</formula>
    </cfRule>
    <cfRule type="cellIs" dxfId="223" priority="4" operator="equal">
      <formula>0</formula>
    </cfRule>
  </conditionalFormatting>
  <conditionalFormatting sqref="AS13:AS36">
    <cfRule type="cellIs" dxfId="222" priority="3" operator="greaterThanOrEqual">
      <formula>1185</formula>
    </cfRule>
  </conditionalFormatting>
  <conditionalFormatting sqref="AS13:AS36">
    <cfRule type="cellIs" dxfId="221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100-000000000000}">
      <formula1>$BB$11:$BB$42</formula1>
    </dataValidation>
    <dataValidation type="list" allowBlank="1" showInputMessage="1" showErrorMessage="1" sqref="J13:J36" xr:uid="{00000000-0002-0000-1100-000001000000}">
      <formula1>$AY$11:$AY$21</formula1>
    </dataValidation>
    <dataValidation type="list" allowBlank="1" showInputMessage="1" showErrorMessage="1" sqref="AS8:AT9 P11:P12 N11:N12 D8:E9 Q8:V9" xr:uid="{00000000-0002-0000-1100-000002000000}">
      <formula1>#REF!</formula1>
    </dataValidation>
    <dataValidation type="list" allowBlank="1" showInputMessage="1" showErrorMessage="1" sqref="AY33:AZ33" xr:uid="{00000000-0002-0000-1100-000003000000}">
      <formula1>$AY$26:$AY$30</formula1>
    </dataValidation>
  </dataValidations>
  <hyperlinks>
    <hyperlink ref="J10:J11" location="'1'!AH8" display="Plant Status" xr:uid="{00000000-0004-0000-1100-000000000000}"/>
  </hyperlinks>
  <pageMargins left="0.7" right="0.7" top="0.75" bottom="0.75" header="0.3" footer="0.3"/>
  <pageSetup paperSize="9" orientation="portrait" horizont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2:BB88"/>
  <sheetViews>
    <sheetView topLeftCell="A13" zoomScaleNormal="100" workbookViewId="0">
      <selection activeCell="R3" sqref="R3:W3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135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69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43300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27224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1"/>
      <c r="K9" s="262"/>
      <c r="L9" s="263"/>
      <c r="M9" s="264"/>
      <c r="N9" s="29"/>
      <c r="O9" s="29"/>
      <c r="P9" s="29"/>
      <c r="Q9" s="121"/>
      <c r="R9" s="121"/>
      <c r="S9" s="121"/>
      <c r="T9" s="122"/>
      <c r="U9" s="123"/>
      <c r="V9" s="124"/>
      <c r="W9" s="262"/>
      <c r="X9" s="264"/>
      <c r="Y9" s="30"/>
      <c r="Z9" s="265"/>
      <c r="AA9" s="125"/>
      <c r="AB9" s="126"/>
      <c r="AC9" s="126"/>
      <c r="AD9" s="125"/>
      <c r="AE9" s="125"/>
      <c r="AF9" s="127"/>
      <c r="AG9" s="26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70" t="s">
        <v>51</v>
      </c>
      <c r="X10" s="270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68" t="s">
        <v>55</v>
      </c>
      <c r="AI10" s="268" t="s">
        <v>56</v>
      </c>
      <c r="AJ10" s="314" t="s">
        <v>57</v>
      </c>
      <c r="AK10" s="329" t="s">
        <v>58</v>
      </c>
      <c r="AL10" s="270" t="s">
        <v>59</v>
      </c>
      <c r="AM10" s="270" t="s">
        <v>60</v>
      </c>
      <c r="AN10" s="270" t="s">
        <v>61</v>
      </c>
      <c r="AO10" s="270" t="s">
        <v>62</v>
      </c>
      <c r="AP10" s="270" t="s">
        <v>63</v>
      </c>
      <c r="AQ10" s="270" t="s">
        <v>124</v>
      </c>
      <c r="AR10" s="270" t="s">
        <v>64</v>
      </c>
      <c r="AS10" s="270" t="s">
        <v>65</v>
      </c>
      <c r="AT10" s="312" t="s">
        <v>66</v>
      </c>
      <c r="AU10" s="270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0" t="s">
        <v>72</v>
      </c>
      <c r="C11" s="270" t="s">
        <v>73</v>
      </c>
      <c r="D11" s="270" t="s">
        <v>74</v>
      </c>
      <c r="E11" s="270" t="s">
        <v>75</v>
      </c>
      <c r="F11" s="270" t="s">
        <v>127</v>
      </c>
      <c r="G11" s="270" t="s">
        <v>74</v>
      </c>
      <c r="H11" s="270" t="s">
        <v>75</v>
      </c>
      <c r="I11" s="270" t="s">
        <v>127</v>
      </c>
      <c r="J11" s="309"/>
      <c r="K11" s="270" t="s">
        <v>75</v>
      </c>
      <c r="L11" s="270" t="s">
        <v>75</v>
      </c>
      <c r="M11" s="270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18'!S36</f>
        <v>101966666</v>
      </c>
      <c r="T11" s="322"/>
      <c r="U11" s="323"/>
      <c r="V11" s="324"/>
      <c r="W11" s="270" t="s">
        <v>75</v>
      </c>
      <c r="X11" s="270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18'!AI36</f>
        <v>17514944</v>
      </c>
      <c r="AJ11" s="314"/>
      <c r="AK11" s="330"/>
      <c r="AL11" s="270" t="s">
        <v>84</v>
      </c>
      <c r="AM11" s="270" t="s">
        <v>84</v>
      </c>
      <c r="AN11" s="270" t="s">
        <v>84</v>
      </c>
      <c r="AO11" s="270" t="s">
        <v>84</v>
      </c>
      <c r="AP11" s="270" t="s">
        <v>84</v>
      </c>
      <c r="AQ11" s="270" t="s">
        <v>84</v>
      </c>
      <c r="AR11" s="270" t="s">
        <v>84</v>
      </c>
      <c r="AS11" s="1"/>
      <c r="AT11" s="313"/>
      <c r="AU11" s="267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43300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71</v>
      </c>
      <c r="H13" s="150">
        <f t="shared" ref="H13:H36" si="0">G13/1.42</f>
        <v>50</v>
      </c>
      <c r="I13" s="150">
        <v>76</v>
      </c>
      <c r="J13" s="41" t="s">
        <v>88</v>
      </c>
      <c r="K13" s="41">
        <f>L13-(2/1.42)</f>
        <v>45.070422535211272</v>
      </c>
      <c r="L13" s="42">
        <f>(G13-5)/1.42</f>
        <v>46.478873239436624</v>
      </c>
      <c r="M13" s="41">
        <f>L13+(6/1.42)</f>
        <v>50.70422535211268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101971542</v>
      </c>
      <c r="T13" s="45">
        <f>IF(ISBLANK(S13),"-",S13-S11)</f>
        <v>4876</v>
      </c>
      <c r="U13" s="46">
        <f>T13*24/1000</f>
        <v>117.024</v>
      </c>
      <c r="V13" s="46">
        <f>T13/1000</f>
        <v>4.8760000000000003</v>
      </c>
      <c r="W13" s="96">
        <v>6.7</v>
      </c>
      <c r="X13" s="96">
        <f t="shared" ref="X13:X36" si="1">W13</f>
        <v>6.7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17516084</v>
      </c>
      <c r="AJ13" s="45">
        <f>IF(ISBLANK(AI13),"-",AI13-AI11)</f>
        <v>1140</v>
      </c>
      <c r="AK13" s="48">
        <f>AJ13/V13</f>
        <v>233.79819524200161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43300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6</v>
      </c>
      <c r="G14" s="118">
        <v>71</v>
      </c>
      <c r="H14" s="150">
        <f t="shared" si="0"/>
        <v>50</v>
      </c>
      <c r="I14" s="150">
        <v>78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101976266</v>
      </c>
      <c r="T14" s="45">
        <f t="shared" ref="T14:T36" si="4">IF(ISBLANK(S14),"-",S14-S13)</f>
        <v>4724</v>
      </c>
      <c r="U14" s="46">
        <f t="shared" ref="U14:U37" si="5">T14*24/1000</f>
        <v>113.376</v>
      </c>
      <c r="V14" s="46">
        <f t="shared" ref="V14:V37" si="6">T14/1000</f>
        <v>4.7240000000000002</v>
      </c>
      <c r="W14" s="96">
        <v>8.1</v>
      </c>
      <c r="X14" s="96">
        <f t="shared" si="1"/>
        <v>8.1</v>
      </c>
      <c r="Y14" s="97" t="s">
        <v>139</v>
      </c>
      <c r="Z14" s="154">
        <v>0</v>
      </c>
      <c r="AA14" s="154">
        <v>0</v>
      </c>
      <c r="AB14" s="154">
        <v>1188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17517246</v>
      </c>
      <c r="AJ14" s="45">
        <f t="shared" ref="AJ14:AJ36" si="7">IF(ISBLANK(AI14),"-",AI14-AI13)</f>
        <v>1162</v>
      </c>
      <c r="AK14" s="48">
        <f>AJ14/V14</f>
        <v>245.97798475867907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0.96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43300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7</v>
      </c>
      <c r="G15" s="118">
        <v>82</v>
      </c>
      <c r="H15" s="150">
        <f t="shared" si="0"/>
        <v>57.74647887323944</v>
      </c>
      <c r="I15" s="150">
        <v>80</v>
      </c>
      <c r="J15" s="41" t="s">
        <v>88</v>
      </c>
      <c r="K15" s="41">
        <f t="shared" si="3"/>
        <v>52.816901408450704</v>
      </c>
      <c r="L15" s="42">
        <f>(G15-5)/1.42</f>
        <v>54.225352112676056</v>
      </c>
      <c r="M15" s="41">
        <f>L15+(6/1.42)</f>
        <v>58.450704225352112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101981322</v>
      </c>
      <c r="T15" s="45">
        <f>IF(ISBLANK(S15),"-",S15-S14)</f>
        <v>5056</v>
      </c>
      <c r="U15" s="46">
        <f t="shared" si="5"/>
        <v>121.34399999999999</v>
      </c>
      <c r="V15" s="46">
        <f t="shared" si="6"/>
        <v>5.056</v>
      </c>
      <c r="W15" s="96">
        <v>9.5</v>
      </c>
      <c r="X15" s="96">
        <f t="shared" si="1"/>
        <v>9.5</v>
      </c>
      <c r="Y15" s="97" t="s">
        <v>139</v>
      </c>
      <c r="Z15" s="154">
        <v>0</v>
      </c>
      <c r="AA15" s="154">
        <v>0</v>
      </c>
      <c r="AB15" s="154">
        <v>1147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17518264</v>
      </c>
      <c r="AJ15" s="45">
        <f t="shared" si="7"/>
        <v>1018</v>
      </c>
      <c r="AK15" s="48">
        <f t="shared" ref="AK15:AK36" si="9">AJ15/V15</f>
        <v>201.34493670886076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43300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82</v>
      </c>
      <c r="H16" s="150">
        <f t="shared" si="0"/>
        <v>57.74647887323944</v>
      </c>
      <c r="I16" s="150">
        <v>80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101986602</v>
      </c>
      <c r="T16" s="45">
        <f t="shared" si="4"/>
        <v>5280</v>
      </c>
      <c r="U16" s="46">
        <f t="shared" si="5"/>
        <v>126.72</v>
      </c>
      <c r="V16" s="46">
        <f t="shared" si="6"/>
        <v>5.28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1147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17519384</v>
      </c>
      <c r="AJ16" s="45">
        <f t="shared" si="7"/>
        <v>1120</v>
      </c>
      <c r="AK16" s="48">
        <f t="shared" si="9"/>
        <v>212.12121212121212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43300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82</v>
      </c>
      <c r="H17" s="150">
        <f t="shared" si="0"/>
        <v>57.74647887323944</v>
      </c>
      <c r="I17" s="150">
        <v>80</v>
      </c>
      <c r="J17" s="41" t="s">
        <v>88</v>
      </c>
      <c r="K17" s="41">
        <f t="shared" si="3"/>
        <v>52.816901408450704</v>
      </c>
      <c r="L17" s="42">
        <f>(G17-5)/1.42</f>
        <v>54.225352112676056</v>
      </c>
      <c r="M17" s="41">
        <f>L17+(6/1.42)</f>
        <v>58.450704225352112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101990984</v>
      </c>
      <c r="T17" s="45">
        <f t="shared" si="4"/>
        <v>4382</v>
      </c>
      <c r="U17" s="46">
        <f t="shared" si="5"/>
        <v>105.16800000000001</v>
      </c>
      <c r="V17" s="46">
        <f t="shared" si="6"/>
        <v>4.3819999999999997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1156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17520398</v>
      </c>
      <c r="AJ17" s="45">
        <f t="shared" si="7"/>
        <v>1014</v>
      </c>
      <c r="AK17" s="48">
        <f t="shared" si="9"/>
        <v>231.40118667275217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43300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80</v>
      </c>
      <c r="H18" s="150">
        <f t="shared" si="0"/>
        <v>56.338028169014088</v>
      </c>
      <c r="I18" s="150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101995158</v>
      </c>
      <c r="T18" s="45">
        <f t="shared" si="4"/>
        <v>4174</v>
      </c>
      <c r="U18" s="46">
        <f t="shared" si="5"/>
        <v>100.176</v>
      </c>
      <c r="V18" s="46">
        <f t="shared" si="6"/>
        <v>4.1740000000000004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17521372</v>
      </c>
      <c r="AJ18" s="45">
        <f t="shared" si="7"/>
        <v>974</v>
      </c>
      <c r="AK18" s="48">
        <f t="shared" si="9"/>
        <v>233.34930522280783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1.1100000000000001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43300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78</v>
      </c>
      <c r="H19" s="150">
        <f t="shared" si="0"/>
        <v>54.929577464788736</v>
      </c>
      <c r="I19" s="150">
        <v>77</v>
      </c>
      <c r="J19" s="41" t="s">
        <v>88</v>
      </c>
      <c r="K19" s="41">
        <f t="shared" si="3"/>
        <v>53.521126760563384</v>
      </c>
      <c r="L19" s="42">
        <f t="shared" si="10"/>
        <v>54.929577464788736</v>
      </c>
      <c r="M19" s="41">
        <f>L19+1.42</f>
        <v>56.349577464788737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102000547</v>
      </c>
      <c r="T19" s="45">
        <f t="shared" si="4"/>
        <v>5389</v>
      </c>
      <c r="U19" s="46">
        <f t="shared" si="5"/>
        <v>129.33600000000001</v>
      </c>
      <c r="V19" s="46">
        <f t="shared" si="6"/>
        <v>5.3890000000000002</v>
      </c>
      <c r="W19" s="96">
        <v>9.1</v>
      </c>
      <c r="X19" s="96">
        <f t="shared" si="1"/>
        <v>9.1</v>
      </c>
      <c r="Y19" s="97" t="s">
        <v>168</v>
      </c>
      <c r="Z19" s="154">
        <v>1016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17522569</v>
      </c>
      <c r="AJ19" s="45">
        <f t="shared" si="7"/>
        <v>1197</v>
      </c>
      <c r="AK19" s="48">
        <f t="shared" si="9"/>
        <v>222.11913156429765</v>
      </c>
      <c r="AL19" s="151">
        <v>1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43300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7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102006218</v>
      </c>
      <c r="T20" s="45">
        <f t="shared" si="4"/>
        <v>5671</v>
      </c>
      <c r="U20" s="46">
        <f>T20*24/1000</f>
        <v>136.10400000000001</v>
      </c>
      <c r="V20" s="46">
        <f t="shared" si="6"/>
        <v>5.6710000000000003</v>
      </c>
      <c r="W20" s="96">
        <v>8.5</v>
      </c>
      <c r="X20" s="96">
        <f t="shared" si="1"/>
        <v>8.5</v>
      </c>
      <c r="Y20" s="97" t="s">
        <v>168</v>
      </c>
      <c r="Z20" s="154">
        <v>1036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17523744</v>
      </c>
      <c r="AJ20" s="45">
        <f t="shared" si="7"/>
        <v>1175</v>
      </c>
      <c r="AK20" s="48">
        <f t="shared" si="9"/>
        <v>207.19449832481044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43300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6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102011932</v>
      </c>
      <c r="T21" s="45">
        <f t="shared" si="4"/>
        <v>5714</v>
      </c>
      <c r="U21" s="46">
        <f t="shared" si="5"/>
        <v>137.136</v>
      </c>
      <c r="V21" s="46">
        <f t="shared" si="6"/>
        <v>5.7140000000000004</v>
      </c>
      <c r="W21" s="96">
        <v>7.8</v>
      </c>
      <c r="X21" s="96">
        <f t="shared" si="1"/>
        <v>7.8</v>
      </c>
      <c r="Y21" s="97" t="s">
        <v>168</v>
      </c>
      <c r="Z21" s="154">
        <v>1058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17524937</v>
      </c>
      <c r="AJ21" s="45">
        <f t="shared" si="7"/>
        <v>1193</v>
      </c>
      <c r="AK21" s="48">
        <f t="shared" si="9"/>
        <v>208.78543927196358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43300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6</v>
      </c>
      <c r="G22" s="118">
        <v>77</v>
      </c>
      <c r="H22" s="150">
        <f t="shared" si="0"/>
        <v>54.225352112676056</v>
      </c>
      <c r="I22" s="150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102017493</v>
      </c>
      <c r="T22" s="45">
        <f t="shared" si="4"/>
        <v>5561</v>
      </c>
      <c r="U22" s="46">
        <f t="shared" si="5"/>
        <v>133.464</v>
      </c>
      <c r="V22" s="46">
        <f t="shared" si="6"/>
        <v>5.5609999999999999</v>
      </c>
      <c r="W22" s="96">
        <v>7.2</v>
      </c>
      <c r="X22" s="96">
        <f t="shared" si="1"/>
        <v>7.2</v>
      </c>
      <c r="Y22" s="97" t="s">
        <v>168</v>
      </c>
      <c r="Z22" s="154">
        <v>1047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17526152</v>
      </c>
      <c r="AJ22" s="45">
        <f t="shared" si="7"/>
        <v>1215</v>
      </c>
      <c r="AK22" s="48">
        <f t="shared" si="9"/>
        <v>218.48588383384285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1.03</v>
      </c>
      <c r="AV22" s="50" t="s">
        <v>126</v>
      </c>
      <c r="BB22" s="136" t="s">
        <v>156</v>
      </c>
    </row>
    <row r="23" spans="1:54" x14ac:dyDescent="0.35">
      <c r="A23" s="331">
        <v>43300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102022501</v>
      </c>
      <c r="T23" s="45">
        <f t="shared" si="4"/>
        <v>5008</v>
      </c>
      <c r="U23" s="46">
        <f t="shared" si="5"/>
        <v>120.19199999999999</v>
      </c>
      <c r="V23" s="46">
        <f t="shared" si="6"/>
        <v>5.008</v>
      </c>
      <c r="W23" s="96">
        <v>6.5</v>
      </c>
      <c r="X23" s="96">
        <f>W23</f>
        <v>6.5</v>
      </c>
      <c r="Y23" s="97" t="s">
        <v>168</v>
      </c>
      <c r="Z23" s="154">
        <v>1025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17527321</v>
      </c>
      <c r="AJ23" s="45">
        <f t="shared" si="7"/>
        <v>1169</v>
      </c>
      <c r="AK23" s="48">
        <f t="shared" si="9"/>
        <v>233.42651757188497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43300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5</v>
      </c>
      <c r="G24" s="118">
        <v>76</v>
      </c>
      <c r="H24" s="150">
        <f t="shared" si="0"/>
        <v>53.521126760563384</v>
      </c>
      <c r="I24" s="150">
        <v>75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102027788</v>
      </c>
      <c r="T24" s="45">
        <f t="shared" si="4"/>
        <v>5287</v>
      </c>
      <c r="U24" s="46">
        <f>T24*24/1000</f>
        <v>126.88800000000001</v>
      </c>
      <c r="V24" s="46">
        <f t="shared" si="6"/>
        <v>5.2869999999999999</v>
      </c>
      <c r="W24" s="96">
        <v>6</v>
      </c>
      <c r="X24" s="96">
        <f t="shared" si="1"/>
        <v>6</v>
      </c>
      <c r="Y24" s="97" t="s">
        <v>168</v>
      </c>
      <c r="Z24" s="154">
        <v>1016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17528494</v>
      </c>
      <c r="AJ24" s="45">
        <f t="shared" si="7"/>
        <v>1173</v>
      </c>
      <c r="AK24" s="48">
        <f t="shared" si="9"/>
        <v>221.86495176848874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43300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4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102032888</v>
      </c>
      <c r="T25" s="45">
        <f t="shared" si="4"/>
        <v>5100</v>
      </c>
      <c r="U25" s="46">
        <f>T25*24/1000</f>
        <v>122.4</v>
      </c>
      <c r="V25" s="46">
        <f t="shared" si="6"/>
        <v>5.0999999999999996</v>
      </c>
      <c r="W25" s="96">
        <v>5.6</v>
      </c>
      <c r="X25" s="96">
        <f t="shared" si="1"/>
        <v>5.6</v>
      </c>
      <c r="Y25" s="97" t="s">
        <v>168</v>
      </c>
      <c r="Z25" s="154">
        <v>1016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17529658</v>
      </c>
      <c r="AJ25" s="45">
        <f t="shared" si="7"/>
        <v>1164</v>
      </c>
      <c r="AK25" s="48">
        <f t="shared" si="9"/>
        <v>228.23529411764707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43300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4</v>
      </c>
      <c r="G26" s="118">
        <v>77</v>
      </c>
      <c r="H26" s="150">
        <f t="shared" si="0"/>
        <v>54.225352112676056</v>
      </c>
      <c r="I26" s="150">
        <v>76</v>
      </c>
      <c r="J26" s="41" t="s">
        <v>88</v>
      </c>
      <c r="K26" s="41">
        <f t="shared" si="3"/>
        <v>52.816901408450704</v>
      </c>
      <c r="L26" s="42">
        <f t="shared" si="10"/>
        <v>54.225352112676056</v>
      </c>
      <c r="M26" s="41">
        <f t="shared" ref="M26:M36" si="12">L26+(6/1.42)</f>
        <v>58.450704225352112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102038152</v>
      </c>
      <c r="T26" s="45">
        <f t="shared" si="4"/>
        <v>5264</v>
      </c>
      <c r="U26" s="46">
        <f t="shared" si="5"/>
        <v>126.336</v>
      </c>
      <c r="V26" s="46">
        <f t="shared" si="6"/>
        <v>5.2640000000000002</v>
      </c>
      <c r="W26" s="96">
        <v>5.0999999999999996</v>
      </c>
      <c r="X26" s="96">
        <f t="shared" si="1"/>
        <v>5.0999999999999996</v>
      </c>
      <c r="Y26" s="97" t="s">
        <v>168</v>
      </c>
      <c r="Z26" s="154">
        <v>1015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17530815</v>
      </c>
      <c r="AJ26" s="45">
        <f t="shared" si="7"/>
        <v>1157</v>
      </c>
      <c r="AK26" s="48">
        <f t="shared" si="9"/>
        <v>219.79483282674772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0.96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43300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3</v>
      </c>
      <c r="G27" s="118">
        <v>77</v>
      </c>
      <c r="H27" s="150">
        <f t="shared" si="0"/>
        <v>54.225352112676056</v>
      </c>
      <c r="I27" s="150">
        <v>76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102043551</v>
      </c>
      <c r="T27" s="45">
        <f t="shared" si="4"/>
        <v>5399</v>
      </c>
      <c r="U27" s="46">
        <f t="shared" si="5"/>
        <v>129.57599999999999</v>
      </c>
      <c r="V27" s="46">
        <f t="shared" si="6"/>
        <v>5.399</v>
      </c>
      <c r="W27" s="96">
        <v>4.8</v>
      </c>
      <c r="X27" s="96">
        <f t="shared" si="1"/>
        <v>4.8</v>
      </c>
      <c r="Y27" s="97" t="s">
        <v>168</v>
      </c>
      <c r="Z27" s="154">
        <v>1015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17531921</v>
      </c>
      <c r="AJ27" s="45">
        <f t="shared" si="7"/>
        <v>1106</v>
      </c>
      <c r="AK27" s="48">
        <f t="shared" si="9"/>
        <v>204.85275050935357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43300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3</v>
      </c>
      <c r="G28" s="118">
        <v>77</v>
      </c>
      <c r="H28" s="150">
        <f t="shared" si="0"/>
        <v>54.225352112676056</v>
      </c>
      <c r="I28" s="150">
        <v>75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102049871</v>
      </c>
      <c r="T28" s="45">
        <f t="shared" si="4"/>
        <v>6320</v>
      </c>
      <c r="U28" s="46">
        <f t="shared" si="5"/>
        <v>151.68</v>
      </c>
      <c r="V28" s="46">
        <f t="shared" si="6"/>
        <v>6.32</v>
      </c>
      <c r="W28" s="96">
        <v>4.5</v>
      </c>
      <c r="X28" s="96">
        <f t="shared" si="1"/>
        <v>4.5</v>
      </c>
      <c r="Y28" s="97" t="s">
        <v>168</v>
      </c>
      <c r="Z28" s="154">
        <v>1015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17533138</v>
      </c>
      <c r="AJ28" s="45">
        <f>IF(ISBLANK(AI28),"-",AI28-AI27)</f>
        <v>1217</v>
      </c>
      <c r="AK28" s="48">
        <f t="shared" si="9"/>
        <v>192.5632911392405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43300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2</v>
      </c>
      <c r="G29" s="118">
        <v>76</v>
      </c>
      <c r="H29" s="150">
        <f t="shared" si="0"/>
        <v>53.521126760563384</v>
      </c>
      <c r="I29" s="150">
        <v>75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102055356</v>
      </c>
      <c r="T29" s="45">
        <f t="shared" si="4"/>
        <v>5485</v>
      </c>
      <c r="U29" s="46">
        <f t="shared" si="5"/>
        <v>131.63999999999999</v>
      </c>
      <c r="V29" s="46">
        <f t="shared" si="6"/>
        <v>5.4850000000000003</v>
      </c>
      <c r="W29" s="96">
        <v>4</v>
      </c>
      <c r="X29" s="96">
        <f t="shared" si="1"/>
        <v>4</v>
      </c>
      <c r="Y29" s="97" t="s">
        <v>168</v>
      </c>
      <c r="Z29" s="154">
        <v>1015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17534290</v>
      </c>
      <c r="AJ29" s="45">
        <f t="shared" si="7"/>
        <v>1152</v>
      </c>
      <c r="AK29" s="48">
        <f>AJ28/V29</f>
        <v>221.8778486782133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43300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2</v>
      </c>
      <c r="G30" s="118">
        <v>76</v>
      </c>
      <c r="H30" s="150">
        <f t="shared" si="0"/>
        <v>53.521126760563384</v>
      </c>
      <c r="I30" s="150">
        <v>74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102061349</v>
      </c>
      <c r="T30" s="45">
        <f t="shared" si="4"/>
        <v>5993</v>
      </c>
      <c r="U30" s="46">
        <f t="shared" si="5"/>
        <v>143.83199999999999</v>
      </c>
      <c r="V30" s="46">
        <f t="shared" si="6"/>
        <v>5.9930000000000003</v>
      </c>
      <c r="W30" s="96">
        <v>3.6</v>
      </c>
      <c r="X30" s="96">
        <f t="shared" si="1"/>
        <v>3.6</v>
      </c>
      <c r="Y30" s="97" t="s">
        <v>168</v>
      </c>
      <c r="Z30" s="154">
        <v>1015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17535447</v>
      </c>
      <c r="AJ30" s="45">
        <f t="shared" si="7"/>
        <v>1157</v>
      </c>
      <c r="AK30" s="48">
        <f>AJ29/V30</f>
        <v>192.22426163857833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43300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1</v>
      </c>
      <c r="G31" s="118">
        <v>76</v>
      </c>
      <c r="H31" s="150">
        <f t="shared" si="0"/>
        <v>53.521126760563384</v>
      </c>
      <c r="I31" s="150">
        <v>73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102066889</v>
      </c>
      <c r="T31" s="45">
        <f t="shared" si="4"/>
        <v>5540</v>
      </c>
      <c r="U31" s="46">
        <f t="shared" si="5"/>
        <v>132.96</v>
      </c>
      <c r="V31" s="46">
        <f t="shared" si="6"/>
        <v>5.54</v>
      </c>
      <c r="W31" s="96">
        <v>3.3</v>
      </c>
      <c r="X31" s="96">
        <f t="shared" si="1"/>
        <v>3.3</v>
      </c>
      <c r="Y31" s="97" t="s">
        <v>168</v>
      </c>
      <c r="Z31" s="154">
        <v>1015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17536577</v>
      </c>
      <c r="AJ31" s="45">
        <f t="shared" si="7"/>
        <v>1130</v>
      </c>
      <c r="AK31" s="48">
        <f t="shared" si="9"/>
        <v>203.97111913357401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43300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1</v>
      </c>
      <c r="G32" s="118">
        <v>76</v>
      </c>
      <c r="H32" s="150">
        <f t="shared" si="0"/>
        <v>53.521126760563384</v>
      </c>
      <c r="I32" s="150">
        <v>73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102072908</v>
      </c>
      <c r="T32" s="45">
        <f t="shared" si="4"/>
        <v>6019</v>
      </c>
      <c r="U32" s="46">
        <f t="shared" si="5"/>
        <v>144.45599999999999</v>
      </c>
      <c r="V32" s="46">
        <f t="shared" si="6"/>
        <v>6.0190000000000001</v>
      </c>
      <c r="W32" s="96">
        <v>3.1</v>
      </c>
      <c r="X32" s="96">
        <f t="shared" si="1"/>
        <v>3.1</v>
      </c>
      <c r="Y32" s="97" t="s">
        <v>168</v>
      </c>
      <c r="Z32" s="154">
        <v>1015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17537726</v>
      </c>
      <c r="AJ32" s="45">
        <f t="shared" si="7"/>
        <v>1149</v>
      </c>
      <c r="AK32" s="48">
        <f t="shared" si="9"/>
        <v>190.89549759096195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43300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0</v>
      </c>
      <c r="G33" s="118">
        <v>76</v>
      </c>
      <c r="H33" s="150">
        <f t="shared" si="0"/>
        <v>53.521126760563384</v>
      </c>
      <c r="I33" s="150">
        <v>72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102078634</v>
      </c>
      <c r="T33" s="45">
        <f t="shared" si="4"/>
        <v>5726</v>
      </c>
      <c r="U33" s="46">
        <f t="shared" si="5"/>
        <v>137.42400000000001</v>
      </c>
      <c r="V33" s="46">
        <f t="shared" si="6"/>
        <v>5.726</v>
      </c>
      <c r="W33" s="96">
        <v>2.8</v>
      </c>
      <c r="X33" s="96">
        <f t="shared" si="1"/>
        <v>2.8</v>
      </c>
      <c r="Y33" s="97" t="s">
        <v>168</v>
      </c>
      <c r="Z33" s="154">
        <v>1015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17538876</v>
      </c>
      <c r="AJ33" s="45">
        <f t="shared" si="7"/>
        <v>1150</v>
      </c>
      <c r="AK33" s="48">
        <f t="shared" si="9"/>
        <v>200.83828152287811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43300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1</v>
      </c>
      <c r="G34" s="118">
        <v>77</v>
      </c>
      <c r="H34" s="150">
        <f t="shared" si="0"/>
        <v>54.225352112676056</v>
      </c>
      <c r="I34" s="150">
        <v>74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102084320</v>
      </c>
      <c r="T34" s="45">
        <f t="shared" si="4"/>
        <v>5686</v>
      </c>
      <c r="U34" s="46">
        <f t="shared" si="5"/>
        <v>136.464</v>
      </c>
      <c r="V34" s="46">
        <f t="shared" si="6"/>
        <v>5.6859999999999999</v>
      </c>
      <c r="W34" s="96">
        <v>2.6</v>
      </c>
      <c r="X34" s="96">
        <f t="shared" si="1"/>
        <v>2.6</v>
      </c>
      <c r="Y34" s="97" t="s">
        <v>168</v>
      </c>
      <c r="Z34" s="154">
        <v>1014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17539986</v>
      </c>
      <c r="AJ34" s="45">
        <f t="shared" si="7"/>
        <v>1110</v>
      </c>
      <c r="AK34" s="48">
        <f t="shared" si="9"/>
        <v>195.21632078790012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43300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2</v>
      </c>
      <c r="G35" s="118">
        <v>71</v>
      </c>
      <c r="H35" s="150">
        <f t="shared" si="0"/>
        <v>50</v>
      </c>
      <c r="I35" s="150">
        <v>74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102089754</v>
      </c>
      <c r="T35" s="45">
        <f t="shared" si="4"/>
        <v>5434</v>
      </c>
      <c r="U35" s="46">
        <f t="shared" si="5"/>
        <v>130.416</v>
      </c>
      <c r="V35" s="46">
        <f t="shared" si="6"/>
        <v>5.4340000000000002</v>
      </c>
      <c r="W35" s="96">
        <v>3.4</v>
      </c>
      <c r="X35" s="96">
        <f t="shared" si="1"/>
        <v>3.4</v>
      </c>
      <c r="Y35" s="97" t="s">
        <v>139</v>
      </c>
      <c r="Z35" s="154">
        <v>0</v>
      </c>
      <c r="AA35" s="154">
        <v>0</v>
      </c>
      <c r="AB35" s="154">
        <v>1188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17541072</v>
      </c>
      <c r="AJ35" s="45">
        <f t="shared" si="7"/>
        <v>1086</v>
      </c>
      <c r="AK35" s="48">
        <f t="shared" si="9"/>
        <v>199.85277880014721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43300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73</v>
      </c>
      <c r="H36" s="150">
        <f t="shared" si="0"/>
        <v>51.408450704225352</v>
      </c>
      <c r="I36" s="150">
        <v>76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102094926</v>
      </c>
      <c r="T36" s="45">
        <f t="shared" si="4"/>
        <v>5172</v>
      </c>
      <c r="U36" s="46">
        <f t="shared" si="5"/>
        <v>124.128</v>
      </c>
      <c r="V36" s="46">
        <f t="shared" si="6"/>
        <v>5.1719999999999997</v>
      </c>
      <c r="W36" s="96">
        <v>4.4000000000000004</v>
      </c>
      <c r="X36" s="96">
        <f t="shared" si="1"/>
        <v>4.4000000000000004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17542168</v>
      </c>
      <c r="AJ36" s="45">
        <f t="shared" si="7"/>
        <v>1096</v>
      </c>
      <c r="AK36" s="48">
        <f t="shared" si="9"/>
        <v>211.91028615622585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128260</v>
      </c>
      <c r="U37" s="46">
        <f t="shared" si="5"/>
        <v>3078.24</v>
      </c>
      <c r="V37" s="46">
        <f t="shared" si="6"/>
        <v>128.26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27224</v>
      </c>
      <c r="AK37" s="61">
        <f>$AJ$37/$V37</f>
        <v>212.25635428036801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1.0133333333333334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67" t="s">
        <v>225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32" t="s">
        <v>163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184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209" t="s">
        <v>166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246</v>
      </c>
      <c r="C52" s="120"/>
      <c r="D52" s="115"/>
      <c r="E52" s="115"/>
      <c r="F52" s="115"/>
      <c r="G52" s="115"/>
      <c r="H52" s="156"/>
      <c r="I52" s="115"/>
      <c r="J52" s="115"/>
      <c r="K52" s="130"/>
      <c r="L52" s="130"/>
      <c r="M52" s="130"/>
      <c r="N52" s="131"/>
      <c r="O52" s="131"/>
      <c r="P52" s="131"/>
      <c r="Q52" s="114"/>
      <c r="R52" s="114"/>
      <c r="S52" s="114"/>
      <c r="T52" s="114"/>
      <c r="U52" s="104"/>
      <c r="V52" s="104"/>
      <c r="W52" s="104"/>
      <c r="X52" s="72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66"/>
      <c r="F53" s="166"/>
      <c r="G53" s="115"/>
      <c r="H53" s="115"/>
      <c r="I53" s="115"/>
      <c r="J53" s="115"/>
      <c r="K53" s="115"/>
      <c r="L53" s="115"/>
      <c r="M53" s="115"/>
      <c r="N53" s="159"/>
      <c r="O53" s="159"/>
      <c r="P53" s="159"/>
      <c r="Q53" s="159"/>
      <c r="R53" s="93"/>
      <c r="S53" s="93"/>
      <c r="T53" s="93"/>
      <c r="U53" s="114"/>
      <c r="V53" s="114"/>
      <c r="W53" s="114"/>
      <c r="X53" s="72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49"/>
      <c r="D54" s="166"/>
      <c r="E54" s="166"/>
      <c r="F54" s="166"/>
      <c r="G54" s="166"/>
      <c r="H54" s="166"/>
      <c r="I54" s="166"/>
      <c r="J54" s="165"/>
      <c r="K54" s="162"/>
      <c r="L54" s="143"/>
      <c r="M54" s="143"/>
      <c r="N54" s="131"/>
      <c r="O54" s="131"/>
      <c r="P54" s="131"/>
      <c r="Q54" s="114"/>
      <c r="R54" s="114"/>
      <c r="S54" s="114"/>
      <c r="T54" s="114"/>
      <c r="U54" s="104"/>
      <c r="V54" s="104"/>
      <c r="W54" s="104"/>
      <c r="X54" s="72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15"/>
      <c r="D55" s="166"/>
      <c r="E55" s="149"/>
      <c r="F55" s="149"/>
      <c r="G55" s="149"/>
      <c r="H55" s="149"/>
      <c r="I55" s="149"/>
      <c r="J55" s="165"/>
      <c r="K55" s="108"/>
      <c r="L55" s="108"/>
      <c r="M55" s="108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72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15"/>
      <c r="D56" s="166"/>
      <c r="E56" s="149"/>
      <c r="F56" s="149"/>
      <c r="G56" s="149"/>
      <c r="H56" s="149"/>
      <c r="I56" s="149"/>
      <c r="J56" s="149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245</v>
      </c>
      <c r="C57" s="166"/>
      <c r="D57" s="166"/>
      <c r="E57" s="149"/>
      <c r="F57" s="149"/>
      <c r="G57" s="149"/>
      <c r="H57" s="149"/>
      <c r="I57" s="149"/>
      <c r="J57" s="149"/>
      <c r="K57" s="162"/>
      <c r="L57" s="143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66"/>
      <c r="D58" s="166"/>
      <c r="E58" s="115"/>
      <c r="F58" s="115"/>
      <c r="G58" s="115"/>
      <c r="H58" s="115"/>
      <c r="I58" s="149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177</v>
      </c>
      <c r="C59" s="166"/>
      <c r="D59" s="166"/>
      <c r="E59" s="149"/>
      <c r="F59" s="149"/>
      <c r="G59" s="149"/>
      <c r="H59" s="149"/>
      <c r="I59" s="149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15"/>
      <c r="C60" s="166"/>
      <c r="D60" s="170"/>
      <c r="E60" s="170"/>
      <c r="F60" s="114"/>
      <c r="G60" s="114"/>
      <c r="H60" s="104"/>
      <c r="I60" s="104"/>
      <c r="J60" s="104"/>
      <c r="K60" s="104"/>
      <c r="L60" s="105"/>
      <c r="M60" s="105"/>
      <c r="N60" s="105"/>
      <c r="O60" s="105"/>
      <c r="P60" s="105"/>
      <c r="Q60" s="105"/>
      <c r="R60" s="105"/>
      <c r="S60" s="105"/>
      <c r="T60" s="105"/>
      <c r="U60" s="105"/>
      <c r="V60" s="147"/>
      <c r="W60" s="147"/>
      <c r="X60" s="148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209"/>
      <c r="C61" s="149"/>
      <c r="D61" s="107"/>
      <c r="E61" s="107"/>
      <c r="F61" s="114"/>
      <c r="G61" s="114"/>
      <c r="H61" s="104"/>
      <c r="I61" s="104"/>
      <c r="J61" s="104"/>
      <c r="K61" s="104"/>
      <c r="L61" s="105"/>
      <c r="M61" s="105"/>
      <c r="N61" s="105"/>
      <c r="O61" s="105"/>
      <c r="P61" s="105"/>
      <c r="Q61" s="105"/>
      <c r="R61" s="105"/>
      <c r="S61" s="105"/>
      <c r="T61" s="105"/>
      <c r="U61" s="105"/>
      <c r="V61" s="147"/>
      <c r="W61" s="147"/>
      <c r="X61" s="148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58"/>
      <c r="C62" s="115"/>
      <c r="D62" s="100"/>
      <c r="E62" s="100"/>
      <c r="F62" s="115"/>
      <c r="G62" s="115"/>
      <c r="H62" s="9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Y63" s="89"/>
      <c r="Z63" s="89"/>
      <c r="AA63" s="89"/>
      <c r="AB63" s="73"/>
      <c r="AC63" s="89"/>
      <c r="AD63" s="89"/>
      <c r="AE63" s="89"/>
      <c r="AF63" s="89"/>
      <c r="AG63" s="89"/>
      <c r="AO63" s="90"/>
      <c r="AP63" s="90"/>
      <c r="AQ63" s="90"/>
      <c r="AR63" s="90"/>
      <c r="AS63" s="90"/>
      <c r="AT63" s="90"/>
      <c r="AU63" s="90"/>
      <c r="AV63" s="91"/>
      <c r="AY63" s="88"/>
      <c r="AZ63" s="86"/>
      <c r="BA63" s="86"/>
      <c r="BB63" s="86"/>
    </row>
    <row r="64" spans="1:54" x14ac:dyDescent="0.35">
      <c r="B64" s="149"/>
      <c r="C64" s="115"/>
      <c r="D64" s="100"/>
      <c r="E64" s="100"/>
      <c r="F64" s="115"/>
      <c r="G64" s="115"/>
      <c r="H64" s="9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Y64" s="89"/>
      <c r="Z64" s="89"/>
      <c r="AA64" s="89"/>
      <c r="AB64" s="73"/>
      <c r="AC64" s="89"/>
      <c r="AD64" s="89"/>
      <c r="AE64" s="89"/>
      <c r="AF64" s="89"/>
      <c r="AG64" s="89"/>
      <c r="AO64" s="90"/>
      <c r="AP64" s="90"/>
      <c r="AQ64" s="90"/>
      <c r="AR64" s="90"/>
      <c r="AS64" s="90"/>
      <c r="AT64" s="90"/>
      <c r="AU64" s="90"/>
      <c r="AV64" s="91"/>
      <c r="AY64" s="88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B66" s="158"/>
      <c r="C66" s="115"/>
      <c r="D66" s="162"/>
      <c r="E66" s="162"/>
      <c r="F66" s="162"/>
      <c r="G66" s="162"/>
      <c r="H66" s="162"/>
      <c r="I66" s="161"/>
      <c r="J66" s="161"/>
      <c r="K66" s="161"/>
      <c r="L66" s="161"/>
      <c r="M66" s="161"/>
      <c r="N66" s="161"/>
      <c r="O66" s="161"/>
      <c r="P66" s="161"/>
      <c r="Q66" s="161"/>
      <c r="R66" s="161"/>
      <c r="S66" s="161"/>
      <c r="T66" s="161"/>
      <c r="U66" s="161"/>
      <c r="V66" s="161"/>
      <c r="W66" s="161"/>
      <c r="X66" s="161"/>
      <c r="AV66" s="86"/>
      <c r="AW66" s="86"/>
      <c r="AX66" s="86"/>
      <c r="AY66" s="86"/>
      <c r="AZ66" s="86"/>
      <c r="BA66" s="86"/>
      <c r="BB66" s="86"/>
    </row>
    <row r="67" spans="2:54" x14ac:dyDescent="0.35">
      <c r="B67" s="132"/>
      <c r="C67" s="115"/>
      <c r="D67" s="162"/>
      <c r="E67" s="162"/>
      <c r="F67" s="162"/>
      <c r="G67" s="162"/>
      <c r="H67" s="162"/>
      <c r="I67" s="161"/>
      <c r="J67" s="161"/>
      <c r="K67" s="161"/>
      <c r="L67" s="161"/>
      <c r="M67" s="161"/>
      <c r="N67" s="161"/>
      <c r="O67" s="161"/>
      <c r="P67" s="161"/>
      <c r="Q67" s="161"/>
      <c r="R67" s="161"/>
      <c r="S67" s="161"/>
      <c r="T67" s="161"/>
      <c r="U67" s="161"/>
      <c r="V67" s="161"/>
      <c r="W67" s="161"/>
      <c r="X67" s="161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12"/>
      <c r="R70" s="87"/>
      <c r="S70" s="87"/>
      <c r="T70" s="87"/>
      <c r="U70" s="87"/>
      <c r="V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87"/>
      <c r="S72" s="87"/>
      <c r="T72" s="87"/>
      <c r="U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S73" s="87"/>
      <c r="T73" s="87"/>
      <c r="U73" s="87"/>
      <c r="V73" s="87"/>
      <c r="AV73" s="86"/>
      <c r="AW73" s="86"/>
      <c r="AX73" s="86"/>
      <c r="AY73" s="86"/>
      <c r="AZ73" s="86"/>
      <c r="BA73" s="86"/>
      <c r="BB73" s="86"/>
    </row>
    <row r="74" spans="2:54" x14ac:dyDescent="0.35">
      <c r="Q74" s="12"/>
      <c r="R74" s="87"/>
      <c r="S74" s="87"/>
      <c r="T74" s="87"/>
      <c r="U74" s="87"/>
      <c r="V74" s="87"/>
      <c r="W74" s="87"/>
      <c r="AV74" s="86"/>
      <c r="AW74" s="86"/>
      <c r="AX74" s="86"/>
      <c r="AY74" s="86"/>
      <c r="AZ74" s="86"/>
      <c r="BA74" s="86"/>
      <c r="BB74" s="86"/>
    </row>
    <row r="75" spans="2:54" x14ac:dyDescent="0.35">
      <c r="Q75" s="12"/>
      <c r="R75" s="87"/>
      <c r="V75" s="87"/>
      <c r="W75" s="87"/>
      <c r="AV75" s="86"/>
      <c r="AW75" s="86"/>
      <c r="AX75" s="86"/>
      <c r="AY75" s="86"/>
      <c r="AZ75" s="86"/>
      <c r="BA75" s="86"/>
      <c r="BB75" s="86"/>
    </row>
    <row r="76" spans="2:54" x14ac:dyDescent="0.35">
      <c r="BB76" s="86"/>
    </row>
    <row r="87" spans="48:54" x14ac:dyDescent="0.35">
      <c r="AV87" s="86"/>
      <c r="AW87" s="86"/>
      <c r="AX87" s="86"/>
      <c r="AY87" s="86"/>
      <c r="AZ87" s="86"/>
      <c r="BA87" s="86"/>
    </row>
    <row r="88" spans="48:54" x14ac:dyDescent="0.35">
      <c r="BB88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4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2:H67" name="Range2_2_12_1_3_1_2_1_1_1_1_2_1_1_1_1_1_1_1_1_1_1_1"/>
    <protectedRange sqref="F62:F67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60:H61" name="Range2_12_5_1_1_1_2_2_1_1_1_1_1_1_1_1_1_1_1_2_1_1_1_2_1_1_1_1_1_1_1_1_1_1_1_1_1_1_1_1_2_1_1_1_1_1_1_1_1_1_2_1_1_3_1_1_1_3_1_1_1_1_1_1_1_1_1_1_1_1_1_1_1_1_1_1_1_1_1_1_2_1_1_1_1_1_1_1_1_1_1_1_2_2_1_2_1_1_1_1_1_1_1_1_1_1_1_1_1"/>
    <protectedRange sqref="U56:V67" name="Range2_12_5_1_1_2_1_1_1_2_1_1_1_1_1_1_1_1_1_1_1_1_1"/>
    <protectedRange sqref="P56:T67" name="Range2_12_1_6_1_1_2_1_1_1_2_1_1_1_1_1_1_1_1_1_1_1_1_1"/>
    <protectedRange sqref="N56:O67" name="Range2_2_12_1_7_1_1_3_1_1_1_2_1_1_1_1_1_1_1_1_1_1_1_1_1"/>
    <protectedRange sqref="L56:M56 M57 L58:M67" name="Range2_2_12_1_4_1_1_1_1_1_1_1_1_1_1_1_1_1_1_1_2_1_1_1_2_1_1_1_1_1_1_1_1_1_1_1_1_1"/>
    <protectedRange sqref="K56 K58:K67" name="Range2_2_12_1_7_1_1_2_2_1_2_2_1_1_1_2_1_1_1_1_1_1_1_1_1_1_1_1_1"/>
    <protectedRange sqref="J58:J59 I60:J67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Q54:T54 S52:T52" name="Range2_12_5_1_1_1_2_2_1_1_1_1_1_1_1_1_1_1_1_2_1_1_1_2_1_1_1_1_1_1_1_1_1_1_1_1_1_1_1_1_2_1_1_1_1_1_1_1_1_1_2_1_1_3_1_1_1_3_1_1_1_1_1_1_1_1_1_1_1_1_1_1_1_1_1_1_1_1_1_1_2_1_1_1_1_1_1_1_1_1_1_1_2_2_1_2_1_1_1_1_1_1_1_1_1_1_1_1_2"/>
    <protectedRange sqref="Q53:T53" name="Range2_12_1_3_1_1_1_1_2_2_1"/>
    <protectedRange sqref="P53" name="Range2_12_1_3_1_1_1_1_2_1_1_1"/>
    <protectedRange sqref="N53:O53" name="Range2_2_12_1_6_1_1_1_1_2_1_1_1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Q52:R52" name="Range2_12_5_1_1_1_2_2_1_1_1_1_1_1_1_1_1_1_1_2_1_1_1_2_1_1_1_1_1_1_1_1_1_1_1_1_1_1_1_1_2_1_1_1_1_1_1_1_1_1_2_1_1_3_1_1_1_3_1_1_1_1_1_1_1_1_1_1_1_1_1_1_1_1_1_1_1_1_1_1_2_1_1_1_1_1_1_1_1_1_1_1_2_2_1_2_1_1_1_1_1_1_1_1_1_1_1_1_2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3:W3" name="Range1_16_1_1_1_1_1_1_2_2_2_2_2_2_2_2_2_2_2_2_2_2_2_2_2_2_2_2_2_2_2_1_2_2_2_2_2_2_2_2_2_2_3_2_2_2_2_2_2_2_2_2_2_1_1_1_1_2_2_1_1_1_1_1_1_1_1_1_1_1_1_1_1_3_1_2_1_1_1_1_1_1_2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R4:W4" name="Range1_16_1_1_1_1_1_1_2_2_2_2_2_2_2_2_2_2_2_2_2_2_2_2_2_2_2_2_2_2_2_1_2_2_2_2_2_2_2_2_2_2_3_2_2_2_2_2_2_2_2_2_2_1_1_1_1_2_2_1_1_1_1_1_1_1_1_1_1_1_1_1_1_3_1_2_1_1_1_1_1_1_2_1_1_1_1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20" priority="5" operator="containsText" text="N/A">
      <formula>NOT(ISERROR(SEARCH("N/A",Z13)))</formula>
    </cfRule>
    <cfRule type="cellIs" dxfId="219" priority="17" operator="equal">
      <formula>0</formula>
    </cfRule>
  </conditionalFormatting>
  <conditionalFormatting sqref="Z13:AG36">
    <cfRule type="cellIs" dxfId="218" priority="16" operator="greaterThanOrEqual">
      <formula>1185</formula>
    </cfRule>
  </conditionalFormatting>
  <conditionalFormatting sqref="Z13:AG36">
    <cfRule type="cellIs" dxfId="217" priority="15" operator="between">
      <formula>0.1</formula>
      <formula>1184</formula>
    </cfRule>
  </conditionalFormatting>
  <conditionalFormatting sqref="Z8:Z9 AT13:AT36 AL37:AQ37 AL13:AR36">
    <cfRule type="cellIs" dxfId="216" priority="14" operator="equal">
      <formula>0</formula>
    </cfRule>
  </conditionalFormatting>
  <conditionalFormatting sqref="Z8:Z9 AT13:AT36 AL37:AQ37 AL13:AR36">
    <cfRule type="cellIs" dxfId="215" priority="13" operator="greaterThan">
      <formula>1179</formula>
    </cfRule>
  </conditionalFormatting>
  <conditionalFormatting sqref="Z8:Z9 AT13:AT36 AL37:AQ37 AL13:AR36">
    <cfRule type="cellIs" dxfId="214" priority="12" operator="greaterThan">
      <formula>99</formula>
    </cfRule>
  </conditionalFormatting>
  <conditionalFormatting sqref="Z8:Z9 AT13:AT36 AL37:AQ37 AL13:AR36">
    <cfRule type="cellIs" dxfId="213" priority="11" operator="greaterThan">
      <formula>0.99</formula>
    </cfRule>
  </conditionalFormatting>
  <conditionalFormatting sqref="AD8:AD9">
    <cfRule type="cellIs" dxfId="212" priority="10" operator="equal">
      <formula>0</formula>
    </cfRule>
  </conditionalFormatting>
  <conditionalFormatting sqref="AD8:AD9">
    <cfRule type="cellIs" dxfId="211" priority="9" operator="greaterThan">
      <formula>1179</formula>
    </cfRule>
  </conditionalFormatting>
  <conditionalFormatting sqref="AD8:AD9">
    <cfRule type="cellIs" dxfId="210" priority="8" operator="greaterThan">
      <formula>99</formula>
    </cfRule>
  </conditionalFormatting>
  <conditionalFormatting sqref="AD8:AD9">
    <cfRule type="cellIs" dxfId="209" priority="7" operator="greaterThan">
      <formula>0.99</formula>
    </cfRule>
  </conditionalFormatting>
  <conditionalFormatting sqref="AK13:AK36">
    <cfRule type="cellIs" dxfId="208" priority="6" operator="greaterThan">
      <formula>$AK$8</formula>
    </cfRule>
  </conditionalFormatting>
  <conditionalFormatting sqref="AS13:AS36">
    <cfRule type="containsText" dxfId="207" priority="1" operator="containsText" text="N/A">
      <formula>NOT(ISERROR(SEARCH("N/A",AS13)))</formula>
    </cfRule>
    <cfRule type="cellIs" dxfId="206" priority="4" operator="equal">
      <formula>0</formula>
    </cfRule>
  </conditionalFormatting>
  <conditionalFormatting sqref="AS13:AS36">
    <cfRule type="cellIs" dxfId="205" priority="3" operator="greaterThanOrEqual">
      <formula>1185</formula>
    </cfRule>
  </conditionalFormatting>
  <conditionalFormatting sqref="AS13:AS36">
    <cfRule type="cellIs" dxfId="204" priority="2" operator="between">
      <formula>0.1</formula>
      <formula>1184</formula>
    </cfRule>
  </conditionalFormatting>
  <dataValidations count="4">
    <dataValidation type="list" allowBlank="1" showInputMessage="1" showErrorMessage="1" sqref="AY33:AZ33" xr:uid="{00000000-0002-0000-1200-000000000000}">
      <formula1>$AY$26:$AY$30</formula1>
    </dataValidation>
    <dataValidation type="list" allowBlank="1" showInputMessage="1" showErrorMessage="1" sqref="AS8:AT9 P11:P12 N11:N12 D8:E9 Q8:V9" xr:uid="{00000000-0002-0000-1200-000001000000}">
      <formula1>#REF!</formula1>
    </dataValidation>
    <dataValidation type="list" allowBlank="1" showInputMessage="1" showErrorMessage="1" sqref="J13:J36" xr:uid="{00000000-0002-0000-1200-000002000000}">
      <formula1>$AY$11:$AY$21</formula1>
    </dataValidation>
    <dataValidation type="list" allowBlank="1" showInputMessage="1" showErrorMessage="1" sqref="R3:R5" xr:uid="{00000000-0002-0000-1200-000003000000}">
      <formula1>$BB$11:$BB$42</formula1>
    </dataValidation>
  </dataValidations>
  <hyperlinks>
    <hyperlink ref="J10:J11" location="'1'!AH8" display="Plant Status" xr:uid="{00000000-0004-0000-1200-000000000000}"/>
  </hyperlinks>
  <pageMargins left="0.7" right="0.7" top="0.75" bottom="0.75" header="0.3" footer="0.3"/>
  <pageSetup paperSize="9" orientation="portrait" horizont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30A0"/>
  </sheetPr>
  <dimension ref="A2:BB86"/>
  <sheetViews>
    <sheetView topLeftCell="A40" zoomScaleNormal="100" workbookViewId="0">
      <selection activeCell="B57" sqref="B57:B5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143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69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43301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27131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1"/>
      <c r="K9" s="262"/>
      <c r="L9" s="263"/>
      <c r="M9" s="264"/>
      <c r="N9" s="29"/>
      <c r="O9" s="29"/>
      <c r="P9" s="29"/>
      <c r="Q9" s="121"/>
      <c r="R9" s="121"/>
      <c r="S9" s="121"/>
      <c r="T9" s="122"/>
      <c r="U9" s="123"/>
      <c r="V9" s="124"/>
      <c r="W9" s="262"/>
      <c r="X9" s="264"/>
      <c r="Y9" s="30"/>
      <c r="Z9" s="265"/>
      <c r="AA9" s="125"/>
      <c r="AB9" s="126"/>
      <c r="AC9" s="126"/>
      <c r="AD9" s="125"/>
      <c r="AE9" s="125"/>
      <c r="AF9" s="127"/>
      <c r="AG9" s="26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70" t="s">
        <v>51</v>
      </c>
      <c r="X10" s="270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68" t="s">
        <v>55</v>
      </c>
      <c r="AI10" s="268" t="s">
        <v>56</v>
      </c>
      <c r="AJ10" s="314" t="s">
        <v>57</v>
      </c>
      <c r="AK10" s="329" t="s">
        <v>58</v>
      </c>
      <c r="AL10" s="270" t="s">
        <v>59</v>
      </c>
      <c r="AM10" s="270" t="s">
        <v>60</v>
      </c>
      <c r="AN10" s="270" t="s">
        <v>61</v>
      </c>
      <c r="AO10" s="270" t="s">
        <v>62</v>
      </c>
      <c r="AP10" s="270" t="s">
        <v>63</v>
      </c>
      <c r="AQ10" s="270" t="s">
        <v>124</v>
      </c>
      <c r="AR10" s="270" t="s">
        <v>64</v>
      </c>
      <c r="AS10" s="270" t="s">
        <v>65</v>
      </c>
      <c r="AT10" s="312" t="s">
        <v>66</v>
      </c>
      <c r="AU10" s="270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0" t="s">
        <v>72</v>
      </c>
      <c r="C11" s="270" t="s">
        <v>73</v>
      </c>
      <c r="D11" s="270" t="s">
        <v>74</v>
      </c>
      <c r="E11" s="270" t="s">
        <v>75</v>
      </c>
      <c r="F11" s="270" t="s">
        <v>127</v>
      </c>
      <c r="G11" s="270" t="s">
        <v>74</v>
      </c>
      <c r="H11" s="270" t="s">
        <v>75</v>
      </c>
      <c r="I11" s="270" t="s">
        <v>127</v>
      </c>
      <c r="J11" s="309"/>
      <c r="K11" s="270" t="s">
        <v>75</v>
      </c>
      <c r="L11" s="270" t="s">
        <v>75</v>
      </c>
      <c r="M11" s="270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19'!S36</f>
        <v>102094926</v>
      </c>
      <c r="T11" s="322"/>
      <c r="U11" s="323"/>
      <c r="V11" s="324"/>
      <c r="W11" s="270" t="s">
        <v>75</v>
      </c>
      <c r="X11" s="270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19'!AI36</f>
        <v>17542168</v>
      </c>
      <c r="AJ11" s="314"/>
      <c r="AK11" s="330"/>
      <c r="AL11" s="270" t="s">
        <v>84</v>
      </c>
      <c r="AM11" s="270" t="s">
        <v>84</v>
      </c>
      <c r="AN11" s="270" t="s">
        <v>84</v>
      </c>
      <c r="AO11" s="270" t="s">
        <v>84</v>
      </c>
      <c r="AP11" s="270" t="s">
        <v>84</v>
      </c>
      <c r="AQ11" s="270" t="s">
        <v>84</v>
      </c>
      <c r="AR11" s="270" t="s">
        <v>84</v>
      </c>
      <c r="AS11" s="1"/>
      <c r="AT11" s="313"/>
      <c r="AU11" s="267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43301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3</v>
      </c>
      <c r="G13" s="118">
        <v>74</v>
      </c>
      <c r="H13" s="150">
        <f t="shared" ref="H13:H36" si="0">G13/1.42</f>
        <v>52.112676056338032</v>
      </c>
      <c r="I13" s="150">
        <v>78</v>
      </c>
      <c r="J13" s="41" t="s">
        <v>88</v>
      </c>
      <c r="K13" s="41">
        <f>L13-(2/1.42)</f>
        <v>47.183098591549296</v>
      </c>
      <c r="L13" s="42">
        <f>(G13-5)/1.42</f>
        <v>48.591549295774648</v>
      </c>
      <c r="M13" s="41">
        <f>L13+(6/1.42)</f>
        <v>52.816901408450704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102100062</v>
      </c>
      <c r="T13" s="45">
        <f>IF(ISBLANK(S13),"-",S13-S11)</f>
        <v>5136</v>
      </c>
      <c r="U13" s="46">
        <f>T13*24/1000</f>
        <v>123.264</v>
      </c>
      <c r="V13" s="46">
        <f>T13/1000</f>
        <v>5.1360000000000001</v>
      </c>
      <c r="W13" s="96">
        <v>5.4</v>
      </c>
      <c r="X13" s="96">
        <f t="shared" ref="X13:X36" si="1">W13</f>
        <v>5.4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17543272</v>
      </c>
      <c r="AJ13" s="45">
        <f>IF(ISBLANK(AI13),"-",AI13-AI11)</f>
        <v>1104</v>
      </c>
      <c r="AK13" s="48">
        <f>AJ13/V13</f>
        <v>214.95327102803739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43301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71</v>
      </c>
      <c r="H14" s="150">
        <f t="shared" si="0"/>
        <v>50</v>
      </c>
      <c r="I14" s="150">
        <v>78</v>
      </c>
      <c r="J14" s="41" t="s">
        <v>88</v>
      </c>
      <c r="K14" s="41">
        <f t="shared" ref="K14:K36" si="3">L14-(2/1.42)</f>
        <v>45.070422535211272</v>
      </c>
      <c r="L14" s="42">
        <f>(G14-5)/1.42</f>
        <v>46.478873239436624</v>
      </c>
      <c r="M14" s="41">
        <f>L14+(6/1.42)</f>
        <v>50.70422535211268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102104630</v>
      </c>
      <c r="T14" s="45">
        <f t="shared" ref="T14:T36" si="4">IF(ISBLANK(S14),"-",S14-S13)</f>
        <v>4568</v>
      </c>
      <c r="U14" s="46">
        <f t="shared" ref="U14:U37" si="5">T14*24/1000</f>
        <v>109.63200000000001</v>
      </c>
      <c r="V14" s="46">
        <f t="shared" ref="V14:V37" si="6">T14/1000</f>
        <v>4.5679999999999996</v>
      </c>
      <c r="W14" s="96">
        <v>6.9</v>
      </c>
      <c r="X14" s="96">
        <f t="shared" si="1"/>
        <v>6.9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17544348</v>
      </c>
      <c r="AJ14" s="45">
        <f t="shared" ref="AJ14:AJ36" si="7">IF(ISBLANK(AI14),"-",AI14-AI13)</f>
        <v>1076</v>
      </c>
      <c r="AK14" s="48">
        <f>AJ14/V14</f>
        <v>235.55166374781089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0.96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43301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7</v>
      </c>
      <c r="G15" s="118">
        <v>71</v>
      </c>
      <c r="H15" s="150">
        <f t="shared" si="0"/>
        <v>50</v>
      </c>
      <c r="I15" s="150">
        <v>78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102108964</v>
      </c>
      <c r="T15" s="45">
        <f>IF(ISBLANK(S15),"-",S15-S14)</f>
        <v>4334</v>
      </c>
      <c r="U15" s="46">
        <f t="shared" si="5"/>
        <v>104.01600000000001</v>
      </c>
      <c r="V15" s="46">
        <f t="shared" si="6"/>
        <v>4.3339999999999996</v>
      </c>
      <c r="W15" s="96">
        <v>8.6999999999999993</v>
      </c>
      <c r="X15" s="96">
        <f t="shared" si="1"/>
        <v>8.6999999999999993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17545396</v>
      </c>
      <c r="AJ15" s="45">
        <f t="shared" si="7"/>
        <v>1048</v>
      </c>
      <c r="AK15" s="48">
        <f t="shared" ref="AK15:AK36" si="9">AJ15/V15</f>
        <v>241.80895246885098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43301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102113692</v>
      </c>
      <c r="T16" s="45">
        <f t="shared" si="4"/>
        <v>4728</v>
      </c>
      <c r="U16" s="46">
        <f t="shared" si="5"/>
        <v>113.47199999999999</v>
      </c>
      <c r="V16" s="46">
        <f t="shared" si="6"/>
        <v>4.7279999999999998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17546466</v>
      </c>
      <c r="AJ16" s="45">
        <f t="shared" si="7"/>
        <v>1070</v>
      </c>
      <c r="AK16" s="48">
        <f t="shared" si="9"/>
        <v>226.31133671742811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43301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102118484</v>
      </c>
      <c r="T17" s="45">
        <f t="shared" si="4"/>
        <v>4792</v>
      </c>
      <c r="U17" s="46">
        <f t="shared" si="5"/>
        <v>115.008</v>
      </c>
      <c r="V17" s="46">
        <f t="shared" si="6"/>
        <v>4.7919999999999998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17547548</v>
      </c>
      <c r="AJ17" s="45">
        <f t="shared" si="7"/>
        <v>1082</v>
      </c>
      <c r="AK17" s="48">
        <f t="shared" si="9"/>
        <v>225.79298831385643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43301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83</v>
      </c>
      <c r="H18" s="150">
        <f t="shared" si="0"/>
        <v>58.450704225352112</v>
      </c>
      <c r="I18" s="150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102123226</v>
      </c>
      <c r="T18" s="45">
        <f t="shared" si="4"/>
        <v>4742</v>
      </c>
      <c r="U18" s="46">
        <f t="shared" si="5"/>
        <v>113.80800000000001</v>
      </c>
      <c r="V18" s="46">
        <f t="shared" si="6"/>
        <v>4.742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1157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17548611</v>
      </c>
      <c r="AJ18" s="45">
        <f t="shared" si="7"/>
        <v>1063</v>
      </c>
      <c r="AK18" s="48">
        <f t="shared" si="9"/>
        <v>224.16701813580767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1.0900000000000001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43301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80</v>
      </c>
      <c r="H19" s="150">
        <f t="shared" si="0"/>
        <v>56.338028169014088</v>
      </c>
      <c r="I19" s="150">
        <v>79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102128701</v>
      </c>
      <c r="T19" s="45">
        <f t="shared" si="4"/>
        <v>5475</v>
      </c>
      <c r="U19" s="46">
        <f t="shared" si="5"/>
        <v>131.4</v>
      </c>
      <c r="V19" s="46">
        <f t="shared" si="6"/>
        <v>5.4749999999999996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17549694</v>
      </c>
      <c r="AJ19" s="45">
        <f t="shared" si="7"/>
        <v>1083</v>
      </c>
      <c r="AK19" s="48">
        <f t="shared" si="9"/>
        <v>197.8082191780822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43301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7</v>
      </c>
      <c r="G20" s="118">
        <v>78</v>
      </c>
      <c r="H20" s="150">
        <f t="shared" si="0"/>
        <v>54.929577464788736</v>
      </c>
      <c r="I20" s="150">
        <v>77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102134077</v>
      </c>
      <c r="T20" s="45">
        <f t="shared" si="4"/>
        <v>5376</v>
      </c>
      <c r="U20" s="46">
        <f>T20*24/1000</f>
        <v>129.024</v>
      </c>
      <c r="V20" s="46">
        <f t="shared" si="6"/>
        <v>5.3760000000000003</v>
      </c>
      <c r="W20" s="96">
        <v>9.1</v>
      </c>
      <c r="X20" s="96">
        <f t="shared" si="1"/>
        <v>9.1</v>
      </c>
      <c r="Y20" s="97" t="s">
        <v>168</v>
      </c>
      <c r="Z20" s="154">
        <v>0</v>
      </c>
      <c r="AA20" s="154">
        <v>1016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17550859</v>
      </c>
      <c r="AJ20" s="45">
        <f t="shared" si="7"/>
        <v>1165</v>
      </c>
      <c r="AK20" s="48">
        <f t="shared" si="9"/>
        <v>216.70386904761904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43301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6</v>
      </c>
      <c r="G21" s="118">
        <v>78</v>
      </c>
      <c r="H21" s="150">
        <f t="shared" si="0"/>
        <v>54.929577464788736</v>
      </c>
      <c r="I21" s="150">
        <v>77</v>
      </c>
      <c r="J21" s="41" t="s">
        <v>88</v>
      </c>
      <c r="K21" s="41">
        <f t="shared" si="3"/>
        <v>53.521126760563384</v>
      </c>
      <c r="L21" s="42">
        <f t="shared" si="10"/>
        <v>54.929577464788736</v>
      </c>
      <c r="M21" s="41">
        <f t="shared" si="11"/>
        <v>56.349577464788737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102140047</v>
      </c>
      <c r="T21" s="45">
        <f t="shared" si="4"/>
        <v>5970</v>
      </c>
      <c r="U21" s="46">
        <f t="shared" si="5"/>
        <v>143.28</v>
      </c>
      <c r="V21" s="46">
        <f t="shared" si="6"/>
        <v>5.97</v>
      </c>
      <c r="W21" s="96">
        <v>8.5</v>
      </c>
      <c r="X21" s="96">
        <f t="shared" si="1"/>
        <v>8.5</v>
      </c>
      <c r="Y21" s="97" t="s">
        <v>168</v>
      </c>
      <c r="Z21" s="154">
        <v>0</v>
      </c>
      <c r="AA21" s="154">
        <v>1017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17552039</v>
      </c>
      <c r="AJ21" s="45">
        <f t="shared" si="7"/>
        <v>1180</v>
      </c>
      <c r="AK21" s="48">
        <f t="shared" si="9"/>
        <v>197.65494137353434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43301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5</v>
      </c>
      <c r="G22" s="118">
        <v>77</v>
      </c>
      <c r="H22" s="150">
        <f t="shared" si="0"/>
        <v>54.225352112676056</v>
      </c>
      <c r="I22" s="150">
        <v>76</v>
      </c>
      <c r="J22" s="41" t="s">
        <v>88</v>
      </c>
      <c r="K22" s="41">
        <f t="shared" si="3"/>
        <v>52.816901408450704</v>
      </c>
      <c r="L22" s="42">
        <f t="shared" si="10"/>
        <v>54.225352112676056</v>
      </c>
      <c r="M22" s="41">
        <f t="shared" si="11"/>
        <v>55.645352112676058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102146480</v>
      </c>
      <c r="T22" s="45">
        <f t="shared" si="4"/>
        <v>6433</v>
      </c>
      <c r="U22" s="46">
        <f t="shared" si="5"/>
        <v>154.392</v>
      </c>
      <c r="V22" s="46">
        <f t="shared" si="6"/>
        <v>6.4329999999999998</v>
      </c>
      <c r="W22" s="96">
        <v>8</v>
      </c>
      <c r="X22" s="96">
        <f t="shared" si="1"/>
        <v>8</v>
      </c>
      <c r="Y22" s="97" t="s">
        <v>168</v>
      </c>
      <c r="Z22" s="154">
        <v>0</v>
      </c>
      <c r="AA22" s="154">
        <v>1035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17553212</v>
      </c>
      <c r="AJ22" s="45">
        <f t="shared" si="7"/>
        <v>1173</v>
      </c>
      <c r="AK22" s="48">
        <f t="shared" si="9"/>
        <v>182.34105394061868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1.03</v>
      </c>
      <c r="AV22" s="50" t="s">
        <v>126</v>
      </c>
      <c r="BB22" s="136" t="s">
        <v>156</v>
      </c>
    </row>
    <row r="23" spans="1:54" x14ac:dyDescent="0.35">
      <c r="A23" s="331">
        <v>43301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77</v>
      </c>
      <c r="H23" s="150">
        <f t="shared" si="0"/>
        <v>54.225352112676056</v>
      </c>
      <c r="I23" s="150">
        <v>76</v>
      </c>
      <c r="J23" s="41" t="s">
        <v>88</v>
      </c>
      <c r="K23" s="41">
        <f t="shared" si="3"/>
        <v>52.816901408450704</v>
      </c>
      <c r="L23" s="42">
        <f t="shared" si="10"/>
        <v>54.225352112676056</v>
      </c>
      <c r="M23" s="41">
        <f t="shared" si="11"/>
        <v>55.645352112676058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102152500</v>
      </c>
      <c r="T23" s="45">
        <f t="shared" si="4"/>
        <v>6020</v>
      </c>
      <c r="U23" s="46">
        <f t="shared" si="5"/>
        <v>144.47999999999999</v>
      </c>
      <c r="V23" s="46">
        <f t="shared" si="6"/>
        <v>6.02</v>
      </c>
      <c r="W23" s="96">
        <v>7.2</v>
      </c>
      <c r="X23" s="96">
        <f>W23</f>
        <v>7.2</v>
      </c>
      <c r="Y23" s="97" t="s">
        <v>168</v>
      </c>
      <c r="Z23" s="154">
        <v>0</v>
      </c>
      <c r="AA23" s="154">
        <v>1035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17554418</v>
      </c>
      <c r="AJ23" s="45">
        <f t="shared" si="7"/>
        <v>1206</v>
      </c>
      <c r="AK23" s="48">
        <f t="shared" si="9"/>
        <v>200.33222591362127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43301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76</v>
      </c>
      <c r="H24" s="150">
        <f t="shared" si="0"/>
        <v>53.521126760563384</v>
      </c>
      <c r="I24" s="150">
        <v>75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102157844</v>
      </c>
      <c r="T24" s="45">
        <f t="shared" si="4"/>
        <v>5344</v>
      </c>
      <c r="U24" s="46">
        <f>T24*24/1000</f>
        <v>128.256</v>
      </c>
      <c r="V24" s="46">
        <f t="shared" si="6"/>
        <v>5.3440000000000003</v>
      </c>
      <c r="W24" s="96">
        <v>6.7</v>
      </c>
      <c r="X24" s="96">
        <f t="shared" si="1"/>
        <v>6.7</v>
      </c>
      <c r="Y24" s="97" t="s">
        <v>168</v>
      </c>
      <c r="Z24" s="154">
        <v>0</v>
      </c>
      <c r="AA24" s="154">
        <v>1037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17555592</v>
      </c>
      <c r="AJ24" s="45">
        <f t="shared" si="7"/>
        <v>1174</v>
      </c>
      <c r="AK24" s="48">
        <f t="shared" si="9"/>
        <v>219.68562874251495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43301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4</v>
      </c>
      <c r="G25" s="118">
        <v>75</v>
      </c>
      <c r="H25" s="150">
        <f t="shared" si="0"/>
        <v>52.816901408450704</v>
      </c>
      <c r="I25" s="150">
        <v>74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102163603</v>
      </c>
      <c r="T25" s="45">
        <f t="shared" si="4"/>
        <v>5759</v>
      </c>
      <c r="U25" s="46">
        <f>T25*24/1000</f>
        <v>138.21600000000001</v>
      </c>
      <c r="V25" s="46">
        <f t="shared" si="6"/>
        <v>5.7590000000000003</v>
      </c>
      <c r="W25" s="96">
        <v>6.1</v>
      </c>
      <c r="X25" s="96">
        <f t="shared" si="1"/>
        <v>6.1</v>
      </c>
      <c r="Y25" s="97" t="s">
        <v>168</v>
      </c>
      <c r="Z25" s="154">
        <v>0</v>
      </c>
      <c r="AA25" s="154">
        <v>1016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17556774</v>
      </c>
      <c r="AJ25" s="45">
        <f t="shared" si="7"/>
        <v>1182</v>
      </c>
      <c r="AK25" s="48">
        <f t="shared" si="9"/>
        <v>205.2439659663136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43301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3</v>
      </c>
      <c r="G26" s="118">
        <v>76</v>
      </c>
      <c r="H26" s="150">
        <f t="shared" si="0"/>
        <v>53.521126760563384</v>
      </c>
      <c r="I26" s="150">
        <v>74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102169527</v>
      </c>
      <c r="T26" s="45">
        <f t="shared" si="4"/>
        <v>5924</v>
      </c>
      <c r="U26" s="46">
        <f t="shared" si="5"/>
        <v>142.17599999999999</v>
      </c>
      <c r="V26" s="46">
        <f t="shared" si="6"/>
        <v>5.9240000000000004</v>
      </c>
      <c r="W26" s="96">
        <v>5.5</v>
      </c>
      <c r="X26" s="96">
        <f t="shared" si="1"/>
        <v>5.5</v>
      </c>
      <c r="Y26" s="97" t="s">
        <v>168</v>
      </c>
      <c r="Z26" s="154">
        <v>0</v>
      </c>
      <c r="AA26" s="154">
        <v>1026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17557988</v>
      </c>
      <c r="AJ26" s="45">
        <f t="shared" si="7"/>
        <v>1214</v>
      </c>
      <c r="AK26" s="48">
        <f t="shared" si="9"/>
        <v>204.92910195813639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1.0900000000000001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43301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3</v>
      </c>
      <c r="G27" s="118">
        <v>77</v>
      </c>
      <c r="H27" s="150">
        <f t="shared" si="0"/>
        <v>54.225352112676056</v>
      </c>
      <c r="I27" s="150">
        <v>73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102174998</v>
      </c>
      <c r="T27" s="45">
        <f t="shared" si="4"/>
        <v>5471</v>
      </c>
      <c r="U27" s="46">
        <f t="shared" si="5"/>
        <v>131.304</v>
      </c>
      <c r="V27" s="46">
        <f t="shared" si="6"/>
        <v>5.4710000000000001</v>
      </c>
      <c r="W27" s="96">
        <v>5.0999999999999996</v>
      </c>
      <c r="X27" s="96">
        <f t="shared" si="1"/>
        <v>5.0999999999999996</v>
      </c>
      <c r="Y27" s="97" t="s">
        <v>168</v>
      </c>
      <c r="Z27" s="154">
        <v>0</v>
      </c>
      <c r="AA27" s="154">
        <v>1026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17559190</v>
      </c>
      <c r="AJ27" s="45">
        <f t="shared" si="7"/>
        <v>1202</v>
      </c>
      <c r="AK27" s="48">
        <f t="shared" si="9"/>
        <v>219.70389325534637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43301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2</v>
      </c>
      <c r="G28" s="118">
        <v>77</v>
      </c>
      <c r="H28" s="150">
        <f t="shared" si="0"/>
        <v>54.225352112676056</v>
      </c>
      <c r="I28" s="150">
        <v>73</v>
      </c>
      <c r="J28" s="41" t="s">
        <v>88</v>
      </c>
      <c r="K28" s="41">
        <f t="shared" si="3"/>
        <v>50.70422535211268</v>
      </c>
      <c r="L28" s="42">
        <f>(G28-3)/1.42</f>
        <v>52.112676056338032</v>
      </c>
      <c r="M28" s="41">
        <f t="shared" si="12"/>
        <v>56.338028169014088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102180651</v>
      </c>
      <c r="T28" s="45">
        <f t="shared" si="4"/>
        <v>5653</v>
      </c>
      <c r="U28" s="46">
        <f t="shared" si="5"/>
        <v>135.672</v>
      </c>
      <c r="V28" s="46">
        <f t="shared" si="6"/>
        <v>5.6529999999999996</v>
      </c>
      <c r="W28" s="96">
        <v>4.5999999999999996</v>
      </c>
      <c r="X28" s="96">
        <f t="shared" si="1"/>
        <v>4.5999999999999996</v>
      </c>
      <c r="Y28" s="97" t="s">
        <v>168</v>
      </c>
      <c r="Z28" s="154">
        <v>0</v>
      </c>
      <c r="AA28" s="154">
        <v>1026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17560301</v>
      </c>
      <c r="AJ28" s="45">
        <f>IF(ISBLANK(AI28),"-",AI28-AI27)</f>
        <v>1111</v>
      </c>
      <c r="AK28" s="48">
        <f t="shared" si="9"/>
        <v>196.53281443481339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43301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2</v>
      </c>
      <c r="G29" s="118">
        <v>76</v>
      </c>
      <c r="H29" s="150">
        <f t="shared" si="0"/>
        <v>53.521126760563384</v>
      </c>
      <c r="I29" s="150">
        <v>72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102186457</v>
      </c>
      <c r="T29" s="45">
        <f t="shared" si="4"/>
        <v>5806</v>
      </c>
      <c r="U29" s="46">
        <f t="shared" si="5"/>
        <v>139.34399999999999</v>
      </c>
      <c r="V29" s="46">
        <f t="shared" si="6"/>
        <v>5.806</v>
      </c>
      <c r="W29" s="96">
        <v>4.2</v>
      </c>
      <c r="X29" s="96">
        <f t="shared" si="1"/>
        <v>4.2</v>
      </c>
      <c r="Y29" s="97" t="s">
        <v>168</v>
      </c>
      <c r="Z29" s="154">
        <v>0</v>
      </c>
      <c r="AA29" s="154">
        <v>1026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17561426</v>
      </c>
      <c r="AJ29" s="45">
        <f t="shared" si="7"/>
        <v>1125</v>
      </c>
      <c r="AK29" s="48">
        <f>AJ28/V29</f>
        <v>191.35377196004134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43301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1</v>
      </c>
      <c r="G30" s="118">
        <v>80</v>
      </c>
      <c r="H30" s="150">
        <f t="shared" si="0"/>
        <v>56.338028169014088</v>
      </c>
      <c r="I30" s="150">
        <v>72</v>
      </c>
      <c r="J30" s="41" t="s">
        <v>88</v>
      </c>
      <c r="K30" s="41">
        <f t="shared" si="3"/>
        <v>52.816901408450704</v>
      </c>
      <c r="L30" s="42">
        <f t="shared" si="13"/>
        <v>54.225352112676056</v>
      </c>
      <c r="M30" s="41">
        <f t="shared" si="12"/>
        <v>58.450704225352112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102192371</v>
      </c>
      <c r="T30" s="45">
        <f t="shared" si="4"/>
        <v>5914</v>
      </c>
      <c r="U30" s="46">
        <f t="shared" si="5"/>
        <v>141.93600000000001</v>
      </c>
      <c r="V30" s="46">
        <f t="shared" si="6"/>
        <v>5.9139999999999997</v>
      </c>
      <c r="W30" s="96">
        <v>3.7</v>
      </c>
      <c r="X30" s="96">
        <f t="shared" si="1"/>
        <v>3.7</v>
      </c>
      <c r="Y30" s="97" t="s">
        <v>168</v>
      </c>
      <c r="Z30" s="154">
        <v>0</v>
      </c>
      <c r="AA30" s="154">
        <v>1026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17562610</v>
      </c>
      <c r="AJ30" s="45">
        <f t="shared" si="7"/>
        <v>1184</v>
      </c>
      <c r="AK30" s="48">
        <f>AJ29/V30</f>
        <v>190.22658099425095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1.1200000000000001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43301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1</v>
      </c>
      <c r="G31" s="118">
        <v>75</v>
      </c>
      <c r="H31" s="150">
        <f t="shared" si="0"/>
        <v>52.816901408450704</v>
      </c>
      <c r="I31" s="150">
        <v>71</v>
      </c>
      <c r="J31" s="41" t="s">
        <v>88</v>
      </c>
      <c r="K31" s="41">
        <f t="shared" si="3"/>
        <v>49.295774647887328</v>
      </c>
      <c r="L31" s="42">
        <f t="shared" si="13"/>
        <v>50.70422535211268</v>
      </c>
      <c r="M31" s="41">
        <f t="shared" si="12"/>
        <v>54.929577464788736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102198015</v>
      </c>
      <c r="T31" s="45">
        <f t="shared" si="4"/>
        <v>5644</v>
      </c>
      <c r="U31" s="46">
        <f t="shared" si="5"/>
        <v>135.45599999999999</v>
      </c>
      <c r="V31" s="46">
        <f t="shared" si="6"/>
        <v>5.6440000000000001</v>
      </c>
      <c r="W31" s="96">
        <v>3.5</v>
      </c>
      <c r="X31" s="96">
        <f t="shared" si="1"/>
        <v>3.5</v>
      </c>
      <c r="Y31" s="97" t="s">
        <v>168</v>
      </c>
      <c r="Z31" s="154">
        <v>0</v>
      </c>
      <c r="AA31" s="154">
        <v>1026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17563715</v>
      </c>
      <c r="AJ31" s="45">
        <f t="shared" si="7"/>
        <v>1105</v>
      </c>
      <c r="AK31" s="48">
        <f t="shared" si="9"/>
        <v>195.78313253012047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43301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0</v>
      </c>
      <c r="G32" s="118">
        <v>76</v>
      </c>
      <c r="H32" s="150">
        <f t="shared" si="0"/>
        <v>53.521126760563384</v>
      </c>
      <c r="I32" s="150">
        <v>71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102203722</v>
      </c>
      <c r="T32" s="45">
        <f t="shared" si="4"/>
        <v>5707</v>
      </c>
      <c r="U32" s="46">
        <f t="shared" si="5"/>
        <v>136.96799999999999</v>
      </c>
      <c r="V32" s="46">
        <f t="shared" si="6"/>
        <v>5.7069999999999999</v>
      </c>
      <c r="W32" s="96">
        <v>3.1</v>
      </c>
      <c r="X32" s="96">
        <f t="shared" si="1"/>
        <v>3.1</v>
      </c>
      <c r="Y32" s="97" t="s">
        <v>168</v>
      </c>
      <c r="Z32" s="154">
        <v>0</v>
      </c>
      <c r="AA32" s="154">
        <v>1025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17564888</v>
      </c>
      <c r="AJ32" s="45">
        <f t="shared" si="7"/>
        <v>1173</v>
      </c>
      <c r="AK32" s="48">
        <f t="shared" si="9"/>
        <v>205.53705975118277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43301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0</v>
      </c>
      <c r="G33" s="118">
        <v>75</v>
      </c>
      <c r="H33" s="150">
        <f t="shared" si="0"/>
        <v>52.816901408450704</v>
      </c>
      <c r="I33" s="150">
        <v>70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102209494</v>
      </c>
      <c r="T33" s="45">
        <f t="shared" si="4"/>
        <v>5772</v>
      </c>
      <c r="U33" s="46">
        <f t="shared" si="5"/>
        <v>138.52799999999999</v>
      </c>
      <c r="V33" s="46">
        <f t="shared" si="6"/>
        <v>5.7720000000000002</v>
      </c>
      <c r="W33" s="96">
        <v>2.7</v>
      </c>
      <c r="X33" s="96">
        <f t="shared" si="1"/>
        <v>2.7</v>
      </c>
      <c r="Y33" s="97" t="s">
        <v>168</v>
      </c>
      <c r="Z33" s="154">
        <v>0</v>
      </c>
      <c r="AA33" s="154">
        <v>1026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17566043</v>
      </c>
      <c r="AJ33" s="45">
        <f t="shared" si="7"/>
        <v>1155</v>
      </c>
      <c r="AK33" s="48">
        <f t="shared" si="9"/>
        <v>200.1039501039501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43301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0</v>
      </c>
      <c r="G34" s="118">
        <v>77</v>
      </c>
      <c r="H34" s="150">
        <f t="shared" si="0"/>
        <v>54.225352112676056</v>
      </c>
      <c r="I34" s="150">
        <v>72</v>
      </c>
      <c r="J34" s="41" t="s">
        <v>88</v>
      </c>
      <c r="K34" s="41">
        <f t="shared" si="3"/>
        <v>50.70422535211268</v>
      </c>
      <c r="L34" s="42">
        <f t="shared" si="13"/>
        <v>52.112676056338032</v>
      </c>
      <c r="M34" s="41">
        <f t="shared" si="12"/>
        <v>56.338028169014088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102214920</v>
      </c>
      <c r="T34" s="45">
        <f t="shared" si="4"/>
        <v>5426</v>
      </c>
      <c r="U34" s="46">
        <f t="shared" si="5"/>
        <v>130.22399999999999</v>
      </c>
      <c r="V34" s="46">
        <f t="shared" si="6"/>
        <v>5.4260000000000002</v>
      </c>
      <c r="W34" s="96">
        <v>2.5</v>
      </c>
      <c r="X34" s="96">
        <f t="shared" si="1"/>
        <v>2.5</v>
      </c>
      <c r="Y34" s="97" t="s">
        <v>168</v>
      </c>
      <c r="Z34" s="154">
        <v>0</v>
      </c>
      <c r="AA34" s="154">
        <v>1005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17567123</v>
      </c>
      <c r="AJ34" s="45">
        <f t="shared" si="7"/>
        <v>1080</v>
      </c>
      <c r="AK34" s="48">
        <f t="shared" si="9"/>
        <v>199.04165130851456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0.83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43301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1</v>
      </c>
      <c r="G35" s="118">
        <v>71</v>
      </c>
      <c r="H35" s="150">
        <f t="shared" si="0"/>
        <v>50</v>
      </c>
      <c r="I35" s="150">
        <v>72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102220284</v>
      </c>
      <c r="T35" s="45">
        <f t="shared" si="4"/>
        <v>5364</v>
      </c>
      <c r="U35" s="46">
        <f t="shared" si="5"/>
        <v>128.73599999999999</v>
      </c>
      <c r="V35" s="46">
        <f t="shared" si="6"/>
        <v>5.3639999999999999</v>
      </c>
      <c r="W35" s="96">
        <v>3.3</v>
      </c>
      <c r="X35" s="96">
        <f t="shared" si="1"/>
        <v>3.3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17568205</v>
      </c>
      <c r="AJ35" s="45">
        <f t="shared" si="7"/>
        <v>1082</v>
      </c>
      <c r="AK35" s="48">
        <f t="shared" si="9"/>
        <v>201.71513795674869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43301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72</v>
      </c>
      <c r="H36" s="150">
        <f t="shared" si="0"/>
        <v>50.70422535211268</v>
      </c>
      <c r="I36" s="150">
        <v>74</v>
      </c>
      <c r="J36" s="41" t="s">
        <v>88</v>
      </c>
      <c r="K36" s="41">
        <f t="shared" si="3"/>
        <v>45.774647887323944</v>
      </c>
      <c r="L36" s="42">
        <f>(G36-5)/1.42</f>
        <v>47.183098591549296</v>
      </c>
      <c r="M36" s="41">
        <f t="shared" si="12"/>
        <v>51.408450704225352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102225748</v>
      </c>
      <c r="T36" s="45">
        <f t="shared" si="4"/>
        <v>5464</v>
      </c>
      <c r="U36" s="46">
        <f t="shared" si="5"/>
        <v>131.136</v>
      </c>
      <c r="V36" s="46">
        <f t="shared" si="6"/>
        <v>5.4640000000000004</v>
      </c>
      <c r="W36" s="96">
        <v>4.4000000000000004</v>
      </c>
      <c r="X36" s="96">
        <f t="shared" si="1"/>
        <v>4.4000000000000004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17569299</v>
      </c>
      <c r="AJ36" s="45">
        <f t="shared" si="7"/>
        <v>1094</v>
      </c>
      <c r="AK36" s="48">
        <f t="shared" si="9"/>
        <v>200.21961932650072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130822</v>
      </c>
      <c r="U37" s="46">
        <f t="shared" si="5"/>
        <v>3139.7280000000001</v>
      </c>
      <c r="V37" s="46">
        <f t="shared" si="6"/>
        <v>130.822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27131</v>
      </c>
      <c r="AK37" s="61">
        <f>$AJ$37/$V37</f>
        <v>207.38866551497455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1.02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247</v>
      </c>
      <c r="C48" s="115"/>
      <c r="D48" s="166"/>
      <c r="E48" s="149"/>
      <c r="F48" s="149"/>
      <c r="G48" s="149"/>
      <c r="H48" s="149"/>
      <c r="I48" s="149"/>
      <c r="J48" s="149"/>
      <c r="K48" s="104"/>
      <c r="L48" s="105"/>
      <c r="M48" s="105"/>
      <c r="N48" s="105"/>
      <c r="O48" s="105"/>
      <c r="P48" s="105"/>
      <c r="Q48" s="105"/>
      <c r="R48" s="105"/>
      <c r="S48" s="105"/>
      <c r="T48" s="105"/>
      <c r="U48" s="105"/>
      <c r="V48" s="147"/>
      <c r="W48" s="147"/>
      <c r="X48" s="148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15"/>
      <c r="D49" s="166"/>
      <c r="E49" s="149"/>
      <c r="F49" s="149"/>
      <c r="G49" s="149"/>
      <c r="H49" s="149"/>
      <c r="I49" s="149"/>
      <c r="J49" s="149"/>
      <c r="K49" s="104"/>
      <c r="L49" s="105"/>
      <c r="M49" s="105"/>
      <c r="N49" s="105"/>
      <c r="O49" s="105"/>
      <c r="P49" s="105"/>
      <c r="Q49" s="105"/>
      <c r="R49" s="105"/>
      <c r="S49" s="105"/>
      <c r="T49" s="105"/>
      <c r="U49" s="105"/>
      <c r="V49" s="147"/>
      <c r="W49" s="147"/>
      <c r="X49" s="148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209" t="s">
        <v>166</v>
      </c>
      <c r="C50" s="115"/>
      <c r="D50" s="166"/>
      <c r="E50" s="149"/>
      <c r="F50" s="149"/>
      <c r="G50" s="149"/>
      <c r="H50" s="149"/>
      <c r="I50" s="149"/>
      <c r="J50" s="149"/>
      <c r="K50" s="104"/>
      <c r="L50" s="105"/>
      <c r="M50" s="105"/>
      <c r="N50" s="105"/>
      <c r="O50" s="105"/>
      <c r="P50" s="105"/>
      <c r="Q50" s="105"/>
      <c r="R50" s="105"/>
      <c r="S50" s="105"/>
      <c r="T50" s="105"/>
      <c r="U50" s="105"/>
      <c r="V50" s="147"/>
      <c r="W50" s="147"/>
      <c r="X50" s="148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200</v>
      </c>
      <c r="C51" s="115"/>
      <c r="D51" s="166"/>
      <c r="E51" s="149"/>
      <c r="F51" s="149"/>
      <c r="G51" s="149"/>
      <c r="H51" s="149"/>
      <c r="I51" s="149"/>
      <c r="J51" s="149"/>
      <c r="K51" s="104"/>
      <c r="L51" s="105"/>
      <c r="M51" s="105"/>
      <c r="N51" s="105"/>
      <c r="O51" s="105"/>
      <c r="P51" s="105"/>
      <c r="Q51" s="105"/>
      <c r="R51" s="105"/>
      <c r="S51" s="105"/>
      <c r="T51" s="105"/>
      <c r="U51" s="105"/>
      <c r="V51" s="147"/>
      <c r="W51" s="147"/>
      <c r="X51" s="148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83" t="s">
        <v>248</v>
      </c>
      <c r="C52" s="115"/>
      <c r="D52" s="166"/>
      <c r="E52" s="149"/>
      <c r="F52" s="149"/>
      <c r="G52" s="149"/>
      <c r="H52" s="149"/>
      <c r="I52" s="149"/>
      <c r="J52" s="149"/>
      <c r="K52" s="104"/>
      <c r="L52" s="105"/>
      <c r="M52" s="105"/>
      <c r="N52" s="105"/>
      <c r="O52" s="105"/>
      <c r="P52" s="105"/>
      <c r="Q52" s="105"/>
      <c r="R52" s="105"/>
      <c r="S52" s="105"/>
      <c r="T52" s="105"/>
      <c r="U52" s="105"/>
      <c r="V52" s="147"/>
      <c r="W52" s="147"/>
      <c r="X52" s="148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83" t="s">
        <v>171</v>
      </c>
      <c r="C53" s="115"/>
      <c r="D53" s="166"/>
      <c r="E53" s="149"/>
      <c r="F53" s="149"/>
      <c r="G53" s="149"/>
      <c r="H53" s="149"/>
      <c r="I53" s="149"/>
      <c r="J53" s="149"/>
      <c r="K53" s="104"/>
      <c r="L53" s="105"/>
      <c r="M53" s="105"/>
      <c r="N53" s="105"/>
      <c r="O53" s="105"/>
      <c r="P53" s="105"/>
      <c r="Q53" s="105"/>
      <c r="R53" s="105"/>
      <c r="S53" s="105"/>
      <c r="T53" s="105"/>
      <c r="U53" s="105"/>
      <c r="V53" s="147"/>
      <c r="W53" s="147"/>
      <c r="X53" s="148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95" t="s">
        <v>249</v>
      </c>
      <c r="C54" s="115"/>
      <c r="D54" s="166"/>
      <c r="E54" s="149"/>
      <c r="F54" s="149"/>
      <c r="G54" s="149"/>
      <c r="H54" s="149"/>
      <c r="I54" s="149"/>
      <c r="J54" s="149"/>
      <c r="K54" s="104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47"/>
      <c r="W54" s="147"/>
      <c r="X54" s="148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83" t="s">
        <v>172</v>
      </c>
      <c r="C55" s="166"/>
      <c r="D55" s="166"/>
      <c r="E55" s="149"/>
      <c r="F55" s="149"/>
      <c r="G55" s="149"/>
      <c r="H55" s="149"/>
      <c r="I55" s="149"/>
      <c r="J55" s="149"/>
      <c r="K55" s="162"/>
      <c r="L55" s="143"/>
      <c r="M55" s="105"/>
      <c r="N55" s="105"/>
      <c r="O55" s="105"/>
      <c r="P55" s="105"/>
      <c r="Q55" s="105"/>
      <c r="R55" s="105"/>
      <c r="S55" s="105"/>
      <c r="T55" s="105"/>
      <c r="U55" s="105"/>
      <c r="V55" s="147"/>
      <c r="W55" s="147"/>
      <c r="X55" s="148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173</v>
      </c>
      <c r="C56" s="166"/>
      <c r="D56" s="166"/>
      <c r="E56" s="115"/>
      <c r="F56" s="115"/>
      <c r="G56" s="115"/>
      <c r="H56" s="115"/>
      <c r="I56" s="149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174</v>
      </c>
      <c r="C57" s="166"/>
      <c r="D57" s="166"/>
      <c r="E57" s="149"/>
      <c r="F57" s="149"/>
      <c r="G57" s="149"/>
      <c r="H57" s="149"/>
      <c r="I57" s="149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15" t="s">
        <v>244</v>
      </c>
      <c r="C58" s="166"/>
      <c r="D58" s="170"/>
      <c r="E58" s="170"/>
      <c r="F58" s="114"/>
      <c r="G58" s="114"/>
      <c r="H58" s="104"/>
      <c r="I58" s="10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209" t="s">
        <v>176</v>
      </c>
      <c r="C59" s="149"/>
      <c r="D59" s="107"/>
      <c r="E59" s="107"/>
      <c r="F59" s="114"/>
      <c r="G59" s="114"/>
      <c r="H59" s="104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 t="s">
        <v>177</v>
      </c>
      <c r="C60" s="115"/>
      <c r="D60" s="100"/>
      <c r="E60" s="100"/>
      <c r="F60" s="115"/>
      <c r="G60" s="115"/>
      <c r="H60" s="9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15"/>
      <c r="D61" s="162"/>
      <c r="E61" s="162"/>
      <c r="F61" s="162"/>
      <c r="G61" s="162"/>
      <c r="H61" s="162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49"/>
      <c r="C62" s="115"/>
      <c r="D62" s="100"/>
      <c r="E62" s="100"/>
      <c r="F62" s="115"/>
      <c r="G62" s="115"/>
      <c r="H62" s="92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AV63" s="86"/>
      <c r="AW63" s="86"/>
      <c r="AX63" s="86"/>
      <c r="AY63" s="86"/>
      <c r="AZ63" s="86"/>
      <c r="BA63" s="86"/>
      <c r="BB63" s="86"/>
    </row>
    <row r="64" spans="1:54" x14ac:dyDescent="0.35">
      <c r="B64" s="158"/>
      <c r="C64" s="115"/>
      <c r="D64" s="162"/>
      <c r="E64" s="162"/>
      <c r="F64" s="162"/>
      <c r="G64" s="162"/>
      <c r="H64" s="16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AV64" s="86"/>
      <c r="AW64" s="86"/>
      <c r="AX64" s="86"/>
      <c r="AY64" s="86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Q66" s="12"/>
      <c r="R66" s="87"/>
      <c r="S66" s="87"/>
      <c r="T66" s="87"/>
      <c r="U66" s="87"/>
      <c r="AV66" s="86"/>
      <c r="AW66" s="86"/>
      <c r="AX66" s="86"/>
      <c r="AY66" s="86"/>
      <c r="AZ66" s="86"/>
      <c r="BA66" s="86"/>
      <c r="BB66" s="86"/>
    </row>
    <row r="67" spans="2:54" x14ac:dyDescent="0.35">
      <c r="Q67" s="12"/>
      <c r="R67" s="87"/>
      <c r="S67" s="87"/>
      <c r="T67" s="87"/>
      <c r="U67" s="87"/>
      <c r="V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V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87"/>
      <c r="S70" s="87"/>
      <c r="T70" s="87"/>
      <c r="U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S71" s="87"/>
      <c r="T71" s="87"/>
      <c r="U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12"/>
      <c r="R72" s="87"/>
      <c r="S72" s="87"/>
      <c r="T72" s="87"/>
      <c r="U72" s="87"/>
      <c r="V72" s="87"/>
      <c r="W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V73" s="87"/>
      <c r="W73" s="87"/>
      <c r="AV73" s="86"/>
      <c r="AW73" s="86"/>
      <c r="AX73" s="86"/>
      <c r="AY73" s="86"/>
      <c r="AZ73" s="86"/>
      <c r="BA73" s="86"/>
      <c r="BB73" s="86"/>
    </row>
    <row r="74" spans="2:54" x14ac:dyDescent="0.35">
      <c r="BB74" s="86"/>
    </row>
    <row r="85" spans="48:54" x14ac:dyDescent="0.35">
      <c r="AV85" s="86"/>
      <c r="AW85" s="86"/>
      <c r="AX85" s="86"/>
      <c r="AY85" s="86"/>
      <c r="AZ85" s="86"/>
      <c r="BA85" s="86"/>
    </row>
    <row r="86" spans="48:54" x14ac:dyDescent="0.35">
      <c r="BB86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2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0:H65" name="Range2_2_12_1_3_1_2_1_1_1_1_2_1_1_1_1_1_1_1_1_1_1_1"/>
    <protectedRange sqref="F60:F65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58:H59" name="Range2_12_5_1_1_1_2_2_1_1_1_1_1_1_1_1_1_1_1_2_1_1_1_2_1_1_1_1_1_1_1_1_1_1_1_1_1_1_1_1_2_1_1_1_1_1_1_1_1_1_2_1_1_3_1_1_1_3_1_1_1_1_1_1_1_1_1_1_1_1_1_1_1_1_1_1_1_1_1_1_2_1_1_1_1_1_1_1_1_1_1_1_2_2_1_2_1_1_1_1_1_1_1_1_1_1_1_1_1"/>
    <protectedRange sqref="U48:V65" name="Range2_12_5_1_1_2_1_1_1_2_1_1_1_1_1_1_1_1_1_1_1_1_1"/>
    <protectedRange sqref="P48:T65" name="Range2_12_1_6_1_1_2_1_1_1_2_1_1_1_1_1_1_1_1_1_1_1_1_1"/>
    <protectedRange sqref="N48:O65" name="Range2_2_12_1_7_1_1_3_1_1_1_2_1_1_1_1_1_1_1_1_1_1_1_1_1"/>
    <protectedRange sqref="M55 L56:M65 L48:M54" name="Range2_2_12_1_4_1_1_1_1_1_1_1_1_1_1_1_1_1_1_1_2_1_1_1_2_1_1_1_1_1_1_1_1_1_1_1_1_1"/>
    <protectedRange sqref="K56:K65 K48:K54" name="Range2_2_12_1_7_1_1_2_2_1_2_2_1_1_1_2_1_1_1_1_1_1_1_1_1_1_1_1_1"/>
    <protectedRange sqref="J56:J57 I58:J65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3:W3" name="Range1_16_1_1_1_1_1_1_2_2_2_2_2_2_2_2_2_2_2_2_2_2_2_2_2_2_2_2_2_2_2_1_2_2_2_2_2_2_2_2_2_2_3_2_2_2_2_2_2_2_2_2_2_1_1_1_1_2_2_1_1_1_1_1_1_1_1_1_1_1_1_1_1_3_1_2_1_1_1_1_1_1_2_1_1_1_1_1_1_1_1"/>
    <protectedRange sqref="R4:W4" name="Range1_16_1_1_1_1_1_1_2_2_2_2_2_2_2_2_2_2_2_2_2_2_2_2_2_2_2_2_2_2_2_1_2_2_2_2_2_2_2_2_2_2_3_2_2_2_2_2_2_2_2_2_2_1_1_1_1_2_2_1_1_1_1_1_1_1_1_1_1_1_1_1_1_3_1_2_1_1_1_1_1_2_2_2_2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0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203" priority="5" operator="containsText" text="N/A">
      <formula>NOT(ISERROR(SEARCH("N/A",Z13)))</formula>
    </cfRule>
    <cfRule type="cellIs" dxfId="202" priority="17" operator="equal">
      <formula>0</formula>
    </cfRule>
  </conditionalFormatting>
  <conditionalFormatting sqref="Z13:AG36">
    <cfRule type="cellIs" dxfId="201" priority="16" operator="greaterThanOrEqual">
      <formula>1185</formula>
    </cfRule>
  </conditionalFormatting>
  <conditionalFormatting sqref="Z13:AG36">
    <cfRule type="cellIs" dxfId="200" priority="15" operator="between">
      <formula>0.1</formula>
      <formula>1184</formula>
    </cfRule>
  </conditionalFormatting>
  <conditionalFormatting sqref="Z8:Z9 AT13:AT36 AL37:AQ37 AL13:AR36">
    <cfRule type="cellIs" dxfId="199" priority="14" operator="equal">
      <formula>0</formula>
    </cfRule>
  </conditionalFormatting>
  <conditionalFormatting sqref="Z8:Z9 AT13:AT36 AL37:AQ37 AL13:AR36">
    <cfRule type="cellIs" dxfId="198" priority="13" operator="greaterThan">
      <formula>1179</formula>
    </cfRule>
  </conditionalFormatting>
  <conditionalFormatting sqref="Z8:Z9 AT13:AT36 AL37:AQ37 AL13:AR36">
    <cfRule type="cellIs" dxfId="197" priority="12" operator="greaterThan">
      <formula>99</formula>
    </cfRule>
  </conditionalFormatting>
  <conditionalFormatting sqref="Z8:Z9 AT13:AT36 AL37:AQ37 AL13:AR36">
    <cfRule type="cellIs" dxfId="196" priority="11" operator="greaterThan">
      <formula>0.99</formula>
    </cfRule>
  </conditionalFormatting>
  <conditionalFormatting sqref="AD8:AD9">
    <cfRule type="cellIs" dxfId="195" priority="10" operator="equal">
      <formula>0</formula>
    </cfRule>
  </conditionalFormatting>
  <conditionalFormatting sqref="AD8:AD9">
    <cfRule type="cellIs" dxfId="194" priority="9" operator="greaterThan">
      <formula>1179</formula>
    </cfRule>
  </conditionalFormatting>
  <conditionalFormatting sqref="AD8:AD9">
    <cfRule type="cellIs" dxfId="193" priority="8" operator="greaterThan">
      <formula>99</formula>
    </cfRule>
  </conditionalFormatting>
  <conditionalFormatting sqref="AD8:AD9">
    <cfRule type="cellIs" dxfId="192" priority="7" operator="greaterThan">
      <formula>0.99</formula>
    </cfRule>
  </conditionalFormatting>
  <conditionalFormatting sqref="AK13:AK36">
    <cfRule type="cellIs" dxfId="191" priority="6" operator="greaterThan">
      <formula>$AK$8</formula>
    </cfRule>
  </conditionalFormatting>
  <conditionalFormatting sqref="AS13:AS36">
    <cfRule type="containsText" dxfId="190" priority="1" operator="containsText" text="N/A">
      <formula>NOT(ISERROR(SEARCH("N/A",AS13)))</formula>
    </cfRule>
    <cfRule type="cellIs" dxfId="189" priority="4" operator="equal">
      <formula>0</formula>
    </cfRule>
  </conditionalFormatting>
  <conditionalFormatting sqref="AS13:AS36">
    <cfRule type="cellIs" dxfId="188" priority="3" operator="greaterThanOrEqual">
      <formula>1185</formula>
    </cfRule>
  </conditionalFormatting>
  <conditionalFormatting sqref="AS13:AS36">
    <cfRule type="cellIs" dxfId="187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300-000000000000}">
      <formula1>$BB$11:$BB$42</formula1>
    </dataValidation>
    <dataValidation type="list" allowBlank="1" showInputMessage="1" showErrorMessage="1" sqref="J13:J36" xr:uid="{00000000-0002-0000-1300-000001000000}">
      <formula1>$AY$11:$AY$21</formula1>
    </dataValidation>
    <dataValidation type="list" allowBlank="1" showInputMessage="1" showErrorMessage="1" sqref="AS8:AT9 P11:P12 N11:N12 D8:E9 Q8:V9" xr:uid="{00000000-0002-0000-1300-000002000000}">
      <formula1>#REF!</formula1>
    </dataValidation>
    <dataValidation type="list" allowBlank="1" showInputMessage="1" showErrorMessage="1" sqref="AY33:AZ33" xr:uid="{00000000-0002-0000-1300-000003000000}">
      <formula1>$AY$26:$AY$30</formula1>
    </dataValidation>
  </dataValidations>
  <hyperlinks>
    <hyperlink ref="J10:J11" location="'1'!AH8" display="Plant Status" xr:uid="{00000000-0004-0000-1300-000000000000}"/>
  </hyperlinks>
  <pageMargins left="0.7" right="0.7" top="0.75" bottom="0.75" header="0.3" footer="0.3"/>
  <pageSetup paperSize="9" orientation="portrait" horizont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30A0"/>
  </sheetPr>
  <dimension ref="A2:BB86"/>
  <sheetViews>
    <sheetView topLeftCell="A43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138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69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43302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27333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1"/>
      <c r="K9" s="262"/>
      <c r="L9" s="263"/>
      <c r="M9" s="264"/>
      <c r="N9" s="29"/>
      <c r="O9" s="29"/>
      <c r="P9" s="29"/>
      <c r="Q9" s="121"/>
      <c r="R9" s="121"/>
      <c r="S9" s="121"/>
      <c r="T9" s="122"/>
      <c r="U9" s="123"/>
      <c r="V9" s="124"/>
      <c r="W9" s="262"/>
      <c r="X9" s="264"/>
      <c r="Y9" s="30"/>
      <c r="Z9" s="265"/>
      <c r="AA9" s="125"/>
      <c r="AB9" s="126"/>
      <c r="AC9" s="126"/>
      <c r="AD9" s="125"/>
      <c r="AE9" s="125"/>
      <c r="AF9" s="127"/>
      <c r="AG9" s="26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70" t="s">
        <v>51</v>
      </c>
      <c r="X10" s="270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68" t="s">
        <v>55</v>
      </c>
      <c r="AI10" s="268" t="s">
        <v>56</v>
      </c>
      <c r="AJ10" s="314" t="s">
        <v>57</v>
      </c>
      <c r="AK10" s="329" t="s">
        <v>58</v>
      </c>
      <c r="AL10" s="270" t="s">
        <v>59</v>
      </c>
      <c r="AM10" s="270" t="s">
        <v>60</v>
      </c>
      <c r="AN10" s="270" t="s">
        <v>61</v>
      </c>
      <c r="AO10" s="270" t="s">
        <v>62</v>
      </c>
      <c r="AP10" s="270" t="s">
        <v>63</v>
      </c>
      <c r="AQ10" s="270" t="s">
        <v>124</v>
      </c>
      <c r="AR10" s="270" t="s">
        <v>64</v>
      </c>
      <c r="AS10" s="270" t="s">
        <v>65</v>
      </c>
      <c r="AT10" s="312" t="s">
        <v>66</v>
      </c>
      <c r="AU10" s="270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0" t="s">
        <v>72</v>
      </c>
      <c r="C11" s="270" t="s">
        <v>73</v>
      </c>
      <c r="D11" s="270" t="s">
        <v>74</v>
      </c>
      <c r="E11" s="270" t="s">
        <v>75</v>
      </c>
      <c r="F11" s="270" t="s">
        <v>127</v>
      </c>
      <c r="G11" s="270" t="s">
        <v>74</v>
      </c>
      <c r="H11" s="270" t="s">
        <v>75</v>
      </c>
      <c r="I11" s="270" t="s">
        <v>127</v>
      </c>
      <c r="J11" s="309"/>
      <c r="K11" s="270" t="s">
        <v>75</v>
      </c>
      <c r="L11" s="270" t="s">
        <v>75</v>
      </c>
      <c r="M11" s="270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20'!S36</f>
        <v>102225748</v>
      </c>
      <c r="T11" s="322"/>
      <c r="U11" s="323"/>
      <c r="V11" s="324"/>
      <c r="W11" s="270" t="s">
        <v>75</v>
      </c>
      <c r="X11" s="270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20'!AI36</f>
        <v>17569299</v>
      </c>
      <c r="AJ11" s="314"/>
      <c r="AK11" s="330"/>
      <c r="AL11" s="270" t="s">
        <v>84</v>
      </c>
      <c r="AM11" s="270" t="s">
        <v>84</v>
      </c>
      <c r="AN11" s="270" t="s">
        <v>84</v>
      </c>
      <c r="AO11" s="270" t="s">
        <v>84</v>
      </c>
      <c r="AP11" s="270" t="s">
        <v>84</v>
      </c>
      <c r="AQ11" s="270" t="s">
        <v>84</v>
      </c>
      <c r="AR11" s="270" t="s">
        <v>84</v>
      </c>
      <c r="AS11" s="1"/>
      <c r="AT11" s="313"/>
      <c r="AU11" s="267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43302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68</v>
      </c>
      <c r="H13" s="150">
        <f t="shared" ref="H13:H36" si="0">G13/1.42</f>
        <v>47.887323943661976</v>
      </c>
      <c r="I13" s="150">
        <v>74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102230638</v>
      </c>
      <c r="T13" s="45">
        <f>IF(ISBLANK(S13),"-",S13-S11)</f>
        <v>4890</v>
      </c>
      <c r="U13" s="46">
        <f>T13*24/1000</f>
        <v>117.36</v>
      </c>
      <c r="V13" s="46">
        <f>T13/1000</f>
        <v>4.8899999999999997</v>
      </c>
      <c r="W13" s="96">
        <v>5.8</v>
      </c>
      <c r="X13" s="96">
        <f t="shared" ref="X13:X36" si="1">W13</f>
        <v>5.8</v>
      </c>
      <c r="Y13" s="97" t="s">
        <v>139</v>
      </c>
      <c r="Z13" s="154">
        <v>0</v>
      </c>
      <c r="AA13" s="154">
        <v>0</v>
      </c>
      <c r="AB13" s="154">
        <v>1188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17570410</v>
      </c>
      <c r="AJ13" s="45">
        <f>IF(ISBLANK(AI13),"-",AI13-AI11)</f>
        <v>1111</v>
      </c>
      <c r="AK13" s="48">
        <f>AJ13/V13</f>
        <v>227.19836400817996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43302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6</v>
      </c>
      <c r="G14" s="118">
        <v>70</v>
      </c>
      <c r="H14" s="150">
        <f t="shared" si="0"/>
        <v>49.295774647887328</v>
      </c>
      <c r="I14" s="150">
        <v>74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102235563</v>
      </c>
      <c r="T14" s="45">
        <f t="shared" ref="T14:T36" si="4">IF(ISBLANK(S14),"-",S14-S13)</f>
        <v>4925</v>
      </c>
      <c r="U14" s="46">
        <f t="shared" ref="U14:U37" si="5">T14*24/1000</f>
        <v>118.2</v>
      </c>
      <c r="V14" s="46">
        <f t="shared" ref="V14:V37" si="6">T14/1000</f>
        <v>4.9249999999999998</v>
      </c>
      <c r="W14" s="96">
        <v>7.4</v>
      </c>
      <c r="X14" s="96">
        <f t="shared" si="1"/>
        <v>7.4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17571507</v>
      </c>
      <c r="AJ14" s="45">
        <f t="shared" ref="AJ14:AJ36" si="7">IF(ISBLANK(AI14),"-",AI14-AI13)</f>
        <v>1097</v>
      </c>
      <c r="AK14" s="48">
        <f>AJ14/V14</f>
        <v>222.74111675126903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0.91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43302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71</v>
      </c>
      <c r="H15" s="150">
        <f t="shared" si="0"/>
        <v>50</v>
      </c>
      <c r="I15" s="150">
        <v>75</v>
      </c>
      <c r="J15" s="41" t="s">
        <v>88</v>
      </c>
      <c r="K15" s="41">
        <f t="shared" si="3"/>
        <v>45.070422535211272</v>
      </c>
      <c r="L15" s="42">
        <f>(G15-5)/1.42</f>
        <v>46.478873239436624</v>
      </c>
      <c r="M15" s="41">
        <f>L15+(6/1.42)</f>
        <v>50.70422535211268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102240449</v>
      </c>
      <c r="T15" s="45">
        <f>IF(ISBLANK(S15),"-",S15-S14)</f>
        <v>4886</v>
      </c>
      <c r="U15" s="46">
        <f t="shared" si="5"/>
        <v>117.264</v>
      </c>
      <c r="V15" s="46">
        <f t="shared" si="6"/>
        <v>4.8860000000000001</v>
      </c>
      <c r="W15" s="96">
        <v>9.5</v>
      </c>
      <c r="X15" s="96">
        <f t="shared" si="1"/>
        <v>9.5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17572563</v>
      </c>
      <c r="AJ15" s="45">
        <f t="shared" si="7"/>
        <v>1056</v>
      </c>
      <c r="AK15" s="48">
        <f t="shared" ref="AK15:AK36" si="9">AJ15/V15</f>
        <v>216.12771182971755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43302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102244865</v>
      </c>
      <c r="T16" s="45">
        <f t="shared" si="4"/>
        <v>4416</v>
      </c>
      <c r="U16" s="46">
        <f t="shared" si="5"/>
        <v>105.98399999999999</v>
      </c>
      <c r="V16" s="46">
        <f t="shared" si="6"/>
        <v>4.4160000000000004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17573645</v>
      </c>
      <c r="AJ16" s="45">
        <f t="shared" si="7"/>
        <v>1082</v>
      </c>
      <c r="AK16" s="48">
        <f t="shared" si="9"/>
        <v>245.01811594202897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43302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102249435</v>
      </c>
      <c r="T17" s="45">
        <f t="shared" si="4"/>
        <v>4570</v>
      </c>
      <c r="U17" s="46">
        <f t="shared" si="5"/>
        <v>109.68</v>
      </c>
      <c r="V17" s="46">
        <f t="shared" si="6"/>
        <v>4.57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1146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17574667</v>
      </c>
      <c r="AJ17" s="45">
        <f t="shared" si="7"/>
        <v>1022</v>
      </c>
      <c r="AK17" s="48">
        <f t="shared" si="9"/>
        <v>223.63238512035011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43302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80</v>
      </c>
      <c r="H18" s="150">
        <f t="shared" si="0"/>
        <v>56.338028169014088</v>
      </c>
      <c r="I18" s="150">
        <v>80</v>
      </c>
      <c r="J18" s="41" t="s">
        <v>88</v>
      </c>
      <c r="K18" s="41">
        <f t="shared" si="3"/>
        <v>54.929577464788736</v>
      </c>
      <c r="L18" s="42">
        <f t="shared" ref="L18:L27" si="10">G18/1.42</f>
        <v>56.338028169014088</v>
      </c>
      <c r="M18" s="41">
        <f>L18+1.42</f>
        <v>57.758028169014089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102254633</v>
      </c>
      <c r="T18" s="45">
        <f t="shared" si="4"/>
        <v>5198</v>
      </c>
      <c r="U18" s="46">
        <f t="shared" si="5"/>
        <v>124.752</v>
      </c>
      <c r="V18" s="46">
        <f t="shared" si="6"/>
        <v>5.1980000000000004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17575748</v>
      </c>
      <c r="AJ18" s="45">
        <f t="shared" si="7"/>
        <v>1081</v>
      </c>
      <c r="AK18" s="48">
        <f t="shared" si="9"/>
        <v>207.9646017699115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1.1000000000000001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43302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79</v>
      </c>
      <c r="H19" s="150">
        <f t="shared" si="0"/>
        <v>55.633802816901408</v>
      </c>
      <c r="I19" s="150">
        <v>77</v>
      </c>
      <c r="J19" s="41" t="s">
        <v>88</v>
      </c>
      <c r="K19" s="41">
        <f t="shared" si="3"/>
        <v>54.225352112676056</v>
      </c>
      <c r="L19" s="42">
        <f t="shared" si="10"/>
        <v>55.633802816901408</v>
      </c>
      <c r="M19" s="41">
        <f>L19+1.42</f>
        <v>57.05380281690141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102260448</v>
      </c>
      <c r="T19" s="45">
        <f t="shared" si="4"/>
        <v>5815</v>
      </c>
      <c r="U19" s="46">
        <f t="shared" si="5"/>
        <v>139.56</v>
      </c>
      <c r="V19" s="46">
        <f t="shared" si="6"/>
        <v>5.8150000000000004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17576841</v>
      </c>
      <c r="AJ19" s="45">
        <f t="shared" si="7"/>
        <v>1093</v>
      </c>
      <c r="AK19" s="48">
        <f t="shared" si="9"/>
        <v>187.96216680997418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43302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7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102266017</v>
      </c>
      <c r="T20" s="45">
        <f t="shared" si="4"/>
        <v>5569</v>
      </c>
      <c r="U20" s="46">
        <f>T20*24/1000</f>
        <v>133.65600000000001</v>
      </c>
      <c r="V20" s="46">
        <f t="shared" si="6"/>
        <v>5.569</v>
      </c>
      <c r="W20" s="96">
        <v>9.1</v>
      </c>
      <c r="X20" s="96">
        <f t="shared" si="1"/>
        <v>9.1</v>
      </c>
      <c r="Y20" s="97" t="s">
        <v>168</v>
      </c>
      <c r="Z20" s="154">
        <v>1016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17578025</v>
      </c>
      <c r="AJ20" s="45">
        <f t="shared" si="7"/>
        <v>1184</v>
      </c>
      <c r="AK20" s="48">
        <f t="shared" si="9"/>
        <v>212.60549470281919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43302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6</v>
      </c>
      <c r="G21" s="118">
        <v>77</v>
      </c>
      <c r="H21" s="150">
        <f t="shared" si="0"/>
        <v>54.225352112676056</v>
      </c>
      <c r="I21" s="150">
        <v>76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102271684</v>
      </c>
      <c r="T21" s="45">
        <f t="shared" si="4"/>
        <v>5667</v>
      </c>
      <c r="U21" s="46">
        <f t="shared" si="5"/>
        <v>136.00800000000001</v>
      </c>
      <c r="V21" s="46">
        <f t="shared" si="6"/>
        <v>5.6669999999999998</v>
      </c>
      <c r="W21" s="96">
        <v>8.4</v>
      </c>
      <c r="X21" s="96">
        <f t="shared" si="1"/>
        <v>8.4</v>
      </c>
      <c r="Y21" s="97" t="s">
        <v>168</v>
      </c>
      <c r="Z21" s="154">
        <v>1068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17579218</v>
      </c>
      <c r="AJ21" s="45">
        <f t="shared" si="7"/>
        <v>1193</v>
      </c>
      <c r="AK21" s="48">
        <f t="shared" si="9"/>
        <v>210.51702841009353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43302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6</v>
      </c>
      <c r="G22" s="118">
        <v>76</v>
      </c>
      <c r="H22" s="150">
        <f t="shared" si="0"/>
        <v>53.521126760563384</v>
      </c>
      <c r="I22" s="150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102277163</v>
      </c>
      <c r="T22" s="45">
        <f t="shared" si="4"/>
        <v>5479</v>
      </c>
      <c r="U22" s="46">
        <f t="shared" si="5"/>
        <v>131.49600000000001</v>
      </c>
      <c r="V22" s="46">
        <f t="shared" si="6"/>
        <v>5.4790000000000001</v>
      </c>
      <c r="W22" s="96">
        <v>7.6</v>
      </c>
      <c r="X22" s="96">
        <f t="shared" si="1"/>
        <v>7.6</v>
      </c>
      <c r="Y22" s="97" t="s">
        <v>168</v>
      </c>
      <c r="Z22" s="154">
        <v>1068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17580441</v>
      </c>
      <c r="AJ22" s="45">
        <f t="shared" si="7"/>
        <v>1223</v>
      </c>
      <c r="AK22" s="48">
        <f t="shared" si="9"/>
        <v>223.21591531301331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0.96</v>
      </c>
      <c r="AV22" s="50" t="s">
        <v>126</v>
      </c>
      <c r="BB22" s="136" t="s">
        <v>156</v>
      </c>
    </row>
    <row r="23" spans="1:54" x14ac:dyDescent="0.35">
      <c r="A23" s="331">
        <v>43302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75</v>
      </c>
      <c r="H23" s="150">
        <f t="shared" si="0"/>
        <v>52.816901408450704</v>
      </c>
      <c r="I23" s="150">
        <v>74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102282679</v>
      </c>
      <c r="T23" s="45">
        <f t="shared" si="4"/>
        <v>5516</v>
      </c>
      <c r="U23" s="46">
        <f t="shared" si="5"/>
        <v>132.38399999999999</v>
      </c>
      <c r="V23" s="46">
        <f t="shared" si="6"/>
        <v>5.516</v>
      </c>
      <c r="W23" s="96">
        <v>6.9</v>
      </c>
      <c r="X23" s="96">
        <f>W23</f>
        <v>6.9</v>
      </c>
      <c r="Y23" s="97" t="s">
        <v>168</v>
      </c>
      <c r="Z23" s="154">
        <v>1067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17581632</v>
      </c>
      <c r="AJ23" s="45">
        <f t="shared" si="7"/>
        <v>1191</v>
      </c>
      <c r="AK23" s="48">
        <f t="shared" si="9"/>
        <v>215.91733139956492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43302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5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102287884</v>
      </c>
      <c r="T24" s="45">
        <f t="shared" si="4"/>
        <v>5205</v>
      </c>
      <c r="U24" s="46">
        <f>T24*24/1000</f>
        <v>124.92</v>
      </c>
      <c r="V24" s="46">
        <f t="shared" si="6"/>
        <v>5.2050000000000001</v>
      </c>
      <c r="W24" s="96">
        <v>6.2</v>
      </c>
      <c r="X24" s="96">
        <f t="shared" si="1"/>
        <v>6.2</v>
      </c>
      <c r="Y24" s="97" t="s">
        <v>168</v>
      </c>
      <c r="Z24" s="154">
        <v>1047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17582814</v>
      </c>
      <c r="AJ24" s="45">
        <f t="shared" si="7"/>
        <v>1182</v>
      </c>
      <c r="AK24" s="48">
        <f t="shared" si="9"/>
        <v>227.08933717579251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43302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4</v>
      </c>
      <c r="G25" s="118">
        <v>74</v>
      </c>
      <c r="H25" s="150">
        <f t="shared" si="0"/>
        <v>52.112676056338032</v>
      </c>
      <c r="I25" s="150">
        <v>73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102293130</v>
      </c>
      <c r="T25" s="45">
        <f t="shared" si="4"/>
        <v>5246</v>
      </c>
      <c r="U25" s="46">
        <f>T25*24/1000</f>
        <v>125.904</v>
      </c>
      <c r="V25" s="46">
        <f t="shared" si="6"/>
        <v>5.2460000000000004</v>
      </c>
      <c r="W25" s="96">
        <v>5.6</v>
      </c>
      <c r="X25" s="96">
        <f t="shared" si="1"/>
        <v>5.6</v>
      </c>
      <c r="Y25" s="97" t="s">
        <v>168</v>
      </c>
      <c r="Z25" s="154">
        <v>1057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17584004</v>
      </c>
      <c r="AJ25" s="45">
        <f t="shared" si="7"/>
        <v>1190</v>
      </c>
      <c r="AK25" s="48">
        <f t="shared" si="9"/>
        <v>226.83949675943575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43302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4</v>
      </c>
      <c r="G26" s="118">
        <v>74</v>
      </c>
      <c r="H26" s="150">
        <f t="shared" si="0"/>
        <v>52.112676056338032</v>
      </c>
      <c r="I26" s="150">
        <v>73</v>
      </c>
      <c r="J26" s="41" t="s">
        <v>88</v>
      </c>
      <c r="K26" s="41">
        <f t="shared" si="3"/>
        <v>50.70422535211268</v>
      </c>
      <c r="L26" s="42">
        <f t="shared" si="10"/>
        <v>52.112676056338032</v>
      </c>
      <c r="M26" s="41">
        <f t="shared" ref="M26:M36" si="12">L26+(6/1.42)</f>
        <v>56.338028169014088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102298351</v>
      </c>
      <c r="T26" s="45">
        <f t="shared" si="4"/>
        <v>5221</v>
      </c>
      <c r="U26" s="46">
        <f t="shared" si="5"/>
        <v>125.304</v>
      </c>
      <c r="V26" s="46">
        <f t="shared" si="6"/>
        <v>5.2210000000000001</v>
      </c>
      <c r="W26" s="96">
        <v>4.9000000000000004</v>
      </c>
      <c r="X26" s="96">
        <f t="shared" si="1"/>
        <v>4.9000000000000004</v>
      </c>
      <c r="Y26" s="97" t="s">
        <v>168</v>
      </c>
      <c r="Z26" s="154">
        <v>1037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17585215</v>
      </c>
      <c r="AJ26" s="45">
        <f t="shared" si="7"/>
        <v>1211</v>
      </c>
      <c r="AK26" s="48">
        <f t="shared" si="9"/>
        <v>231.94790270063206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1.05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43302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3</v>
      </c>
      <c r="G27" s="118">
        <v>74</v>
      </c>
      <c r="H27" s="150">
        <f t="shared" si="0"/>
        <v>52.112676056338032</v>
      </c>
      <c r="I27" s="150">
        <v>72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102303671</v>
      </c>
      <c r="T27" s="45">
        <f t="shared" si="4"/>
        <v>5320</v>
      </c>
      <c r="U27" s="46">
        <f t="shared" si="5"/>
        <v>127.68</v>
      </c>
      <c r="V27" s="46">
        <f t="shared" si="6"/>
        <v>5.32</v>
      </c>
      <c r="W27" s="96">
        <v>4.3</v>
      </c>
      <c r="X27" s="96">
        <f t="shared" si="1"/>
        <v>4.3</v>
      </c>
      <c r="Y27" s="97" t="s">
        <v>168</v>
      </c>
      <c r="Z27" s="154">
        <v>1037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17586395</v>
      </c>
      <c r="AJ27" s="45">
        <f t="shared" si="7"/>
        <v>1180</v>
      </c>
      <c r="AK27" s="48">
        <f t="shared" si="9"/>
        <v>221.80451127819546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43302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3</v>
      </c>
      <c r="G28" s="118">
        <v>76</v>
      </c>
      <c r="H28" s="150">
        <f t="shared" si="0"/>
        <v>53.521126760563384</v>
      </c>
      <c r="I28" s="150">
        <v>72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102309196</v>
      </c>
      <c r="T28" s="45">
        <f t="shared" si="4"/>
        <v>5525</v>
      </c>
      <c r="U28" s="46">
        <f t="shared" si="5"/>
        <v>132.6</v>
      </c>
      <c r="V28" s="46">
        <f t="shared" si="6"/>
        <v>5.5250000000000004</v>
      </c>
      <c r="W28" s="96">
        <v>3.7</v>
      </c>
      <c r="X28" s="96">
        <f t="shared" si="1"/>
        <v>3.7</v>
      </c>
      <c r="Y28" s="97" t="s">
        <v>168</v>
      </c>
      <c r="Z28" s="154">
        <v>1026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17587548</v>
      </c>
      <c r="AJ28" s="45">
        <f>IF(ISBLANK(AI28),"-",AI28-AI27)</f>
        <v>1153</v>
      </c>
      <c r="AK28" s="48">
        <f t="shared" si="9"/>
        <v>208.68778280542986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43302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2</v>
      </c>
      <c r="G29" s="118">
        <v>74</v>
      </c>
      <c r="H29" s="150">
        <f t="shared" si="0"/>
        <v>52.112676056338032</v>
      </c>
      <c r="I29" s="150">
        <v>71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102314849</v>
      </c>
      <c r="T29" s="45">
        <f t="shared" si="4"/>
        <v>5653</v>
      </c>
      <c r="U29" s="46">
        <f t="shared" si="5"/>
        <v>135.672</v>
      </c>
      <c r="V29" s="46">
        <f t="shared" si="6"/>
        <v>5.6529999999999996</v>
      </c>
      <c r="W29" s="96">
        <v>3.3</v>
      </c>
      <c r="X29" s="96">
        <f t="shared" si="1"/>
        <v>3.3</v>
      </c>
      <c r="Y29" s="97" t="s">
        <v>168</v>
      </c>
      <c r="Z29" s="154">
        <v>1026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17588724</v>
      </c>
      <c r="AJ29" s="45">
        <f t="shared" si="7"/>
        <v>1176</v>
      </c>
      <c r="AK29" s="48">
        <f>AJ28/V29</f>
        <v>203.96249778878473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43302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2</v>
      </c>
      <c r="G30" s="118">
        <v>75</v>
      </c>
      <c r="H30" s="150">
        <f t="shared" si="0"/>
        <v>52.816901408450704</v>
      </c>
      <c r="I30" s="150">
        <v>71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102320899</v>
      </c>
      <c r="T30" s="45">
        <f t="shared" si="4"/>
        <v>6050</v>
      </c>
      <c r="U30" s="46">
        <f t="shared" si="5"/>
        <v>145.19999999999999</v>
      </c>
      <c r="V30" s="46">
        <f t="shared" si="6"/>
        <v>6.05</v>
      </c>
      <c r="W30" s="96">
        <v>2.9</v>
      </c>
      <c r="X30" s="96">
        <f t="shared" si="1"/>
        <v>2.9</v>
      </c>
      <c r="Y30" s="97" t="s">
        <v>168</v>
      </c>
      <c r="Z30" s="154">
        <v>1026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17589898</v>
      </c>
      <c r="AJ30" s="45">
        <f t="shared" si="7"/>
        <v>1174</v>
      </c>
      <c r="AK30" s="48">
        <f>AJ29/V30</f>
        <v>194.38016528925621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1.06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43302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1</v>
      </c>
      <c r="G31" s="118">
        <v>74</v>
      </c>
      <c r="H31" s="150">
        <f t="shared" si="0"/>
        <v>52.112676056338032</v>
      </c>
      <c r="I31" s="150">
        <v>70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102326540</v>
      </c>
      <c r="T31" s="45">
        <f t="shared" si="4"/>
        <v>5641</v>
      </c>
      <c r="U31" s="46">
        <f t="shared" si="5"/>
        <v>135.38399999999999</v>
      </c>
      <c r="V31" s="46">
        <f t="shared" si="6"/>
        <v>5.641</v>
      </c>
      <c r="W31" s="96">
        <v>2.5</v>
      </c>
      <c r="X31" s="96">
        <f t="shared" si="1"/>
        <v>2.5</v>
      </c>
      <c r="Y31" s="97" t="s">
        <v>168</v>
      </c>
      <c r="Z31" s="154">
        <v>1026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17591004</v>
      </c>
      <c r="AJ31" s="45">
        <f t="shared" si="7"/>
        <v>1106</v>
      </c>
      <c r="AK31" s="48">
        <f t="shared" si="9"/>
        <v>196.0645275660344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43302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1</v>
      </c>
      <c r="G32" s="118">
        <v>74</v>
      </c>
      <c r="H32" s="150">
        <f t="shared" si="0"/>
        <v>52.112676056338032</v>
      </c>
      <c r="I32" s="150">
        <v>70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102332485</v>
      </c>
      <c r="T32" s="45">
        <f t="shared" si="4"/>
        <v>5945</v>
      </c>
      <c r="U32" s="46">
        <f t="shared" si="5"/>
        <v>142.68</v>
      </c>
      <c r="V32" s="46">
        <f t="shared" si="6"/>
        <v>5.9450000000000003</v>
      </c>
      <c r="W32" s="96">
        <v>2.1</v>
      </c>
      <c r="X32" s="96">
        <f t="shared" si="1"/>
        <v>2.1</v>
      </c>
      <c r="Y32" s="97" t="s">
        <v>168</v>
      </c>
      <c r="Z32" s="154">
        <v>1026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17592206</v>
      </c>
      <c r="AJ32" s="45">
        <f t="shared" si="7"/>
        <v>1202</v>
      </c>
      <c r="AK32" s="48">
        <f t="shared" si="9"/>
        <v>202.18671152228762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43302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0</v>
      </c>
      <c r="G33" s="118">
        <v>75</v>
      </c>
      <c r="H33" s="150">
        <f t="shared" si="0"/>
        <v>52.816901408450704</v>
      </c>
      <c r="I33" s="150">
        <v>69</v>
      </c>
      <c r="J33" s="41" t="s">
        <v>88</v>
      </c>
      <c r="K33" s="41">
        <f t="shared" si="3"/>
        <v>49.295774647887328</v>
      </c>
      <c r="L33" s="42">
        <f t="shared" si="13"/>
        <v>50.70422535211268</v>
      </c>
      <c r="M33" s="41">
        <f t="shared" si="12"/>
        <v>54.929577464788736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102338117</v>
      </c>
      <c r="T33" s="45">
        <f t="shared" si="4"/>
        <v>5632</v>
      </c>
      <c r="U33" s="46">
        <f t="shared" si="5"/>
        <v>135.16800000000001</v>
      </c>
      <c r="V33" s="46">
        <f t="shared" si="6"/>
        <v>5.6319999999999997</v>
      </c>
      <c r="W33" s="96">
        <v>1.7</v>
      </c>
      <c r="X33" s="96">
        <f t="shared" si="1"/>
        <v>1.7</v>
      </c>
      <c r="Y33" s="97" t="s">
        <v>168</v>
      </c>
      <c r="Z33" s="154">
        <v>1026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17593329</v>
      </c>
      <c r="AJ33" s="45">
        <f t="shared" si="7"/>
        <v>1123</v>
      </c>
      <c r="AK33" s="48">
        <f t="shared" si="9"/>
        <v>199.39630681818184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43302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1</v>
      </c>
      <c r="G34" s="118">
        <v>76</v>
      </c>
      <c r="H34" s="150">
        <f t="shared" si="0"/>
        <v>53.521126760563384</v>
      </c>
      <c r="I34" s="150">
        <v>70</v>
      </c>
      <c r="J34" s="41" t="s">
        <v>88</v>
      </c>
      <c r="K34" s="41">
        <f t="shared" si="3"/>
        <v>50</v>
      </c>
      <c r="L34" s="42">
        <f t="shared" si="13"/>
        <v>51.408450704225352</v>
      </c>
      <c r="M34" s="41">
        <f t="shared" si="12"/>
        <v>55.633802816901408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102343718</v>
      </c>
      <c r="T34" s="45">
        <f t="shared" si="4"/>
        <v>5601</v>
      </c>
      <c r="U34" s="46">
        <f t="shared" si="5"/>
        <v>134.42400000000001</v>
      </c>
      <c r="V34" s="46">
        <f t="shared" si="6"/>
        <v>5.601</v>
      </c>
      <c r="W34" s="96">
        <v>1.5</v>
      </c>
      <c r="X34" s="96">
        <f t="shared" si="1"/>
        <v>1.5</v>
      </c>
      <c r="Y34" s="97" t="s">
        <v>168</v>
      </c>
      <c r="Z34" s="154">
        <v>1025</v>
      </c>
      <c r="AA34" s="154">
        <v>0</v>
      </c>
      <c r="AB34" s="154">
        <v>1188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17594434</v>
      </c>
      <c r="AJ34" s="45">
        <f t="shared" si="7"/>
        <v>1105</v>
      </c>
      <c r="AK34" s="48">
        <f t="shared" si="9"/>
        <v>197.2861988930548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43302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1</v>
      </c>
      <c r="G35" s="118">
        <v>71</v>
      </c>
      <c r="H35" s="150">
        <f t="shared" si="0"/>
        <v>50</v>
      </c>
      <c r="I35" s="150">
        <v>74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102348874</v>
      </c>
      <c r="T35" s="45">
        <f t="shared" si="4"/>
        <v>5156</v>
      </c>
      <c r="U35" s="46">
        <f t="shared" si="5"/>
        <v>123.744</v>
      </c>
      <c r="V35" s="46">
        <f t="shared" si="6"/>
        <v>5.1559999999999997</v>
      </c>
      <c r="W35" s="96">
        <v>2.2999999999999998</v>
      </c>
      <c r="X35" s="96">
        <f t="shared" si="1"/>
        <v>2.2999999999999998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17595556</v>
      </c>
      <c r="AJ35" s="45">
        <f t="shared" si="7"/>
        <v>1122</v>
      </c>
      <c r="AK35" s="48">
        <f t="shared" si="9"/>
        <v>217.61055081458497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43302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3</v>
      </c>
      <c r="G36" s="118">
        <v>73</v>
      </c>
      <c r="H36" s="150">
        <f t="shared" si="0"/>
        <v>51.408450704225352</v>
      </c>
      <c r="I36" s="150">
        <v>74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102353864</v>
      </c>
      <c r="T36" s="45">
        <f t="shared" si="4"/>
        <v>4990</v>
      </c>
      <c r="U36" s="46">
        <f t="shared" si="5"/>
        <v>119.76</v>
      </c>
      <c r="V36" s="46">
        <f t="shared" si="6"/>
        <v>4.99</v>
      </c>
      <c r="W36" s="96">
        <v>3.2</v>
      </c>
      <c r="X36" s="96">
        <f t="shared" si="1"/>
        <v>3.2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17596632</v>
      </c>
      <c r="AJ36" s="45">
        <f t="shared" si="7"/>
        <v>1076</v>
      </c>
      <c r="AK36" s="48">
        <f t="shared" si="9"/>
        <v>215.63126252505009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128116</v>
      </c>
      <c r="U37" s="46">
        <f t="shared" si="5"/>
        <v>3074.7840000000001</v>
      </c>
      <c r="V37" s="46">
        <f t="shared" si="6"/>
        <v>128.11600000000001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27333</v>
      </c>
      <c r="AK37" s="61">
        <f>$AJ$37/$V37</f>
        <v>213.34571794311404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1.0166666666666666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214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209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200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250</v>
      </c>
      <c r="C52" s="184"/>
      <c r="D52" s="184"/>
      <c r="E52" s="184"/>
      <c r="F52" s="130"/>
      <c r="G52" s="130"/>
      <c r="H52" s="156"/>
      <c r="I52" s="156"/>
      <c r="J52" s="156"/>
      <c r="K52" s="156"/>
      <c r="L52" s="156"/>
      <c r="M52" s="156"/>
      <c r="N52" s="131"/>
      <c r="O52" s="131"/>
      <c r="P52" s="131"/>
      <c r="Q52" s="114"/>
      <c r="R52" s="104"/>
      <c r="S52" s="104"/>
      <c r="T52" s="104"/>
      <c r="U52" s="114"/>
      <c r="V52" s="114"/>
      <c r="W52" s="114"/>
      <c r="X52" s="94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84"/>
      <c r="D53" s="184"/>
      <c r="E53" s="184"/>
      <c r="F53" s="130"/>
      <c r="G53" s="130"/>
      <c r="H53" s="156"/>
      <c r="I53" s="156"/>
      <c r="J53" s="156"/>
      <c r="K53" s="156"/>
      <c r="L53" s="156"/>
      <c r="M53" s="156"/>
      <c r="N53" s="131"/>
      <c r="O53" s="131"/>
      <c r="P53" s="131"/>
      <c r="Q53" s="114"/>
      <c r="R53" s="104"/>
      <c r="S53" s="104"/>
      <c r="T53" s="104"/>
      <c r="U53" s="114"/>
      <c r="V53" s="114"/>
      <c r="W53" s="114"/>
      <c r="X53" s="94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84"/>
      <c r="D54" s="184"/>
      <c r="E54" s="184"/>
      <c r="F54" s="130"/>
      <c r="G54" s="130"/>
      <c r="H54" s="156"/>
      <c r="I54" s="156"/>
      <c r="J54" s="156"/>
      <c r="K54" s="156"/>
      <c r="L54" s="156"/>
      <c r="M54" s="156"/>
      <c r="N54" s="131"/>
      <c r="O54" s="131"/>
      <c r="P54" s="131"/>
      <c r="Q54" s="114"/>
      <c r="R54" s="104"/>
      <c r="S54" s="104"/>
      <c r="T54" s="104"/>
      <c r="U54" s="114"/>
      <c r="V54" s="114"/>
      <c r="W54" s="114"/>
      <c r="X54" s="94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66"/>
      <c r="D55" s="166"/>
      <c r="E55" s="149"/>
      <c r="F55" s="149"/>
      <c r="G55" s="149"/>
      <c r="H55" s="149"/>
      <c r="I55" s="149"/>
      <c r="J55" s="149"/>
      <c r="K55" s="162"/>
      <c r="L55" s="143"/>
      <c r="M55" s="105"/>
      <c r="N55" s="105"/>
      <c r="O55" s="105"/>
      <c r="P55" s="105"/>
      <c r="Q55" s="105"/>
      <c r="R55" s="105"/>
      <c r="S55" s="105"/>
      <c r="T55" s="105"/>
      <c r="U55" s="105"/>
      <c r="V55" s="147"/>
      <c r="W55" s="147"/>
      <c r="X55" s="148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66"/>
      <c r="D56" s="166"/>
      <c r="E56" s="115"/>
      <c r="F56" s="115"/>
      <c r="G56" s="115"/>
      <c r="H56" s="115"/>
      <c r="I56" s="149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245</v>
      </c>
      <c r="C57" s="166"/>
      <c r="D57" s="166"/>
      <c r="E57" s="149"/>
      <c r="F57" s="149"/>
      <c r="G57" s="149"/>
      <c r="H57" s="149"/>
      <c r="I57" s="149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66"/>
      <c r="D58" s="170"/>
      <c r="E58" s="170"/>
      <c r="F58" s="114"/>
      <c r="G58" s="114"/>
      <c r="H58" s="104"/>
      <c r="I58" s="104"/>
      <c r="J58" s="104"/>
      <c r="K58" s="104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47"/>
      <c r="W58" s="147"/>
      <c r="X58" s="148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177</v>
      </c>
      <c r="C59" s="149"/>
      <c r="D59" s="107"/>
      <c r="E59" s="107"/>
      <c r="F59" s="114"/>
      <c r="G59" s="114"/>
      <c r="H59" s="104"/>
      <c r="I59" s="104"/>
      <c r="J59" s="104"/>
      <c r="K59" s="104"/>
      <c r="L59" s="105"/>
      <c r="M59" s="105"/>
      <c r="N59" s="105"/>
      <c r="O59" s="105"/>
      <c r="P59" s="105"/>
      <c r="Q59" s="105"/>
      <c r="R59" s="105"/>
      <c r="S59" s="105"/>
      <c r="T59" s="105"/>
      <c r="U59" s="105"/>
      <c r="V59" s="147"/>
      <c r="W59" s="147"/>
      <c r="X59" s="148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/>
      <c r="C60" s="115"/>
      <c r="D60" s="100"/>
      <c r="E60" s="100"/>
      <c r="F60" s="115"/>
      <c r="G60" s="115"/>
      <c r="H60" s="9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15"/>
      <c r="D61" s="162"/>
      <c r="E61" s="162"/>
      <c r="F61" s="162"/>
      <c r="G61" s="162"/>
      <c r="H61" s="162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Y61" s="89"/>
      <c r="Z61" s="89"/>
      <c r="AA61" s="89"/>
      <c r="AB61" s="73"/>
      <c r="AC61" s="89"/>
      <c r="AD61" s="89"/>
      <c r="AE61" s="89"/>
      <c r="AF61" s="89"/>
      <c r="AG61" s="89"/>
      <c r="AO61" s="90"/>
      <c r="AP61" s="90"/>
      <c r="AQ61" s="90"/>
      <c r="AR61" s="90"/>
      <c r="AS61" s="90"/>
      <c r="AT61" s="90"/>
      <c r="AU61" s="90"/>
      <c r="AV61" s="91"/>
      <c r="AY61" s="88"/>
      <c r="AZ61" s="86"/>
      <c r="BA61" s="86"/>
      <c r="BB61" s="86"/>
    </row>
    <row r="62" spans="1:54" x14ac:dyDescent="0.35">
      <c r="B62" s="149"/>
      <c r="C62" s="115"/>
      <c r="D62" s="100"/>
      <c r="E62" s="100"/>
      <c r="F62" s="115"/>
      <c r="G62" s="115"/>
      <c r="H62" s="92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Y62" s="89"/>
      <c r="Z62" s="89"/>
      <c r="AA62" s="89"/>
      <c r="AB62" s="73"/>
      <c r="AC62" s="89"/>
      <c r="AD62" s="89"/>
      <c r="AE62" s="89"/>
      <c r="AF62" s="89"/>
      <c r="AG62" s="89"/>
      <c r="AO62" s="90"/>
      <c r="AP62" s="90"/>
      <c r="AQ62" s="90"/>
      <c r="AR62" s="90"/>
      <c r="AS62" s="90"/>
      <c r="AT62" s="90"/>
      <c r="AU62" s="90"/>
      <c r="AV62" s="91"/>
      <c r="AY62" s="88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AV63" s="86"/>
      <c r="AW63" s="86"/>
      <c r="AX63" s="86"/>
      <c r="AY63" s="86"/>
      <c r="AZ63" s="86"/>
      <c r="BA63" s="86"/>
      <c r="BB63" s="86"/>
    </row>
    <row r="64" spans="1:54" x14ac:dyDescent="0.35">
      <c r="B64" s="158"/>
      <c r="C64" s="115"/>
      <c r="D64" s="162"/>
      <c r="E64" s="162"/>
      <c r="F64" s="162"/>
      <c r="G64" s="162"/>
      <c r="H64" s="162"/>
      <c r="I64" s="161"/>
      <c r="J64" s="161"/>
      <c r="K64" s="161"/>
      <c r="L64" s="161"/>
      <c r="M64" s="161"/>
      <c r="N64" s="161"/>
      <c r="O64" s="161"/>
      <c r="P64" s="161"/>
      <c r="Q64" s="161"/>
      <c r="R64" s="161"/>
      <c r="S64" s="161"/>
      <c r="T64" s="161"/>
      <c r="U64" s="161"/>
      <c r="V64" s="161"/>
      <c r="W64" s="161"/>
      <c r="X64" s="161"/>
      <c r="AV64" s="86"/>
      <c r="AW64" s="86"/>
      <c r="AX64" s="86"/>
      <c r="AY64" s="86"/>
      <c r="AZ64" s="86"/>
      <c r="BA64" s="86"/>
      <c r="BB64" s="86"/>
    </row>
    <row r="65" spans="2:54" x14ac:dyDescent="0.35">
      <c r="B65" s="132"/>
      <c r="C65" s="115"/>
      <c r="D65" s="162"/>
      <c r="E65" s="162"/>
      <c r="F65" s="162"/>
      <c r="G65" s="162"/>
      <c r="H65" s="162"/>
      <c r="I65" s="161"/>
      <c r="J65" s="161"/>
      <c r="K65" s="161"/>
      <c r="L65" s="161"/>
      <c r="M65" s="161"/>
      <c r="N65" s="161"/>
      <c r="O65" s="161"/>
      <c r="P65" s="161"/>
      <c r="Q65" s="161"/>
      <c r="R65" s="161"/>
      <c r="S65" s="161"/>
      <c r="T65" s="161"/>
      <c r="U65" s="161"/>
      <c r="V65" s="161"/>
      <c r="W65" s="161"/>
      <c r="X65" s="161"/>
      <c r="AV65" s="86"/>
      <c r="AW65" s="86"/>
      <c r="AX65" s="86"/>
      <c r="AY65" s="86"/>
      <c r="AZ65" s="86"/>
      <c r="BA65" s="86"/>
      <c r="BB65" s="86"/>
    </row>
    <row r="66" spans="2:54" x14ac:dyDescent="0.35">
      <c r="Q66" s="12"/>
      <c r="R66" s="87"/>
      <c r="S66" s="87"/>
      <c r="T66" s="87"/>
      <c r="U66" s="87"/>
      <c r="AV66" s="86"/>
      <c r="AW66" s="86"/>
      <c r="AX66" s="86"/>
      <c r="AY66" s="86"/>
      <c r="AZ66" s="86"/>
      <c r="BA66" s="86"/>
      <c r="BB66" s="86"/>
    </row>
    <row r="67" spans="2:54" x14ac:dyDescent="0.35">
      <c r="Q67" s="12"/>
      <c r="R67" s="87"/>
      <c r="S67" s="87"/>
      <c r="T67" s="87"/>
      <c r="U67" s="87"/>
      <c r="V67" s="87"/>
      <c r="AV67" s="86"/>
      <c r="AW67" s="86"/>
      <c r="AX67" s="86"/>
      <c r="AY67" s="86"/>
      <c r="AZ67" s="86"/>
      <c r="BA67" s="86"/>
      <c r="BB67" s="86"/>
    </row>
    <row r="68" spans="2:54" x14ac:dyDescent="0.35">
      <c r="Q68" s="12"/>
      <c r="R68" s="87"/>
      <c r="S68" s="87"/>
      <c r="T68" s="87"/>
      <c r="U68" s="87"/>
      <c r="V68" s="87"/>
      <c r="AV68" s="86"/>
      <c r="AW68" s="86"/>
      <c r="AX68" s="86"/>
      <c r="AY68" s="86"/>
      <c r="AZ68" s="86"/>
      <c r="BA68" s="86"/>
      <c r="BB68" s="86"/>
    </row>
    <row r="69" spans="2:54" x14ac:dyDescent="0.35">
      <c r="Q69" s="12"/>
      <c r="R69" s="87"/>
      <c r="V69" s="87"/>
      <c r="AV69" s="86"/>
      <c r="AW69" s="86"/>
      <c r="AX69" s="86"/>
      <c r="AY69" s="86"/>
      <c r="AZ69" s="86"/>
      <c r="BA69" s="86"/>
      <c r="BB69" s="86"/>
    </row>
    <row r="70" spans="2:54" x14ac:dyDescent="0.35">
      <c r="Q70" s="87"/>
      <c r="S70" s="87"/>
      <c r="T70" s="87"/>
      <c r="U70" s="87"/>
      <c r="AV70" s="86"/>
      <c r="AW70" s="86"/>
      <c r="AX70" s="86"/>
      <c r="AY70" s="86"/>
      <c r="AZ70" s="86"/>
      <c r="BA70" s="86"/>
      <c r="BB70" s="86"/>
    </row>
    <row r="71" spans="2:54" x14ac:dyDescent="0.35">
      <c r="Q71" s="12"/>
      <c r="R71" s="87"/>
      <c r="S71" s="87"/>
      <c r="T71" s="87"/>
      <c r="U71" s="87"/>
      <c r="V71" s="87"/>
      <c r="AV71" s="86"/>
      <c r="AW71" s="86"/>
      <c r="AX71" s="86"/>
      <c r="AY71" s="86"/>
      <c r="AZ71" s="86"/>
      <c r="BA71" s="86"/>
      <c r="BB71" s="86"/>
    </row>
    <row r="72" spans="2:54" x14ac:dyDescent="0.35">
      <c r="Q72" s="12"/>
      <c r="R72" s="87"/>
      <c r="S72" s="87"/>
      <c r="T72" s="87"/>
      <c r="U72" s="87"/>
      <c r="V72" s="87"/>
      <c r="W72" s="87"/>
      <c r="AV72" s="86"/>
      <c r="AW72" s="86"/>
      <c r="AX72" s="86"/>
      <c r="AY72" s="86"/>
      <c r="AZ72" s="86"/>
      <c r="BA72" s="86"/>
      <c r="BB72" s="86"/>
    </row>
    <row r="73" spans="2:54" x14ac:dyDescent="0.35">
      <c r="Q73" s="12"/>
      <c r="R73" s="87"/>
      <c r="V73" s="87"/>
      <c r="W73" s="87"/>
      <c r="AV73" s="86"/>
      <c r="AW73" s="86"/>
      <c r="AX73" s="86"/>
      <c r="AY73" s="86"/>
      <c r="AZ73" s="86"/>
      <c r="BA73" s="86"/>
      <c r="BB73" s="86"/>
    </row>
    <row r="74" spans="2:54" x14ac:dyDescent="0.35">
      <c r="BB74" s="86"/>
    </row>
    <row r="85" spans="48:54" x14ac:dyDescent="0.35">
      <c r="AV85" s="86"/>
      <c r="AW85" s="86"/>
      <c r="AX85" s="86"/>
      <c r="AY85" s="86"/>
      <c r="AZ85" s="86"/>
      <c r="BA85" s="86"/>
    </row>
    <row r="86" spans="48:54" x14ac:dyDescent="0.35">
      <c r="BB86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2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60:H65" name="Range2_2_12_1_3_1_2_1_1_1_1_2_1_1_1_1_1_1_1_1_1_1_1"/>
    <protectedRange sqref="F60:F65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58:H59" name="Range2_12_5_1_1_1_2_2_1_1_1_1_1_1_1_1_1_1_1_2_1_1_1_2_1_1_1_1_1_1_1_1_1_1_1_1_1_1_1_1_2_1_1_1_1_1_1_1_1_1_2_1_1_3_1_1_1_3_1_1_1_1_1_1_1_1_1_1_1_1_1_1_1_1_1_1_1_1_1_1_2_1_1_1_1_1_1_1_1_1_1_1_2_2_1_2_1_1_1_1_1_1_1_1_1_1_1_1_1"/>
    <protectedRange sqref="U55:V65" name="Range2_12_5_1_1_2_1_1_1_2_1_1_1_1_1_1_1_1_1_1_1_1_1"/>
    <protectedRange sqref="P55:T65" name="Range2_12_1_6_1_1_2_1_1_1_2_1_1_1_1_1_1_1_1_1_1_1_1_1"/>
    <protectedRange sqref="N55:O65" name="Range2_2_12_1_7_1_1_3_1_1_1_2_1_1_1_1_1_1_1_1_1_1_1_1_1"/>
    <protectedRange sqref="M55 L56:M65" name="Range2_2_12_1_4_1_1_1_1_1_1_1_1_1_1_1_1_1_1_1_2_1_1_1_2_1_1_1_1_1_1_1_1_1_1_1_1_1"/>
    <protectedRange sqref="K56:K65" name="Range2_2_12_1_7_1_1_2_2_1_2_2_1_1_1_2_1_1_1_1_1_1_1_1_1_1_1_1_1"/>
    <protectedRange sqref="J56:J57 I58:J65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3:W3" name="Range1_16_1_1_1_1_1_1_2_2_2_2_2_2_2_2_2_2_2_2_2_2_2_2_2_2_2_2_2_2_2_1_2_2_2_2_2_2_2_2_2_2_3_2_2_2_2_2_2_2_2_2_2_1_1_1_1_2_2_1_1_1_1_1_1_1_1_1_1_1_1_1_1_3_1_2_1_1_1_1_1_1_2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R4:W4" name="Range1_16_1_1_1_1_1_1_2_2_2_2_2_2_2_2_2_2_2_2_2_2_2_2_2_2_2_2_2_2_2_1_2_2_2_2_2_2_2_2_2_2_3_2_2_2_2_2_2_2_2_2_2_1_1_1_1_2_2_1_1_1_1_1_1_1_1_1_1_1_1_1_1_3_1_2_1_1_1_1_1_2_2_2_2_1_1_1_1_2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86" priority="5" operator="containsText" text="N/A">
      <formula>NOT(ISERROR(SEARCH("N/A",Z13)))</formula>
    </cfRule>
    <cfRule type="cellIs" dxfId="185" priority="17" operator="equal">
      <formula>0</formula>
    </cfRule>
  </conditionalFormatting>
  <conditionalFormatting sqref="Z13:AG36">
    <cfRule type="cellIs" dxfId="184" priority="16" operator="greaterThanOrEqual">
      <formula>1185</formula>
    </cfRule>
  </conditionalFormatting>
  <conditionalFormatting sqref="Z13:AG36">
    <cfRule type="cellIs" dxfId="183" priority="15" operator="between">
      <formula>0.1</formula>
      <formula>1184</formula>
    </cfRule>
  </conditionalFormatting>
  <conditionalFormatting sqref="Z8:Z9 AT13:AT36 AL37:AQ37 AL13:AR36">
    <cfRule type="cellIs" dxfId="182" priority="14" operator="equal">
      <formula>0</formula>
    </cfRule>
  </conditionalFormatting>
  <conditionalFormatting sqref="Z8:Z9 AT13:AT36 AL37:AQ37 AL13:AR36">
    <cfRule type="cellIs" dxfId="181" priority="13" operator="greaterThan">
      <formula>1179</formula>
    </cfRule>
  </conditionalFormatting>
  <conditionalFormatting sqref="Z8:Z9 AT13:AT36 AL37:AQ37 AL13:AR36">
    <cfRule type="cellIs" dxfId="180" priority="12" operator="greaterThan">
      <formula>99</formula>
    </cfRule>
  </conditionalFormatting>
  <conditionalFormatting sqref="Z8:Z9 AT13:AT36 AL37:AQ37 AL13:AR36">
    <cfRule type="cellIs" dxfId="179" priority="11" operator="greaterThan">
      <formula>0.99</formula>
    </cfRule>
  </conditionalFormatting>
  <conditionalFormatting sqref="AD8:AD9">
    <cfRule type="cellIs" dxfId="178" priority="10" operator="equal">
      <formula>0</formula>
    </cfRule>
  </conditionalFormatting>
  <conditionalFormatting sqref="AD8:AD9">
    <cfRule type="cellIs" dxfId="177" priority="9" operator="greaterThan">
      <formula>1179</formula>
    </cfRule>
  </conditionalFormatting>
  <conditionalFormatting sqref="AD8:AD9">
    <cfRule type="cellIs" dxfId="176" priority="8" operator="greaterThan">
      <formula>99</formula>
    </cfRule>
  </conditionalFormatting>
  <conditionalFormatting sqref="AD8:AD9">
    <cfRule type="cellIs" dxfId="175" priority="7" operator="greaterThan">
      <formula>0.99</formula>
    </cfRule>
  </conditionalFormatting>
  <conditionalFormatting sqref="AK13:AK36">
    <cfRule type="cellIs" dxfId="174" priority="6" operator="greaterThan">
      <formula>$AK$8</formula>
    </cfRule>
  </conditionalFormatting>
  <conditionalFormatting sqref="AS13:AS36">
    <cfRule type="containsText" dxfId="173" priority="1" operator="containsText" text="N/A">
      <formula>NOT(ISERROR(SEARCH("N/A",AS13)))</formula>
    </cfRule>
    <cfRule type="cellIs" dxfId="172" priority="4" operator="equal">
      <formula>0</formula>
    </cfRule>
  </conditionalFormatting>
  <conditionalFormatting sqref="AS13:AS36">
    <cfRule type="cellIs" dxfId="171" priority="3" operator="greaterThanOrEqual">
      <formula>1185</formula>
    </cfRule>
  </conditionalFormatting>
  <conditionalFormatting sqref="AS13:AS36">
    <cfRule type="cellIs" dxfId="170" priority="2" operator="between">
      <formula>0.1</formula>
      <formula>1184</formula>
    </cfRule>
  </conditionalFormatting>
  <dataValidations count="4">
    <dataValidation type="list" allowBlank="1" showInputMessage="1" showErrorMessage="1" sqref="AY33:AZ33" xr:uid="{00000000-0002-0000-1400-000000000000}">
      <formula1>$AY$26:$AY$30</formula1>
    </dataValidation>
    <dataValidation type="list" allowBlank="1" showInputMessage="1" showErrorMessage="1" sqref="AS8:AT9 P11:P12 N11:N12 D8:E9 Q8:V9" xr:uid="{00000000-0002-0000-1400-000001000000}">
      <formula1>#REF!</formula1>
    </dataValidation>
    <dataValidation type="list" allowBlank="1" showInputMessage="1" showErrorMessage="1" sqref="J13:J36" xr:uid="{00000000-0002-0000-1400-000002000000}">
      <formula1>$AY$11:$AY$21</formula1>
    </dataValidation>
    <dataValidation type="list" allowBlank="1" showInputMessage="1" showErrorMessage="1" sqref="R3:R5" xr:uid="{00000000-0002-0000-1400-000003000000}">
      <formula1>$BB$11:$BB$42</formula1>
    </dataValidation>
  </dataValidations>
  <hyperlinks>
    <hyperlink ref="J10:J11" location="'1'!AH8" display="Plant Status" xr:uid="{00000000-0004-0000-1400-000000000000}"/>
  </hyperlinks>
  <pageMargins left="0.7" right="0.7" top="0.75" bottom="0.75" header="0.3" footer="0.3"/>
  <pageSetup paperSize="9" orientation="portrait" horizont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7030A0"/>
  </sheetPr>
  <dimension ref="A2:BB84"/>
  <sheetViews>
    <sheetView topLeftCell="A37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135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231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69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43303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27220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1"/>
      <c r="K9" s="262"/>
      <c r="L9" s="263"/>
      <c r="M9" s="264"/>
      <c r="N9" s="29"/>
      <c r="O9" s="29"/>
      <c r="P9" s="29"/>
      <c r="Q9" s="121"/>
      <c r="R9" s="121"/>
      <c r="S9" s="121"/>
      <c r="T9" s="122"/>
      <c r="U9" s="123"/>
      <c r="V9" s="124"/>
      <c r="W9" s="262"/>
      <c r="X9" s="264"/>
      <c r="Y9" s="30"/>
      <c r="Z9" s="265"/>
      <c r="AA9" s="125"/>
      <c r="AB9" s="126"/>
      <c r="AC9" s="126"/>
      <c r="AD9" s="125"/>
      <c r="AE9" s="125"/>
      <c r="AF9" s="127"/>
      <c r="AG9" s="26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70" t="s">
        <v>51</v>
      </c>
      <c r="X10" s="270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68" t="s">
        <v>55</v>
      </c>
      <c r="AI10" s="268" t="s">
        <v>56</v>
      </c>
      <c r="AJ10" s="314" t="s">
        <v>57</v>
      </c>
      <c r="AK10" s="329" t="s">
        <v>58</v>
      </c>
      <c r="AL10" s="270" t="s">
        <v>59</v>
      </c>
      <c r="AM10" s="270" t="s">
        <v>60</v>
      </c>
      <c r="AN10" s="270" t="s">
        <v>61</v>
      </c>
      <c r="AO10" s="270" t="s">
        <v>62</v>
      </c>
      <c r="AP10" s="270" t="s">
        <v>63</v>
      </c>
      <c r="AQ10" s="270" t="s">
        <v>124</v>
      </c>
      <c r="AR10" s="270" t="s">
        <v>64</v>
      </c>
      <c r="AS10" s="270" t="s">
        <v>65</v>
      </c>
      <c r="AT10" s="312" t="s">
        <v>66</v>
      </c>
      <c r="AU10" s="270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0" t="s">
        <v>72</v>
      </c>
      <c r="C11" s="270" t="s">
        <v>73</v>
      </c>
      <c r="D11" s="270" t="s">
        <v>74</v>
      </c>
      <c r="E11" s="270" t="s">
        <v>75</v>
      </c>
      <c r="F11" s="270" t="s">
        <v>127</v>
      </c>
      <c r="G11" s="270" t="s">
        <v>74</v>
      </c>
      <c r="H11" s="270" t="s">
        <v>75</v>
      </c>
      <c r="I11" s="270" t="s">
        <v>127</v>
      </c>
      <c r="J11" s="309"/>
      <c r="K11" s="270" t="s">
        <v>75</v>
      </c>
      <c r="L11" s="270" t="s">
        <v>75</v>
      </c>
      <c r="M11" s="270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21'!S36</f>
        <v>102353864</v>
      </c>
      <c r="T11" s="322"/>
      <c r="U11" s="323"/>
      <c r="V11" s="324"/>
      <c r="W11" s="270" t="s">
        <v>75</v>
      </c>
      <c r="X11" s="270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21'!AI36</f>
        <v>17596632</v>
      </c>
      <c r="AJ11" s="314"/>
      <c r="AK11" s="330"/>
      <c r="AL11" s="270" t="s">
        <v>84</v>
      </c>
      <c r="AM11" s="270" t="s">
        <v>84</v>
      </c>
      <c r="AN11" s="270" t="s">
        <v>84</v>
      </c>
      <c r="AO11" s="270" t="s">
        <v>84</v>
      </c>
      <c r="AP11" s="270" t="s">
        <v>84</v>
      </c>
      <c r="AQ11" s="270" t="s">
        <v>84</v>
      </c>
      <c r="AR11" s="270" t="s">
        <v>84</v>
      </c>
      <c r="AS11" s="1"/>
      <c r="AT11" s="313"/>
      <c r="AU11" s="267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43303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3</v>
      </c>
      <c r="G13" s="118">
        <v>73</v>
      </c>
      <c r="H13" s="150">
        <f t="shared" ref="H13:H36" si="0">G13/1.42</f>
        <v>51.408450704225352</v>
      </c>
      <c r="I13" s="150">
        <v>76</v>
      </c>
      <c r="J13" s="41" t="s">
        <v>88</v>
      </c>
      <c r="K13" s="41">
        <f>L13-(2/1.42)</f>
        <v>46.478873239436624</v>
      </c>
      <c r="L13" s="42">
        <f>(G13-5)/1.42</f>
        <v>47.887323943661976</v>
      </c>
      <c r="M13" s="41">
        <f>L13+(6/1.42)</f>
        <v>52.112676056338032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102359216</v>
      </c>
      <c r="T13" s="45">
        <f>IF(ISBLANK(S13),"-",S13-S11)</f>
        <v>5352</v>
      </c>
      <c r="U13" s="46">
        <f>T13*24/1000</f>
        <v>128.44800000000001</v>
      </c>
      <c r="V13" s="46">
        <f>T13/1000</f>
        <v>5.3520000000000003</v>
      </c>
      <c r="W13" s="96">
        <v>4.3</v>
      </c>
      <c r="X13" s="96">
        <f t="shared" ref="X13:X36" si="1">W13</f>
        <v>4.3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17597744</v>
      </c>
      <c r="AJ13" s="45">
        <f>IF(ISBLANK(AI13),"-",AI13-AI11)</f>
        <v>1112</v>
      </c>
      <c r="AK13" s="48">
        <f>AJ13/V13</f>
        <v>207.7727952167414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43303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74</v>
      </c>
      <c r="H14" s="150">
        <f t="shared" si="0"/>
        <v>52.112676056338032</v>
      </c>
      <c r="I14" s="150">
        <v>78</v>
      </c>
      <c r="J14" s="41" t="s">
        <v>88</v>
      </c>
      <c r="K14" s="41">
        <f t="shared" ref="K14:K36" si="3">L14-(2/1.42)</f>
        <v>47.183098591549296</v>
      </c>
      <c r="L14" s="42">
        <f>(G14-5)/1.42</f>
        <v>48.591549295774648</v>
      </c>
      <c r="M14" s="41">
        <f>L14+(6/1.42)</f>
        <v>52.816901408450704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102364182</v>
      </c>
      <c r="T14" s="45">
        <f t="shared" ref="T14:T36" si="4">IF(ISBLANK(S14),"-",S14-S13)</f>
        <v>4966</v>
      </c>
      <c r="U14" s="46">
        <f t="shared" ref="U14:U37" si="5">T14*24/1000</f>
        <v>119.184</v>
      </c>
      <c r="V14" s="46">
        <f t="shared" ref="V14:V37" si="6">T14/1000</f>
        <v>4.9660000000000002</v>
      </c>
      <c r="W14" s="96">
        <v>5.3</v>
      </c>
      <c r="X14" s="96">
        <f t="shared" si="1"/>
        <v>5.3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17598818</v>
      </c>
      <c r="AJ14" s="45">
        <f t="shared" ref="AJ14:AJ36" si="7">IF(ISBLANK(AI14),"-",AI14-AI13)</f>
        <v>1074</v>
      </c>
      <c r="AK14" s="48">
        <f>AJ14/V14</f>
        <v>216.27064035440998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0.94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43303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6</v>
      </c>
      <c r="G15" s="118">
        <v>76</v>
      </c>
      <c r="H15" s="150">
        <f t="shared" si="0"/>
        <v>53.521126760563384</v>
      </c>
      <c r="I15" s="150">
        <v>78</v>
      </c>
      <c r="J15" s="41" t="s">
        <v>88</v>
      </c>
      <c r="K15" s="41">
        <f t="shared" si="3"/>
        <v>48.591549295774648</v>
      </c>
      <c r="L15" s="42">
        <f>(G15-5)/1.42</f>
        <v>50</v>
      </c>
      <c r="M15" s="41">
        <f>L15+(6/1.42)</f>
        <v>54.225352112676056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102369346</v>
      </c>
      <c r="T15" s="45">
        <f>IF(ISBLANK(S15),"-",S15-S14)</f>
        <v>5164</v>
      </c>
      <c r="U15" s="46">
        <f t="shared" si="5"/>
        <v>123.93600000000001</v>
      </c>
      <c r="V15" s="46">
        <f t="shared" si="6"/>
        <v>5.1639999999999997</v>
      </c>
      <c r="W15" s="96">
        <v>6.2</v>
      </c>
      <c r="X15" s="96">
        <f t="shared" si="1"/>
        <v>6.2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17599922</v>
      </c>
      <c r="AJ15" s="45">
        <f t="shared" si="7"/>
        <v>1104</v>
      </c>
      <c r="AK15" s="48">
        <f t="shared" ref="AK15:AK36" si="9">AJ15/V15</f>
        <v>213.78776142525174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43303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71</v>
      </c>
      <c r="H16" s="150">
        <f t="shared" si="0"/>
        <v>50</v>
      </c>
      <c r="I16" s="150">
        <v>80</v>
      </c>
      <c r="J16" s="41" t="s">
        <v>88</v>
      </c>
      <c r="K16" s="41">
        <f t="shared" si="3"/>
        <v>45.070422535211272</v>
      </c>
      <c r="L16" s="42">
        <f>(G16-5)/1.42</f>
        <v>46.478873239436624</v>
      </c>
      <c r="M16" s="41">
        <f>L16+(6/1.42)</f>
        <v>50.70422535211268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102374108</v>
      </c>
      <c r="T16" s="45">
        <f t="shared" si="4"/>
        <v>4762</v>
      </c>
      <c r="U16" s="46">
        <f t="shared" si="5"/>
        <v>114.288</v>
      </c>
      <c r="V16" s="46">
        <f t="shared" si="6"/>
        <v>4.7619999999999996</v>
      </c>
      <c r="W16" s="96">
        <v>7.7</v>
      </c>
      <c r="X16" s="96">
        <f t="shared" si="1"/>
        <v>7.7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17601008</v>
      </c>
      <c r="AJ16" s="45">
        <f t="shared" si="7"/>
        <v>1086</v>
      </c>
      <c r="AK16" s="48">
        <f t="shared" si="9"/>
        <v>228.0554388912222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43303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72</v>
      </c>
      <c r="H17" s="150">
        <f t="shared" si="0"/>
        <v>50.70422535211268</v>
      </c>
      <c r="I17" s="150">
        <v>80</v>
      </c>
      <c r="J17" s="41" t="s">
        <v>88</v>
      </c>
      <c r="K17" s="41">
        <f t="shared" si="3"/>
        <v>45.774647887323944</v>
      </c>
      <c r="L17" s="42">
        <f>(G17-5)/1.42</f>
        <v>47.183098591549296</v>
      </c>
      <c r="M17" s="41">
        <f>L17+(6/1.42)</f>
        <v>51.408450704225352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102378502</v>
      </c>
      <c r="T17" s="45">
        <f t="shared" si="4"/>
        <v>4394</v>
      </c>
      <c r="U17" s="46">
        <f t="shared" si="5"/>
        <v>105.456</v>
      </c>
      <c r="V17" s="46">
        <f t="shared" si="6"/>
        <v>4.3940000000000001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17602084</v>
      </c>
      <c r="AJ17" s="45">
        <f t="shared" si="7"/>
        <v>1076</v>
      </c>
      <c r="AK17" s="48">
        <f t="shared" si="9"/>
        <v>244.87938097405552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0.8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43303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83</v>
      </c>
      <c r="H18" s="150">
        <f t="shared" si="0"/>
        <v>58.450704225352112</v>
      </c>
      <c r="I18" s="150">
        <v>80</v>
      </c>
      <c r="J18" s="41" t="s">
        <v>88</v>
      </c>
      <c r="K18" s="41">
        <f t="shared" si="3"/>
        <v>57.04225352112676</v>
      </c>
      <c r="L18" s="42">
        <f t="shared" ref="L18:L27" si="10">G18/1.42</f>
        <v>58.450704225352112</v>
      </c>
      <c r="M18" s="41">
        <f>L18+1.42</f>
        <v>59.870704225352114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102383033</v>
      </c>
      <c r="T18" s="45">
        <f t="shared" si="4"/>
        <v>4531</v>
      </c>
      <c r="U18" s="46">
        <f t="shared" si="5"/>
        <v>108.744</v>
      </c>
      <c r="V18" s="46">
        <f t="shared" si="6"/>
        <v>4.5309999999999997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1117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17603119</v>
      </c>
      <c r="AJ18" s="45">
        <f t="shared" si="7"/>
        <v>1035</v>
      </c>
      <c r="AK18" s="48">
        <f t="shared" si="9"/>
        <v>228.42639593908632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1.03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43303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83</v>
      </c>
      <c r="H19" s="150">
        <f t="shared" si="0"/>
        <v>58.450704225352112</v>
      </c>
      <c r="I19" s="150">
        <v>80</v>
      </c>
      <c r="J19" s="41" t="s">
        <v>88</v>
      </c>
      <c r="K19" s="41">
        <f t="shared" si="3"/>
        <v>57.04225352112676</v>
      </c>
      <c r="L19" s="42">
        <f t="shared" si="10"/>
        <v>58.450704225352112</v>
      </c>
      <c r="M19" s="41">
        <f>L19+1.42</f>
        <v>59.870704225352114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102387720</v>
      </c>
      <c r="T19" s="45">
        <f t="shared" si="4"/>
        <v>4687</v>
      </c>
      <c r="U19" s="46">
        <f t="shared" si="5"/>
        <v>112.488</v>
      </c>
      <c r="V19" s="46">
        <f t="shared" si="6"/>
        <v>4.6870000000000003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17604165</v>
      </c>
      <c r="AJ19" s="45">
        <f t="shared" si="7"/>
        <v>1046</v>
      </c>
      <c r="AK19" s="48">
        <f t="shared" si="9"/>
        <v>223.17047151696178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43303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8</v>
      </c>
      <c r="G20" s="118">
        <v>80</v>
      </c>
      <c r="H20" s="150">
        <f t="shared" si="0"/>
        <v>56.338028169014088</v>
      </c>
      <c r="I20" s="150">
        <v>79</v>
      </c>
      <c r="J20" s="41" t="s">
        <v>88</v>
      </c>
      <c r="K20" s="41">
        <f t="shared" si="3"/>
        <v>54.929577464788736</v>
      </c>
      <c r="L20" s="42">
        <f t="shared" si="10"/>
        <v>56.338028169014088</v>
      </c>
      <c r="M20" s="41">
        <f t="shared" ref="M20:M24" si="11">L20+1.42</f>
        <v>57.758028169014089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102392366</v>
      </c>
      <c r="T20" s="45">
        <f t="shared" si="4"/>
        <v>4646</v>
      </c>
      <c r="U20" s="46">
        <f>T20*24/1000</f>
        <v>111.504</v>
      </c>
      <c r="V20" s="46">
        <f t="shared" si="6"/>
        <v>4.6459999999999999</v>
      </c>
      <c r="W20" s="96">
        <v>9.5</v>
      </c>
      <c r="X20" s="96">
        <f t="shared" si="1"/>
        <v>9.5</v>
      </c>
      <c r="Y20" s="97" t="s">
        <v>139</v>
      </c>
      <c r="Z20" s="154">
        <v>0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17605278</v>
      </c>
      <c r="AJ20" s="45">
        <f t="shared" si="7"/>
        <v>1113</v>
      </c>
      <c r="AK20" s="48">
        <f t="shared" si="9"/>
        <v>239.56091261300043</v>
      </c>
      <c r="AL20" s="151">
        <v>0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43303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7</v>
      </c>
      <c r="G21" s="118">
        <v>79</v>
      </c>
      <c r="H21" s="150">
        <f t="shared" si="0"/>
        <v>55.633802816901408</v>
      </c>
      <c r="I21" s="150">
        <v>79</v>
      </c>
      <c r="J21" s="41" t="s">
        <v>88</v>
      </c>
      <c r="K21" s="41">
        <f t="shared" si="3"/>
        <v>54.225352112676056</v>
      </c>
      <c r="L21" s="42">
        <f t="shared" si="10"/>
        <v>55.633802816901408</v>
      </c>
      <c r="M21" s="41">
        <f t="shared" si="11"/>
        <v>57.05380281690141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102397950</v>
      </c>
      <c r="T21" s="45">
        <f t="shared" si="4"/>
        <v>5584</v>
      </c>
      <c r="U21" s="46">
        <f t="shared" si="5"/>
        <v>134.01599999999999</v>
      </c>
      <c r="V21" s="46">
        <f t="shared" si="6"/>
        <v>5.5839999999999996</v>
      </c>
      <c r="W21" s="96">
        <v>9.4</v>
      </c>
      <c r="X21" s="96">
        <f t="shared" si="1"/>
        <v>9.4</v>
      </c>
      <c r="Y21" s="97" t="s">
        <v>168</v>
      </c>
      <c r="Z21" s="154">
        <v>0</v>
      </c>
      <c r="AA21" s="154">
        <v>996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17606401</v>
      </c>
      <c r="AJ21" s="45">
        <f t="shared" si="7"/>
        <v>1123</v>
      </c>
      <c r="AK21" s="48">
        <f t="shared" si="9"/>
        <v>201.11031518624642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43303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7</v>
      </c>
      <c r="G22" s="118">
        <v>79</v>
      </c>
      <c r="H22" s="150">
        <f t="shared" si="0"/>
        <v>55.633802816901408</v>
      </c>
      <c r="I22" s="150">
        <v>79</v>
      </c>
      <c r="J22" s="41" t="s">
        <v>88</v>
      </c>
      <c r="K22" s="41">
        <f t="shared" si="3"/>
        <v>54.225352112676056</v>
      </c>
      <c r="L22" s="42">
        <f t="shared" si="10"/>
        <v>55.633802816901408</v>
      </c>
      <c r="M22" s="41">
        <f t="shared" si="11"/>
        <v>57.05380281690141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102403246</v>
      </c>
      <c r="T22" s="45">
        <f t="shared" si="4"/>
        <v>5296</v>
      </c>
      <c r="U22" s="46">
        <f t="shared" si="5"/>
        <v>127.104</v>
      </c>
      <c r="V22" s="46">
        <f t="shared" si="6"/>
        <v>5.2960000000000003</v>
      </c>
      <c r="W22" s="96">
        <v>9</v>
      </c>
      <c r="X22" s="96">
        <f t="shared" si="1"/>
        <v>9</v>
      </c>
      <c r="Y22" s="97" t="s">
        <v>168</v>
      </c>
      <c r="Z22" s="154">
        <v>0</v>
      </c>
      <c r="AA22" s="154">
        <v>1026</v>
      </c>
      <c r="AB22" s="154">
        <v>1188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17607588</v>
      </c>
      <c r="AJ22" s="45">
        <f t="shared" si="7"/>
        <v>1187</v>
      </c>
      <c r="AK22" s="48">
        <f t="shared" si="9"/>
        <v>224.13141993957703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</v>
      </c>
      <c r="AV22" s="50" t="s">
        <v>126</v>
      </c>
      <c r="BB22" s="136" t="s">
        <v>156</v>
      </c>
    </row>
    <row r="23" spans="1:54" x14ac:dyDescent="0.35">
      <c r="A23" s="331">
        <v>43303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6</v>
      </c>
      <c r="G23" s="118">
        <v>78</v>
      </c>
      <c r="H23" s="150">
        <f t="shared" si="0"/>
        <v>54.929577464788736</v>
      </c>
      <c r="I23" s="150">
        <v>77</v>
      </c>
      <c r="J23" s="41" t="s">
        <v>88</v>
      </c>
      <c r="K23" s="41">
        <f t="shared" si="3"/>
        <v>53.521126760563384</v>
      </c>
      <c r="L23" s="42">
        <f t="shared" si="10"/>
        <v>54.929577464788736</v>
      </c>
      <c r="M23" s="41">
        <f t="shared" si="11"/>
        <v>56.349577464788737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102408721</v>
      </c>
      <c r="T23" s="45">
        <f t="shared" si="4"/>
        <v>5475</v>
      </c>
      <c r="U23" s="46">
        <f t="shared" si="5"/>
        <v>131.4</v>
      </c>
      <c r="V23" s="46">
        <f t="shared" si="6"/>
        <v>5.4749999999999996</v>
      </c>
      <c r="W23" s="96">
        <v>8.4</v>
      </c>
      <c r="X23" s="96">
        <f>W23</f>
        <v>8.4</v>
      </c>
      <c r="Y23" s="97" t="s">
        <v>168</v>
      </c>
      <c r="Z23" s="154">
        <v>0</v>
      </c>
      <c r="AA23" s="154">
        <v>1027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17608781</v>
      </c>
      <c r="AJ23" s="45">
        <f t="shared" si="7"/>
        <v>1193</v>
      </c>
      <c r="AK23" s="48">
        <f t="shared" si="9"/>
        <v>217.89954337899545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43303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6</v>
      </c>
      <c r="G24" s="118">
        <v>78</v>
      </c>
      <c r="H24" s="150">
        <f t="shared" si="0"/>
        <v>54.929577464788736</v>
      </c>
      <c r="I24" s="150">
        <v>78</v>
      </c>
      <c r="J24" s="41" t="s">
        <v>88</v>
      </c>
      <c r="K24" s="41">
        <f t="shared" si="3"/>
        <v>53.521126760563384</v>
      </c>
      <c r="L24" s="42">
        <f t="shared" si="10"/>
        <v>54.929577464788736</v>
      </c>
      <c r="M24" s="41">
        <f t="shared" si="11"/>
        <v>56.349577464788737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102414072</v>
      </c>
      <c r="T24" s="45">
        <f t="shared" si="4"/>
        <v>5351</v>
      </c>
      <c r="U24" s="46">
        <f>T24*24/1000</f>
        <v>128.42400000000001</v>
      </c>
      <c r="V24" s="46">
        <f t="shared" si="6"/>
        <v>5.351</v>
      </c>
      <c r="W24" s="96">
        <v>7.8</v>
      </c>
      <c r="X24" s="96">
        <f t="shared" si="1"/>
        <v>7.8</v>
      </c>
      <c r="Y24" s="97" t="s">
        <v>168</v>
      </c>
      <c r="Z24" s="154">
        <v>0</v>
      </c>
      <c r="AA24" s="154">
        <v>1046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17609977</v>
      </c>
      <c r="AJ24" s="45">
        <f t="shared" si="7"/>
        <v>1196</v>
      </c>
      <c r="AK24" s="48">
        <f t="shared" si="9"/>
        <v>223.50962436927676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43303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5</v>
      </c>
      <c r="G25" s="118">
        <v>79</v>
      </c>
      <c r="H25" s="150">
        <f t="shared" si="0"/>
        <v>55.633802816901408</v>
      </c>
      <c r="I25" s="150">
        <v>80</v>
      </c>
      <c r="J25" s="41" t="s">
        <v>88</v>
      </c>
      <c r="K25" s="41">
        <f t="shared" si="3"/>
        <v>54.225352112676056</v>
      </c>
      <c r="L25" s="42">
        <f t="shared" si="10"/>
        <v>55.633802816901408</v>
      </c>
      <c r="M25" s="41">
        <f>L25+(6/1.42)</f>
        <v>59.859154929577464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102419239</v>
      </c>
      <c r="T25" s="45">
        <f t="shared" si="4"/>
        <v>5167</v>
      </c>
      <c r="U25" s="46">
        <f>T25*24/1000</f>
        <v>124.008</v>
      </c>
      <c r="V25" s="46">
        <f t="shared" si="6"/>
        <v>5.1669999999999998</v>
      </c>
      <c r="W25" s="96">
        <v>7.2</v>
      </c>
      <c r="X25" s="96">
        <f t="shared" si="1"/>
        <v>7.2</v>
      </c>
      <c r="Y25" s="97" t="s">
        <v>168</v>
      </c>
      <c r="Z25" s="154">
        <v>0</v>
      </c>
      <c r="AA25" s="154">
        <v>1046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17611170</v>
      </c>
      <c r="AJ25" s="45">
        <f t="shared" si="7"/>
        <v>1193</v>
      </c>
      <c r="AK25" s="48">
        <f t="shared" si="9"/>
        <v>230.88832978517516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43303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4</v>
      </c>
      <c r="G26" s="118">
        <v>83</v>
      </c>
      <c r="H26" s="150">
        <f t="shared" si="0"/>
        <v>58.450704225352112</v>
      </c>
      <c r="I26" s="150">
        <v>80</v>
      </c>
      <c r="J26" s="41" t="s">
        <v>88</v>
      </c>
      <c r="K26" s="41">
        <f t="shared" si="3"/>
        <v>57.04225352112676</v>
      </c>
      <c r="L26" s="42">
        <f t="shared" si="10"/>
        <v>58.450704225352112</v>
      </c>
      <c r="M26" s="41">
        <f t="shared" ref="M26:M36" si="12">L26+(6/1.42)</f>
        <v>62.676056338028168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102425226</v>
      </c>
      <c r="T26" s="45">
        <f t="shared" si="4"/>
        <v>5987</v>
      </c>
      <c r="U26" s="46">
        <f t="shared" si="5"/>
        <v>143.68799999999999</v>
      </c>
      <c r="V26" s="46">
        <f t="shared" si="6"/>
        <v>5.9870000000000001</v>
      </c>
      <c r="W26" s="96">
        <v>6.7</v>
      </c>
      <c r="X26" s="96">
        <f t="shared" si="1"/>
        <v>6.7</v>
      </c>
      <c r="Y26" s="97" t="s">
        <v>168</v>
      </c>
      <c r="Z26" s="154">
        <v>0</v>
      </c>
      <c r="AA26" s="154">
        <v>1015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17612408</v>
      </c>
      <c r="AJ26" s="45">
        <f t="shared" si="7"/>
        <v>1238</v>
      </c>
      <c r="AK26" s="48">
        <f t="shared" si="9"/>
        <v>206.78135961249373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f t="shared" si="8"/>
        <v>0</v>
      </c>
      <c r="AU26" s="119">
        <v>1.03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43303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3</v>
      </c>
      <c r="G27" s="118">
        <v>77</v>
      </c>
      <c r="H27" s="150">
        <f t="shared" si="0"/>
        <v>54.225352112676056</v>
      </c>
      <c r="I27" s="150">
        <v>75</v>
      </c>
      <c r="J27" s="41" t="s">
        <v>88</v>
      </c>
      <c r="K27" s="41">
        <f t="shared" si="3"/>
        <v>52.816901408450704</v>
      </c>
      <c r="L27" s="42">
        <f t="shared" si="10"/>
        <v>54.225352112676056</v>
      </c>
      <c r="M27" s="41">
        <f t="shared" si="12"/>
        <v>58.450704225352112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102431207</v>
      </c>
      <c r="T27" s="45">
        <f t="shared" si="4"/>
        <v>5981</v>
      </c>
      <c r="U27" s="46">
        <f t="shared" si="5"/>
        <v>143.54400000000001</v>
      </c>
      <c r="V27" s="46">
        <f t="shared" si="6"/>
        <v>5.9809999999999999</v>
      </c>
      <c r="W27" s="96">
        <v>6.3</v>
      </c>
      <c r="X27" s="96">
        <f t="shared" si="1"/>
        <v>6.3</v>
      </c>
      <c r="Y27" s="97" t="s">
        <v>168</v>
      </c>
      <c r="Z27" s="154">
        <v>0</v>
      </c>
      <c r="AA27" s="154">
        <v>1016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17613576</v>
      </c>
      <c r="AJ27" s="45">
        <f t="shared" si="7"/>
        <v>1168</v>
      </c>
      <c r="AK27" s="48">
        <f t="shared" si="9"/>
        <v>195.28506938639023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43303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4</v>
      </c>
      <c r="G28" s="118">
        <v>78</v>
      </c>
      <c r="H28" s="150">
        <f t="shared" si="0"/>
        <v>54.929577464788736</v>
      </c>
      <c r="I28" s="150">
        <v>76</v>
      </c>
      <c r="J28" s="41" t="s">
        <v>88</v>
      </c>
      <c r="K28" s="41">
        <f t="shared" si="3"/>
        <v>51.408450704225352</v>
      </c>
      <c r="L28" s="42">
        <f>(G28-3)/1.42</f>
        <v>52.816901408450704</v>
      </c>
      <c r="M28" s="41">
        <f t="shared" si="12"/>
        <v>57.04225352112676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102436916</v>
      </c>
      <c r="T28" s="45">
        <f t="shared" si="4"/>
        <v>5709</v>
      </c>
      <c r="U28" s="46">
        <f t="shared" si="5"/>
        <v>137.01599999999999</v>
      </c>
      <c r="V28" s="46">
        <f t="shared" si="6"/>
        <v>5.7089999999999996</v>
      </c>
      <c r="W28" s="96">
        <v>5.9</v>
      </c>
      <c r="X28" s="96">
        <f t="shared" si="1"/>
        <v>5.9</v>
      </c>
      <c r="Y28" s="97" t="s">
        <v>168</v>
      </c>
      <c r="Z28" s="154">
        <v>0</v>
      </c>
      <c r="AA28" s="154">
        <v>1015</v>
      </c>
      <c r="AB28" s="154">
        <v>1186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17614752</v>
      </c>
      <c r="AJ28" s="45">
        <f>IF(ISBLANK(AI28),"-",AI28-AI27)</f>
        <v>1176</v>
      </c>
      <c r="AK28" s="48">
        <f t="shared" si="9"/>
        <v>205.99054125065686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43303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3</v>
      </c>
      <c r="G29" s="118">
        <v>76</v>
      </c>
      <c r="H29" s="150">
        <f t="shared" si="0"/>
        <v>53.521126760563384</v>
      </c>
      <c r="I29" s="150">
        <v>74</v>
      </c>
      <c r="J29" s="41" t="s">
        <v>88</v>
      </c>
      <c r="K29" s="41">
        <f t="shared" si="3"/>
        <v>50</v>
      </c>
      <c r="L29" s="42">
        <f t="shared" ref="L29:L34" si="13">(G29-3)/1.42</f>
        <v>51.408450704225352</v>
      </c>
      <c r="M29" s="41">
        <f t="shared" si="12"/>
        <v>55.633802816901408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102442820</v>
      </c>
      <c r="T29" s="45">
        <f t="shared" si="4"/>
        <v>5904</v>
      </c>
      <c r="U29" s="46">
        <f t="shared" si="5"/>
        <v>141.696</v>
      </c>
      <c r="V29" s="46">
        <f t="shared" si="6"/>
        <v>5.9039999999999999</v>
      </c>
      <c r="W29" s="96">
        <v>5.4</v>
      </c>
      <c r="X29" s="96">
        <f t="shared" si="1"/>
        <v>5.4</v>
      </c>
      <c r="Y29" s="97" t="s">
        <v>168</v>
      </c>
      <c r="Z29" s="154">
        <v>0</v>
      </c>
      <c r="AA29" s="154">
        <v>1016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17615905</v>
      </c>
      <c r="AJ29" s="45">
        <f t="shared" si="7"/>
        <v>1153</v>
      </c>
      <c r="AK29" s="48">
        <f>AJ28/V29</f>
        <v>199.1869918699187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43303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3</v>
      </c>
      <c r="G30" s="118">
        <v>76</v>
      </c>
      <c r="H30" s="150">
        <f t="shared" si="0"/>
        <v>53.521126760563384</v>
      </c>
      <c r="I30" s="150">
        <v>75</v>
      </c>
      <c r="J30" s="41" t="s">
        <v>88</v>
      </c>
      <c r="K30" s="41">
        <f t="shared" si="3"/>
        <v>50</v>
      </c>
      <c r="L30" s="42">
        <f t="shared" si="13"/>
        <v>51.408450704225352</v>
      </c>
      <c r="M30" s="41">
        <f t="shared" si="12"/>
        <v>55.633802816901408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102449010</v>
      </c>
      <c r="T30" s="45">
        <f t="shared" si="4"/>
        <v>6190</v>
      </c>
      <c r="U30" s="46">
        <f t="shared" si="5"/>
        <v>148.56</v>
      </c>
      <c r="V30" s="46">
        <f t="shared" si="6"/>
        <v>6.19</v>
      </c>
      <c r="W30" s="96">
        <v>5</v>
      </c>
      <c r="X30" s="96">
        <f t="shared" si="1"/>
        <v>5</v>
      </c>
      <c r="Y30" s="97" t="s">
        <v>168</v>
      </c>
      <c r="Z30" s="154">
        <v>0</v>
      </c>
      <c r="AA30" s="154">
        <v>1026</v>
      </c>
      <c r="AB30" s="154">
        <v>1188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17617045</v>
      </c>
      <c r="AJ30" s="45">
        <f t="shared" si="7"/>
        <v>1140</v>
      </c>
      <c r="AK30" s="48">
        <f>AJ29/V30</f>
        <v>186.26817447495961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0.98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43303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3</v>
      </c>
      <c r="G31" s="118">
        <v>76</v>
      </c>
      <c r="H31" s="150">
        <f t="shared" si="0"/>
        <v>53.521126760563384</v>
      </c>
      <c r="I31" s="150">
        <v>74</v>
      </c>
      <c r="J31" s="41" t="s">
        <v>88</v>
      </c>
      <c r="K31" s="41">
        <f t="shared" si="3"/>
        <v>50</v>
      </c>
      <c r="L31" s="42">
        <f t="shared" si="13"/>
        <v>51.408450704225352</v>
      </c>
      <c r="M31" s="41">
        <f t="shared" si="12"/>
        <v>55.633802816901408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102455000</v>
      </c>
      <c r="T31" s="45">
        <f t="shared" si="4"/>
        <v>5990</v>
      </c>
      <c r="U31" s="46">
        <f t="shared" si="5"/>
        <v>143.76</v>
      </c>
      <c r="V31" s="46">
        <f t="shared" si="6"/>
        <v>5.99</v>
      </c>
      <c r="W31" s="96">
        <v>4.5999999999999996</v>
      </c>
      <c r="X31" s="96">
        <f t="shared" si="1"/>
        <v>4.5999999999999996</v>
      </c>
      <c r="Y31" s="97" t="s">
        <v>168</v>
      </c>
      <c r="Z31" s="154">
        <v>0</v>
      </c>
      <c r="AA31" s="154">
        <v>1026</v>
      </c>
      <c r="AB31" s="154">
        <v>1186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17618209</v>
      </c>
      <c r="AJ31" s="45">
        <f t="shared" si="7"/>
        <v>1164</v>
      </c>
      <c r="AK31" s="48">
        <f t="shared" si="9"/>
        <v>194.32387312186978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43303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2</v>
      </c>
      <c r="G32" s="118">
        <v>76</v>
      </c>
      <c r="H32" s="150">
        <f t="shared" si="0"/>
        <v>53.521126760563384</v>
      </c>
      <c r="I32" s="150">
        <v>75</v>
      </c>
      <c r="J32" s="41" t="s">
        <v>88</v>
      </c>
      <c r="K32" s="41">
        <f t="shared" si="3"/>
        <v>50</v>
      </c>
      <c r="L32" s="42">
        <f t="shared" si="13"/>
        <v>51.408450704225352</v>
      </c>
      <c r="M32" s="41">
        <f t="shared" si="12"/>
        <v>55.633802816901408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102460990</v>
      </c>
      <c r="T32" s="45">
        <f t="shared" si="4"/>
        <v>5990</v>
      </c>
      <c r="U32" s="46">
        <f t="shared" si="5"/>
        <v>143.76</v>
      </c>
      <c r="V32" s="46">
        <f t="shared" si="6"/>
        <v>5.99</v>
      </c>
      <c r="W32" s="96">
        <v>4</v>
      </c>
      <c r="X32" s="96">
        <f t="shared" si="1"/>
        <v>4</v>
      </c>
      <c r="Y32" s="97" t="s">
        <v>168</v>
      </c>
      <c r="Z32" s="154">
        <v>0</v>
      </c>
      <c r="AA32" s="154">
        <v>1025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17619377</v>
      </c>
      <c r="AJ32" s="45">
        <f t="shared" si="7"/>
        <v>1168</v>
      </c>
      <c r="AK32" s="48">
        <f t="shared" si="9"/>
        <v>194.99165275459097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43303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1</v>
      </c>
      <c r="G33" s="118">
        <v>76</v>
      </c>
      <c r="H33" s="150">
        <f t="shared" si="0"/>
        <v>53.521126760563384</v>
      </c>
      <c r="I33" s="150">
        <v>75</v>
      </c>
      <c r="J33" s="41" t="s">
        <v>88</v>
      </c>
      <c r="K33" s="41">
        <f t="shared" si="3"/>
        <v>50</v>
      </c>
      <c r="L33" s="42">
        <f t="shared" si="13"/>
        <v>51.408450704225352</v>
      </c>
      <c r="M33" s="41">
        <f t="shared" si="12"/>
        <v>55.633802816901408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102466670</v>
      </c>
      <c r="T33" s="45">
        <f t="shared" si="4"/>
        <v>5680</v>
      </c>
      <c r="U33" s="46">
        <f t="shared" si="5"/>
        <v>136.32</v>
      </c>
      <c r="V33" s="46">
        <f t="shared" si="6"/>
        <v>5.68</v>
      </c>
      <c r="W33" s="96">
        <v>3.6</v>
      </c>
      <c r="X33" s="96">
        <f t="shared" si="1"/>
        <v>3.6</v>
      </c>
      <c r="Y33" s="97" t="s">
        <v>168</v>
      </c>
      <c r="Z33" s="154">
        <v>0</v>
      </c>
      <c r="AA33" s="154">
        <v>1025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17620517</v>
      </c>
      <c r="AJ33" s="45">
        <f t="shared" si="7"/>
        <v>1140</v>
      </c>
      <c r="AK33" s="48">
        <f t="shared" si="9"/>
        <v>200.70422535211267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43303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1</v>
      </c>
      <c r="G34" s="118">
        <v>79</v>
      </c>
      <c r="H34" s="150">
        <f t="shared" si="0"/>
        <v>55.633802816901408</v>
      </c>
      <c r="I34" s="150">
        <v>76</v>
      </c>
      <c r="J34" s="41" t="s">
        <v>88</v>
      </c>
      <c r="K34" s="41">
        <f t="shared" si="3"/>
        <v>52.112676056338032</v>
      </c>
      <c r="L34" s="42">
        <f t="shared" si="13"/>
        <v>53.521126760563384</v>
      </c>
      <c r="M34" s="41">
        <f t="shared" si="12"/>
        <v>57.74647887323944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102472416</v>
      </c>
      <c r="T34" s="45">
        <f t="shared" si="4"/>
        <v>5746</v>
      </c>
      <c r="U34" s="46">
        <f t="shared" si="5"/>
        <v>137.904</v>
      </c>
      <c r="V34" s="46">
        <f t="shared" si="6"/>
        <v>5.7460000000000004</v>
      </c>
      <c r="W34" s="96">
        <v>3.3</v>
      </c>
      <c r="X34" s="96">
        <f t="shared" si="1"/>
        <v>3.3</v>
      </c>
      <c r="Y34" s="97" t="s">
        <v>168</v>
      </c>
      <c r="Z34" s="154">
        <v>0</v>
      </c>
      <c r="AA34" s="154">
        <v>1024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17621650</v>
      </c>
      <c r="AJ34" s="45">
        <f t="shared" si="7"/>
        <v>1133</v>
      </c>
      <c r="AK34" s="48">
        <f t="shared" si="9"/>
        <v>197.18064740689172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1.02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43303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2</v>
      </c>
      <c r="G35" s="118">
        <v>71</v>
      </c>
      <c r="H35" s="150">
        <f t="shared" si="0"/>
        <v>50</v>
      </c>
      <c r="I35" s="150">
        <v>76</v>
      </c>
      <c r="J35" s="41" t="s">
        <v>88</v>
      </c>
      <c r="K35" s="41">
        <f>L35-(2/1.42)</f>
        <v>45.070422535211272</v>
      </c>
      <c r="L35" s="42">
        <f>(G35-5)/1.42</f>
        <v>46.478873239436624</v>
      </c>
      <c r="M35" s="41">
        <f t="shared" si="12"/>
        <v>50.70422535211268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102477496</v>
      </c>
      <c r="T35" s="45">
        <f t="shared" si="4"/>
        <v>5080</v>
      </c>
      <c r="U35" s="46">
        <f t="shared" si="5"/>
        <v>121.92</v>
      </c>
      <c r="V35" s="46">
        <f t="shared" si="6"/>
        <v>5.08</v>
      </c>
      <c r="W35" s="96">
        <v>4.3</v>
      </c>
      <c r="X35" s="96">
        <f t="shared" si="1"/>
        <v>4.3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17622728</v>
      </c>
      <c r="AJ35" s="45">
        <f t="shared" si="7"/>
        <v>1078</v>
      </c>
      <c r="AK35" s="48">
        <f t="shared" si="9"/>
        <v>212.20472440944883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43303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75</v>
      </c>
      <c r="H36" s="150">
        <f t="shared" si="0"/>
        <v>52.816901408450704</v>
      </c>
      <c r="I36" s="150">
        <v>78</v>
      </c>
      <c r="J36" s="41" t="s">
        <v>88</v>
      </c>
      <c r="K36" s="41">
        <f t="shared" si="3"/>
        <v>47.887323943661976</v>
      </c>
      <c r="L36" s="42">
        <f>(G36-5)/1.42</f>
        <v>49.295774647887328</v>
      </c>
      <c r="M36" s="41">
        <f t="shared" si="12"/>
        <v>53.521126760563384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102482846</v>
      </c>
      <c r="T36" s="45">
        <f t="shared" si="4"/>
        <v>5350</v>
      </c>
      <c r="U36" s="46">
        <f t="shared" si="5"/>
        <v>128.4</v>
      </c>
      <c r="V36" s="46">
        <f t="shared" si="6"/>
        <v>5.35</v>
      </c>
      <c r="W36" s="96">
        <v>5.4</v>
      </c>
      <c r="X36" s="96">
        <f t="shared" si="1"/>
        <v>5.4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17623852</v>
      </c>
      <c r="AJ36" s="45">
        <f t="shared" si="7"/>
        <v>1124</v>
      </c>
      <c r="AK36" s="48">
        <f t="shared" si="9"/>
        <v>210.09345794392524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128982</v>
      </c>
      <c r="U37" s="46">
        <f t="shared" si="5"/>
        <v>3095.5680000000002</v>
      </c>
      <c r="V37" s="46">
        <f t="shared" si="6"/>
        <v>128.982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27220</v>
      </c>
      <c r="AK37" s="61">
        <f>$AJ$37/$V37</f>
        <v>211.03719898900621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251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209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252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253</v>
      </c>
      <c r="C52" s="184"/>
      <c r="D52" s="184"/>
      <c r="E52" s="184"/>
      <c r="F52" s="130"/>
      <c r="G52" s="130"/>
      <c r="H52" s="156"/>
      <c r="I52" s="156"/>
      <c r="J52" s="156"/>
      <c r="K52" s="156"/>
      <c r="L52" s="156"/>
      <c r="M52" s="156"/>
      <c r="N52" s="131"/>
      <c r="O52" s="131"/>
      <c r="P52" s="131"/>
      <c r="Q52" s="114"/>
      <c r="R52" s="104"/>
      <c r="S52" s="104"/>
      <c r="T52" s="104"/>
      <c r="U52" s="114"/>
      <c r="V52" s="114"/>
      <c r="W52" s="114"/>
      <c r="X52" s="94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49"/>
      <c r="F53" s="149"/>
      <c r="G53" s="149"/>
      <c r="H53" s="149"/>
      <c r="I53" s="149"/>
      <c r="J53" s="149"/>
      <c r="K53" s="162"/>
      <c r="L53" s="143"/>
      <c r="M53" s="105"/>
      <c r="N53" s="105"/>
      <c r="O53" s="105"/>
      <c r="P53" s="105"/>
      <c r="Q53" s="105"/>
      <c r="R53" s="105"/>
      <c r="S53" s="105"/>
      <c r="T53" s="105"/>
      <c r="U53" s="105"/>
      <c r="V53" s="147"/>
      <c r="W53" s="147"/>
      <c r="X53" s="148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66"/>
      <c r="D54" s="166"/>
      <c r="E54" s="115"/>
      <c r="F54" s="115"/>
      <c r="G54" s="115"/>
      <c r="H54" s="115"/>
      <c r="I54" s="149"/>
      <c r="J54" s="104"/>
      <c r="K54" s="104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47"/>
      <c r="W54" s="147"/>
      <c r="X54" s="148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66"/>
      <c r="D55" s="166"/>
      <c r="E55" s="149"/>
      <c r="F55" s="149"/>
      <c r="G55" s="149"/>
      <c r="H55" s="149"/>
      <c r="I55" s="149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7"/>
      <c r="W55" s="147"/>
      <c r="X55" s="148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66"/>
      <c r="D56" s="170"/>
      <c r="E56" s="170"/>
      <c r="F56" s="114"/>
      <c r="G56" s="114"/>
      <c r="H56" s="104"/>
      <c r="I56" s="10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244</v>
      </c>
      <c r="C57" s="149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15"/>
      <c r="D58" s="100"/>
      <c r="E58" s="100"/>
      <c r="F58" s="115"/>
      <c r="G58" s="115"/>
      <c r="H58" s="9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177</v>
      </c>
      <c r="C59" s="115"/>
      <c r="D59" s="162"/>
      <c r="E59" s="162"/>
      <c r="F59" s="162"/>
      <c r="G59" s="162"/>
      <c r="H59" s="162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49"/>
      <c r="C60" s="115"/>
      <c r="D60" s="100"/>
      <c r="E60" s="100"/>
      <c r="F60" s="115"/>
      <c r="G60" s="115"/>
      <c r="H60" s="92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15"/>
      <c r="D61" s="162"/>
      <c r="E61" s="162"/>
      <c r="F61" s="162"/>
      <c r="G61" s="162"/>
      <c r="H61" s="162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AV61" s="86"/>
      <c r="AW61" s="86"/>
      <c r="AX61" s="86"/>
      <c r="AY61" s="86"/>
      <c r="AZ61" s="86"/>
      <c r="BA61" s="86"/>
      <c r="BB61" s="86"/>
    </row>
    <row r="62" spans="1:54" x14ac:dyDescent="0.35">
      <c r="B62" s="158"/>
      <c r="C62" s="115"/>
      <c r="D62" s="162"/>
      <c r="E62" s="162"/>
      <c r="F62" s="162"/>
      <c r="G62" s="162"/>
      <c r="H62" s="162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AV62" s="86"/>
      <c r="AW62" s="86"/>
      <c r="AX62" s="86"/>
      <c r="AY62" s="86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AV63" s="86"/>
      <c r="AW63" s="86"/>
      <c r="AX63" s="86"/>
      <c r="AY63" s="86"/>
      <c r="AZ63" s="86"/>
      <c r="BA63" s="86"/>
      <c r="BB63" s="86"/>
    </row>
    <row r="64" spans="1:54" x14ac:dyDescent="0.35">
      <c r="Q64" s="12"/>
      <c r="R64" s="87"/>
      <c r="S64" s="87"/>
      <c r="T64" s="87"/>
      <c r="U64" s="87"/>
      <c r="AV64" s="86"/>
      <c r="AW64" s="86"/>
      <c r="AX64" s="86"/>
      <c r="AY64" s="86"/>
      <c r="AZ64" s="86"/>
      <c r="BA64" s="86"/>
      <c r="BB64" s="86"/>
    </row>
    <row r="65" spans="17:54" x14ac:dyDescent="0.35">
      <c r="Q65" s="12"/>
      <c r="R65" s="87"/>
      <c r="S65" s="87"/>
      <c r="T65" s="87"/>
      <c r="U65" s="87"/>
      <c r="V65" s="87"/>
      <c r="AV65" s="86"/>
      <c r="AW65" s="86"/>
      <c r="AX65" s="86"/>
      <c r="AY65" s="86"/>
      <c r="AZ65" s="86"/>
      <c r="BA65" s="86"/>
      <c r="BB65" s="86"/>
    </row>
    <row r="66" spans="17:54" x14ac:dyDescent="0.35">
      <c r="Q66" s="12"/>
      <c r="R66" s="87"/>
      <c r="S66" s="87"/>
      <c r="T66" s="87"/>
      <c r="U66" s="87"/>
      <c r="V66" s="87"/>
      <c r="AV66" s="86"/>
      <c r="AW66" s="86"/>
      <c r="AX66" s="86"/>
      <c r="AY66" s="86"/>
      <c r="AZ66" s="86"/>
      <c r="BA66" s="86"/>
      <c r="BB66" s="86"/>
    </row>
    <row r="67" spans="17:54" x14ac:dyDescent="0.35">
      <c r="Q67" s="12"/>
      <c r="R67" s="87"/>
      <c r="V67" s="87"/>
      <c r="AV67" s="86"/>
      <c r="AW67" s="86"/>
      <c r="AX67" s="86"/>
      <c r="AY67" s="86"/>
      <c r="AZ67" s="86"/>
      <c r="BA67" s="86"/>
      <c r="BB67" s="86"/>
    </row>
    <row r="68" spans="17:54" x14ac:dyDescent="0.35">
      <c r="Q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17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17:54" x14ac:dyDescent="0.35">
      <c r="Q70" s="12"/>
      <c r="R70" s="87"/>
      <c r="S70" s="87"/>
      <c r="T70" s="87"/>
      <c r="U70" s="87"/>
      <c r="V70" s="87"/>
      <c r="W70" s="87"/>
      <c r="AV70" s="86"/>
      <c r="AW70" s="86"/>
      <c r="AX70" s="86"/>
      <c r="AY70" s="86"/>
      <c r="AZ70" s="86"/>
      <c r="BA70" s="86"/>
      <c r="BB70" s="86"/>
    </row>
    <row r="71" spans="17:54" x14ac:dyDescent="0.35">
      <c r="Q71" s="12"/>
      <c r="R71" s="87"/>
      <c r="V71" s="87"/>
      <c r="W71" s="87"/>
      <c r="AV71" s="86"/>
      <c r="AW71" s="86"/>
      <c r="AX71" s="86"/>
      <c r="AY71" s="86"/>
      <c r="AZ71" s="86"/>
      <c r="BA71" s="86"/>
      <c r="BB71" s="86"/>
    </row>
    <row r="72" spans="17:54" x14ac:dyDescent="0.35">
      <c r="BB72" s="86"/>
    </row>
    <row r="83" spans="48:54" x14ac:dyDescent="0.35">
      <c r="AV83" s="86"/>
      <c r="AW83" s="86"/>
      <c r="AX83" s="86"/>
      <c r="AY83" s="86"/>
      <c r="AZ83" s="86"/>
      <c r="BA83" s="86"/>
    </row>
    <row r="84" spans="48:54" x14ac:dyDescent="0.35">
      <c r="BB84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0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3" name="Range2_2_12_1_3_1_2_1_1_1_1_2_1_1_1_1_1_1_1_1_1_1_1"/>
    <protectedRange sqref="F58:F63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56:H57" name="Range2_12_5_1_1_1_2_2_1_1_1_1_1_1_1_1_1_1_1_2_1_1_1_2_1_1_1_1_1_1_1_1_1_1_1_1_1_1_1_1_2_1_1_1_1_1_1_1_1_1_2_1_1_3_1_1_1_3_1_1_1_1_1_1_1_1_1_1_1_1_1_1_1_1_1_1_1_1_1_1_2_1_1_1_1_1_1_1_1_1_1_1_2_2_1_2_1_1_1_1_1_1_1_1_1_1_1_1_1"/>
    <protectedRange sqref="U53:V63" name="Range2_12_5_1_1_2_1_1_1_2_1_1_1_1_1_1_1_1_1_1_1_1_1"/>
    <protectedRange sqref="P53:T63" name="Range2_12_1_6_1_1_2_1_1_1_2_1_1_1_1_1_1_1_1_1_1_1_1_1"/>
    <protectedRange sqref="N53:O63" name="Range2_2_12_1_7_1_1_3_1_1_1_2_1_1_1_1_1_1_1_1_1_1_1_1_1"/>
    <protectedRange sqref="M53 L54:M63" name="Range2_2_12_1_4_1_1_1_1_1_1_1_1_1_1_1_1_1_1_1_2_1_1_1_2_1_1_1_1_1_1_1_1_1_1_1_1_1"/>
    <protectedRange sqref="K54:K63" name="Range2_2_12_1_7_1_1_2_2_1_2_2_1_1_1_2_1_1_1_1_1_1_1_1_1_1_1_1_1"/>
    <protectedRange sqref="J54:J55 I56:J63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3:W3" name="Range1_16_1_1_1_1_1_1_2_2_2_2_2_2_2_2_2_2_2_2_2_2_2_2_2_2_2_2_2_2_2_1_2_2_2_2_2_2_2_2_2_2_3_2_2_2_2_2_2_2_2_2_2_1_1_1_1_2_2_1_1_1_1_1_1_1_1_1_1_1_1_1_1_3_1_2_1_1_1_1_1_1_2_1_1_1_1_1_1_1_1"/>
    <protectedRange sqref="R4:W4" name="Range1_16_1_1_1_1_1_1_2_2_2_2_2_2_2_2_2_2_2_2_2_2_2_2_2_2_2_2_2_2_2_1_2_2_2_2_2_2_2_2_2_2_3_2_2_2_2_2_2_2_2_2_2_1_1_1_1_2_2_1_1_1_1_1_1_1_1_1_1_1_1_1_1_3_1_2_1_1_1_1_1_2_2_2_2_1_1_1_1_2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69" priority="5" operator="containsText" text="N/A">
      <formula>NOT(ISERROR(SEARCH("N/A",Z13)))</formula>
    </cfRule>
    <cfRule type="cellIs" dxfId="168" priority="17" operator="equal">
      <formula>0</formula>
    </cfRule>
  </conditionalFormatting>
  <conditionalFormatting sqref="Z13:AG36">
    <cfRule type="cellIs" dxfId="167" priority="16" operator="greaterThanOrEqual">
      <formula>1185</formula>
    </cfRule>
  </conditionalFormatting>
  <conditionalFormatting sqref="Z13:AG36">
    <cfRule type="cellIs" dxfId="166" priority="15" operator="between">
      <formula>0.1</formula>
      <formula>1184</formula>
    </cfRule>
  </conditionalFormatting>
  <conditionalFormatting sqref="Z8:Z9 AT13:AT36 AL37:AQ37 AL13:AR36">
    <cfRule type="cellIs" dxfId="165" priority="14" operator="equal">
      <formula>0</formula>
    </cfRule>
  </conditionalFormatting>
  <conditionalFormatting sqref="Z8:Z9 AT13:AT36 AL37:AQ37 AL13:AR36">
    <cfRule type="cellIs" dxfId="164" priority="13" operator="greaterThan">
      <formula>1179</formula>
    </cfRule>
  </conditionalFormatting>
  <conditionalFormatting sqref="Z8:Z9 AT13:AT36 AL37:AQ37 AL13:AR36">
    <cfRule type="cellIs" dxfId="163" priority="12" operator="greaterThan">
      <formula>99</formula>
    </cfRule>
  </conditionalFormatting>
  <conditionalFormatting sqref="Z8:Z9 AT13:AT36 AL37:AQ37 AL13:AR36">
    <cfRule type="cellIs" dxfId="162" priority="11" operator="greaterThan">
      <formula>0.99</formula>
    </cfRule>
  </conditionalFormatting>
  <conditionalFormatting sqref="AD8:AD9">
    <cfRule type="cellIs" dxfId="161" priority="10" operator="equal">
      <formula>0</formula>
    </cfRule>
  </conditionalFormatting>
  <conditionalFormatting sqref="AD8:AD9">
    <cfRule type="cellIs" dxfId="160" priority="9" operator="greaterThan">
      <formula>1179</formula>
    </cfRule>
  </conditionalFormatting>
  <conditionalFormatting sqref="AD8:AD9">
    <cfRule type="cellIs" dxfId="159" priority="8" operator="greaterThan">
      <formula>99</formula>
    </cfRule>
  </conditionalFormatting>
  <conditionalFormatting sqref="AD8:AD9">
    <cfRule type="cellIs" dxfId="158" priority="7" operator="greaterThan">
      <formula>0.99</formula>
    </cfRule>
  </conditionalFormatting>
  <conditionalFormatting sqref="AK13:AK36">
    <cfRule type="cellIs" dxfId="157" priority="6" operator="greaterThan">
      <formula>$AK$8</formula>
    </cfRule>
  </conditionalFormatting>
  <conditionalFormatting sqref="AS13:AS36">
    <cfRule type="containsText" dxfId="156" priority="1" operator="containsText" text="N/A">
      <formula>NOT(ISERROR(SEARCH("N/A",AS13)))</formula>
    </cfRule>
    <cfRule type="cellIs" dxfId="155" priority="4" operator="equal">
      <formula>0</formula>
    </cfRule>
  </conditionalFormatting>
  <conditionalFormatting sqref="AS13:AS36">
    <cfRule type="cellIs" dxfId="154" priority="3" operator="greaterThanOrEqual">
      <formula>1185</formula>
    </cfRule>
  </conditionalFormatting>
  <conditionalFormatting sqref="AS13:AS36">
    <cfRule type="cellIs" dxfId="153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500-000000000000}">
      <formula1>$BB$11:$BB$42</formula1>
    </dataValidation>
    <dataValidation type="list" allowBlank="1" showInputMessage="1" showErrorMessage="1" sqref="J13:J36" xr:uid="{00000000-0002-0000-1500-000001000000}">
      <formula1>$AY$11:$AY$21</formula1>
    </dataValidation>
    <dataValidation type="list" allowBlank="1" showInputMessage="1" showErrorMessage="1" sqref="AS8:AT9 P11:P12 N11:N12 D8:E9 Q8:V9" xr:uid="{00000000-0002-0000-1500-000002000000}">
      <formula1>#REF!</formula1>
    </dataValidation>
    <dataValidation type="list" allowBlank="1" showInputMessage="1" showErrorMessage="1" sqref="AY33:AZ33" xr:uid="{00000000-0002-0000-1500-000003000000}">
      <formula1>$AY$26:$AY$30</formula1>
    </dataValidation>
  </dataValidations>
  <hyperlinks>
    <hyperlink ref="J10:J11" location="'1'!AH8" display="Plant Status" xr:uid="{00000000-0004-0000-1500-000000000000}"/>
  </hyperlinks>
  <pageMargins left="0.7" right="0.7" top="0.75" bottom="0.75" header="0.3" footer="0.3"/>
  <pageSetup paperSize="9" orientation="portrait" horizont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7030A0"/>
  </sheetPr>
  <dimension ref="A2:BB84"/>
  <sheetViews>
    <sheetView zoomScaleNormal="100" workbookViewId="0">
      <selection activeCell="R4" sqref="R4:W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69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43304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27221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1"/>
      <c r="K9" s="262"/>
      <c r="L9" s="263"/>
      <c r="M9" s="264"/>
      <c r="N9" s="29"/>
      <c r="O9" s="29"/>
      <c r="P9" s="29"/>
      <c r="Q9" s="121"/>
      <c r="R9" s="121"/>
      <c r="S9" s="121"/>
      <c r="T9" s="122"/>
      <c r="U9" s="123"/>
      <c r="V9" s="124"/>
      <c r="W9" s="262"/>
      <c r="X9" s="264"/>
      <c r="Y9" s="30"/>
      <c r="Z9" s="265"/>
      <c r="AA9" s="125"/>
      <c r="AB9" s="126"/>
      <c r="AC9" s="126"/>
      <c r="AD9" s="125"/>
      <c r="AE9" s="125"/>
      <c r="AF9" s="127"/>
      <c r="AG9" s="26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70" t="s">
        <v>51</v>
      </c>
      <c r="X10" s="270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68" t="s">
        <v>55</v>
      </c>
      <c r="AI10" s="268" t="s">
        <v>56</v>
      </c>
      <c r="AJ10" s="314" t="s">
        <v>57</v>
      </c>
      <c r="AK10" s="329" t="s">
        <v>58</v>
      </c>
      <c r="AL10" s="270" t="s">
        <v>59</v>
      </c>
      <c r="AM10" s="270" t="s">
        <v>60</v>
      </c>
      <c r="AN10" s="270" t="s">
        <v>61</v>
      </c>
      <c r="AO10" s="270" t="s">
        <v>62</v>
      </c>
      <c r="AP10" s="270" t="s">
        <v>63</v>
      </c>
      <c r="AQ10" s="270" t="s">
        <v>124</v>
      </c>
      <c r="AR10" s="270" t="s">
        <v>64</v>
      </c>
      <c r="AS10" s="270" t="s">
        <v>65</v>
      </c>
      <c r="AT10" s="312" t="s">
        <v>66</v>
      </c>
      <c r="AU10" s="270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0" t="s">
        <v>72</v>
      </c>
      <c r="C11" s="270" t="s">
        <v>73</v>
      </c>
      <c r="D11" s="270" t="s">
        <v>74</v>
      </c>
      <c r="E11" s="270" t="s">
        <v>75</v>
      </c>
      <c r="F11" s="270" t="s">
        <v>127</v>
      </c>
      <c r="G11" s="270" t="s">
        <v>74</v>
      </c>
      <c r="H11" s="270" t="s">
        <v>75</v>
      </c>
      <c r="I11" s="270" t="s">
        <v>127</v>
      </c>
      <c r="J11" s="309"/>
      <c r="K11" s="270" t="s">
        <v>75</v>
      </c>
      <c r="L11" s="270" t="s">
        <v>75</v>
      </c>
      <c r="M11" s="270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22'!S36</f>
        <v>102482846</v>
      </c>
      <c r="T11" s="322"/>
      <c r="U11" s="323"/>
      <c r="V11" s="324"/>
      <c r="W11" s="270" t="s">
        <v>75</v>
      </c>
      <c r="X11" s="270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22'!AI36</f>
        <v>17623852</v>
      </c>
      <c r="AJ11" s="314"/>
      <c r="AK11" s="330"/>
      <c r="AL11" s="270" t="s">
        <v>84</v>
      </c>
      <c r="AM11" s="270" t="s">
        <v>84</v>
      </c>
      <c r="AN11" s="270" t="s">
        <v>84</v>
      </c>
      <c r="AO11" s="270" t="s">
        <v>84</v>
      </c>
      <c r="AP11" s="270" t="s">
        <v>84</v>
      </c>
      <c r="AQ11" s="270" t="s">
        <v>84</v>
      </c>
      <c r="AR11" s="270" t="s">
        <v>84</v>
      </c>
      <c r="AS11" s="1"/>
      <c r="AT11" s="313"/>
      <c r="AU11" s="267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43304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75</v>
      </c>
      <c r="H13" s="150">
        <f t="shared" ref="H13:H36" si="0">G13/1.42</f>
        <v>52.816901408450704</v>
      </c>
      <c r="I13" s="150">
        <v>78</v>
      </c>
      <c r="J13" s="41" t="s">
        <v>88</v>
      </c>
      <c r="K13" s="41">
        <f>L13-(2/1.42)</f>
        <v>47.887323943661976</v>
      </c>
      <c r="L13" s="42">
        <f>(G13-5)/1.42</f>
        <v>49.295774647887328</v>
      </c>
      <c r="M13" s="41">
        <f>L13+(6/1.42)</f>
        <v>53.521126760563384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102488256</v>
      </c>
      <c r="T13" s="45">
        <f>IF(ISBLANK(S13),"-",S13-S11)</f>
        <v>5410</v>
      </c>
      <c r="U13" s="46">
        <f>T13*24/1000</f>
        <v>129.84</v>
      </c>
      <c r="V13" s="46">
        <f>T13/1000</f>
        <v>5.41</v>
      </c>
      <c r="W13" s="96">
        <v>6.6</v>
      </c>
      <c r="X13" s="96">
        <f t="shared" ref="X13:X36" si="1">W13</f>
        <v>6.6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17625024</v>
      </c>
      <c r="AJ13" s="45">
        <f>IF(ISBLANK(AI13),"-",AI13-AI11)</f>
        <v>1172</v>
      </c>
      <c r="AK13" s="48">
        <f>AJ13/V13</f>
        <v>216.63585951940848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43304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6</v>
      </c>
      <c r="G14" s="118">
        <v>75</v>
      </c>
      <c r="H14" s="150">
        <f t="shared" si="0"/>
        <v>52.816901408450704</v>
      </c>
      <c r="I14" s="150">
        <v>78</v>
      </c>
      <c r="J14" s="41" t="s">
        <v>88</v>
      </c>
      <c r="K14" s="41">
        <f t="shared" ref="K14:K36" si="3">L14-(2/1.42)</f>
        <v>47.887323943661976</v>
      </c>
      <c r="L14" s="42">
        <f>(G14-5)/1.42</f>
        <v>49.295774647887328</v>
      </c>
      <c r="M14" s="41">
        <f>L14+(6/1.42)</f>
        <v>53.521126760563384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102492666</v>
      </c>
      <c r="T14" s="45">
        <f t="shared" ref="T14:T36" si="4">IF(ISBLANK(S14),"-",S14-S13)</f>
        <v>4410</v>
      </c>
      <c r="U14" s="46">
        <f t="shared" ref="U14:U37" si="5">T14*24/1000</f>
        <v>105.84</v>
      </c>
      <c r="V14" s="46">
        <f t="shared" ref="V14:V37" si="6">T14/1000</f>
        <v>4.41</v>
      </c>
      <c r="W14" s="96">
        <v>7.7</v>
      </c>
      <c r="X14" s="96">
        <f t="shared" si="1"/>
        <v>7.7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17626042</v>
      </c>
      <c r="AJ14" s="45">
        <f t="shared" ref="AJ14:AJ36" si="7">IF(ISBLANK(AI14),"-",AI14-AI13)</f>
        <v>1018</v>
      </c>
      <c r="AK14" s="48">
        <f>AJ14/V14</f>
        <v>230.83900226757368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0.96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43304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7</v>
      </c>
      <c r="G15" s="118">
        <v>76</v>
      </c>
      <c r="H15" s="150">
        <f t="shared" si="0"/>
        <v>53.521126760563384</v>
      </c>
      <c r="I15" s="150">
        <v>80</v>
      </c>
      <c r="J15" s="41" t="s">
        <v>88</v>
      </c>
      <c r="K15" s="41">
        <f t="shared" si="3"/>
        <v>48.591549295774648</v>
      </c>
      <c r="L15" s="42">
        <f>(G15-5)/1.42</f>
        <v>50</v>
      </c>
      <c r="M15" s="41">
        <f>L15+(6/1.42)</f>
        <v>54.225352112676056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102497632</v>
      </c>
      <c r="T15" s="45">
        <f>IF(ISBLANK(S15),"-",S15-S14)</f>
        <v>4966</v>
      </c>
      <c r="U15" s="46">
        <f t="shared" si="5"/>
        <v>119.184</v>
      </c>
      <c r="V15" s="46">
        <f t="shared" si="6"/>
        <v>4.9660000000000002</v>
      </c>
      <c r="W15" s="96">
        <v>8.8000000000000007</v>
      </c>
      <c r="X15" s="96">
        <f t="shared" si="1"/>
        <v>8.8000000000000007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17627134</v>
      </c>
      <c r="AJ15" s="45">
        <f t="shared" si="7"/>
        <v>1092</v>
      </c>
      <c r="AK15" s="48">
        <f t="shared" ref="AK15:AK36" si="9">AJ15/V15</f>
        <v>219.89528795811518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43304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102502556</v>
      </c>
      <c r="T16" s="45">
        <f t="shared" si="4"/>
        <v>4924</v>
      </c>
      <c r="U16" s="46">
        <f t="shared" si="5"/>
        <v>118.176</v>
      </c>
      <c r="V16" s="46">
        <f t="shared" si="6"/>
        <v>4.9240000000000004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1147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17628196</v>
      </c>
      <c r="AJ16" s="45">
        <f t="shared" si="7"/>
        <v>1062</v>
      </c>
      <c r="AK16" s="48">
        <f t="shared" si="9"/>
        <v>215.67831031681558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43304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102506874</v>
      </c>
      <c r="T17" s="45">
        <f t="shared" si="4"/>
        <v>4318</v>
      </c>
      <c r="U17" s="46">
        <f t="shared" si="5"/>
        <v>103.63200000000001</v>
      </c>
      <c r="V17" s="46">
        <f t="shared" si="6"/>
        <v>4.3179999999999996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1146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17629224</v>
      </c>
      <c r="AJ17" s="45">
        <f t="shared" si="7"/>
        <v>1028</v>
      </c>
      <c r="AK17" s="48">
        <f t="shared" si="9"/>
        <v>238.07318202871701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43304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79</v>
      </c>
      <c r="H18" s="150">
        <f t="shared" si="0"/>
        <v>55.633802816901408</v>
      </c>
      <c r="I18" s="150">
        <v>78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102511550</v>
      </c>
      <c r="T18" s="45">
        <f t="shared" si="4"/>
        <v>4676</v>
      </c>
      <c r="U18" s="46">
        <f t="shared" si="5"/>
        <v>112.224</v>
      </c>
      <c r="V18" s="46">
        <f t="shared" si="6"/>
        <v>4.6760000000000002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17630280</v>
      </c>
      <c r="AJ18" s="45">
        <f t="shared" si="7"/>
        <v>1056</v>
      </c>
      <c r="AK18" s="48">
        <f t="shared" si="9"/>
        <v>225.83404619332762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0.95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43304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9</v>
      </c>
      <c r="G19" s="118">
        <v>76</v>
      </c>
      <c r="H19" s="150">
        <f t="shared" si="0"/>
        <v>53.521126760563384</v>
      </c>
      <c r="I19" s="150">
        <v>75</v>
      </c>
      <c r="J19" s="41" t="s">
        <v>88</v>
      </c>
      <c r="K19" s="41">
        <f t="shared" si="3"/>
        <v>52.112676056338032</v>
      </c>
      <c r="L19" s="42">
        <f t="shared" si="10"/>
        <v>53.521126760563384</v>
      </c>
      <c r="M19" s="41">
        <f>L19+1.42</f>
        <v>54.941126760563385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102516535</v>
      </c>
      <c r="T19" s="45">
        <f t="shared" si="4"/>
        <v>4985</v>
      </c>
      <c r="U19" s="46">
        <f t="shared" si="5"/>
        <v>119.64</v>
      </c>
      <c r="V19" s="46">
        <f t="shared" si="6"/>
        <v>4.9850000000000003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17631371</v>
      </c>
      <c r="AJ19" s="45">
        <f t="shared" si="7"/>
        <v>1091</v>
      </c>
      <c r="AK19" s="48">
        <f t="shared" si="9"/>
        <v>218.85656970912737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43304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9</v>
      </c>
      <c r="G20" s="118">
        <v>79</v>
      </c>
      <c r="H20" s="150">
        <f t="shared" si="0"/>
        <v>55.633802816901408</v>
      </c>
      <c r="I20" s="150">
        <v>78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102521850</v>
      </c>
      <c r="T20" s="45">
        <f t="shared" si="4"/>
        <v>5315</v>
      </c>
      <c r="U20" s="46">
        <f>T20*24/1000</f>
        <v>127.56</v>
      </c>
      <c r="V20" s="46">
        <f t="shared" si="6"/>
        <v>5.3150000000000004</v>
      </c>
      <c r="W20" s="96">
        <v>9</v>
      </c>
      <c r="X20" s="96">
        <f t="shared" si="1"/>
        <v>9</v>
      </c>
      <c r="Y20" s="97" t="s">
        <v>168</v>
      </c>
      <c r="Z20" s="154">
        <v>1027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17632576</v>
      </c>
      <c r="AJ20" s="45">
        <f t="shared" si="7"/>
        <v>1205</v>
      </c>
      <c r="AK20" s="48">
        <f t="shared" si="9"/>
        <v>226.71683913452492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43304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8</v>
      </c>
      <c r="G21" s="118">
        <v>76</v>
      </c>
      <c r="H21" s="150">
        <f t="shared" si="0"/>
        <v>53.521126760563384</v>
      </c>
      <c r="I21" s="150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102527657</v>
      </c>
      <c r="T21" s="45">
        <f t="shared" si="4"/>
        <v>5807</v>
      </c>
      <c r="U21" s="46">
        <f t="shared" si="5"/>
        <v>139.36799999999999</v>
      </c>
      <c r="V21" s="46">
        <f t="shared" si="6"/>
        <v>5.8070000000000004</v>
      </c>
      <c r="W21" s="96">
        <v>8.4</v>
      </c>
      <c r="X21" s="96">
        <f t="shared" si="1"/>
        <v>8.4</v>
      </c>
      <c r="Y21" s="97" t="s">
        <v>168</v>
      </c>
      <c r="Z21" s="154">
        <v>1043</v>
      </c>
      <c r="AA21" s="154">
        <v>0</v>
      </c>
      <c r="AB21" s="154">
        <v>1186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17633742</v>
      </c>
      <c r="AJ21" s="45">
        <f t="shared" si="7"/>
        <v>1166</v>
      </c>
      <c r="AK21" s="48">
        <f t="shared" si="9"/>
        <v>200.79214740830031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43304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7</v>
      </c>
      <c r="G22" s="118">
        <v>76</v>
      </c>
      <c r="H22" s="150">
        <f t="shared" si="0"/>
        <v>53.521126760563384</v>
      </c>
      <c r="I22" s="150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102533285</v>
      </c>
      <c r="T22" s="45">
        <f t="shared" si="4"/>
        <v>5628</v>
      </c>
      <c r="U22" s="46">
        <f t="shared" si="5"/>
        <v>135.072</v>
      </c>
      <c r="V22" s="46">
        <f t="shared" si="6"/>
        <v>5.6280000000000001</v>
      </c>
      <c r="W22" s="96">
        <v>7.7</v>
      </c>
      <c r="X22" s="96">
        <f t="shared" si="1"/>
        <v>7.7</v>
      </c>
      <c r="Y22" s="97" t="s">
        <v>168</v>
      </c>
      <c r="Z22" s="154">
        <v>1047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17634942</v>
      </c>
      <c r="AJ22" s="45">
        <f t="shared" si="7"/>
        <v>1200</v>
      </c>
      <c r="AK22" s="48">
        <f t="shared" si="9"/>
        <v>213.21961620469082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1.03</v>
      </c>
      <c r="AV22" s="50" t="s">
        <v>126</v>
      </c>
      <c r="BB22" s="136" t="s">
        <v>156</v>
      </c>
    </row>
    <row r="23" spans="1:54" x14ac:dyDescent="0.35">
      <c r="A23" s="331">
        <v>43304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6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102538690</v>
      </c>
      <c r="T23" s="45">
        <f t="shared" si="4"/>
        <v>5405</v>
      </c>
      <c r="U23" s="46">
        <f t="shared" si="5"/>
        <v>129.72</v>
      </c>
      <c r="V23" s="46">
        <f t="shared" si="6"/>
        <v>5.4050000000000002</v>
      </c>
      <c r="W23" s="96">
        <v>7</v>
      </c>
      <c r="X23" s="96">
        <f>W23</f>
        <v>7</v>
      </c>
      <c r="Y23" s="97" t="s">
        <v>168</v>
      </c>
      <c r="Z23" s="154">
        <v>1037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17636102</v>
      </c>
      <c r="AJ23" s="45">
        <f t="shared" si="7"/>
        <v>1160</v>
      </c>
      <c r="AK23" s="48">
        <f t="shared" si="9"/>
        <v>214.61609620721552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43304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5</v>
      </c>
      <c r="G24" s="118">
        <v>75</v>
      </c>
      <c r="H24" s="150">
        <f t="shared" si="0"/>
        <v>52.816901408450704</v>
      </c>
      <c r="I24" s="150">
        <v>74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102544209</v>
      </c>
      <c r="T24" s="45">
        <f t="shared" si="4"/>
        <v>5519</v>
      </c>
      <c r="U24" s="46">
        <f>T24*24/1000</f>
        <v>132.45599999999999</v>
      </c>
      <c r="V24" s="46">
        <f t="shared" si="6"/>
        <v>5.5190000000000001</v>
      </c>
      <c r="W24" s="96">
        <v>6.4</v>
      </c>
      <c r="X24" s="96">
        <f t="shared" si="1"/>
        <v>6.4</v>
      </c>
      <c r="Y24" s="97" t="s">
        <v>168</v>
      </c>
      <c r="Z24" s="154">
        <v>1037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17637340</v>
      </c>
      <c r="AJ24" s="45">
        <f t="shared" si="7"/>
        <v>1238</v>
      </c>
      <c r="AK24" s="48">
        <f t="shared" si="9"/>
        <v>224.31599927523101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43304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4</v>
      </c>
      <c r="G25" s="118">
        <v>75</v>
      </c>
      <c r="H25" s="150">
        <f t="shared" si="0"/>
        <v>52.816901408450704</v>
      </c>
      <c r="I25" s="150">
        <v>73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102549630</v>
      </c>
      <c r="T25" s="45">
        <f t="shared" si="4"/>
        <v>5421</v>
      </c>
      <c r="U25" s="46">
        <f>T25*24/1000</f>
        <v>130.10400000000001</v>
      </c>
      <c r="V25" s="46">
        <f t="shared" si="6"/>
        <v>5.4210000000000003</v>
      </c>
      <c r="W25" s="96">
        <v>5.8</v>
      </c>
      <c r="X25" s="96">
        <f t="shared" si="1"/>
        <v>5.8</v>
      </c>
      <c r="Y25" s="97" t="s">
        <v>168</v>
      </c>
      <c r="Z25" s="154">
        <v>1047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17638531</v>
      </c>
      <c r="AJ25" s="45">
        <f t="shared" si="7"/>
        <v>1191</v>
      </c>
      <c r="AK25" s="48">
        <f t="shared" si="9"/>
        <v>219.70116214720531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43304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4</v>
      </c>
      <c r="G26" s="118">
        <v>75</v>
      </c>
      <c r="H26" s="150">
        <f t="shared" si="0"/>
        <v>52.816901408450704</v>
      </c>
      <c r="I26" s="150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102554820</v>
      </c>
      <c r="T26" s="45">
        <f t="shared" si="4"/>
        <v>5190</v>
      </c>
      <c r="U26" s="46">
        <f t="shared" si="5"/>
        <v>124.56</v>
      </c>
      <c r="V26" s="46">
        <f t="shared" si="6"/>
        <v>5.19</v>
      </c>
      <c r="W26" s="96">
        <v>5.0999999999999996</v>
      </c>
      <c r="X26" s="96">
        <f t="shared" si="1"/>
        <v>5.0999999999999996</v>
      </c>
      <c r="Y26" s="97" t="s">
        <v>168</v>
      </c>
      <c r="Z26" s="154">
        <v>1047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17639676</v>
      </c>
      <c r="AJ26" s="45">
        <f t="shared" si="7"/>
        <v>1145</v>
      </c>
      <c r="AK26" s="48">
        <f t="shared" si="9"/>
        <v>220.61657032755298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v>0</v>
      </c>
      <c r="AU26" s="119">
        <v>0.96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43304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3</v>
      </c>
      <c r="G27" s="118">
        <v>75</v>
      </c>
      <c r="H27" s="150">
        <f t="shared" si="0"/>
        <v>52.816901408450704</v>
      </c>
      <c r="I27" s="150">
        <v>73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102560266</v>
      </c>
      <c r="T27" s="45">
        <f t="shared" si="4"/>
        <v>5446</v>
      </c>
      <c r="U27" s="46">
        <f t="shared" si="5"/>
        <v>130.70400000000001</v>
      </c>
      <c r="V27" s="46">
        <f t="shared" si="6"/>
        <v>5.4459999999999997</v>
      </c>
      <c r="W27" s="96">
        <v>4.5999999999999996</v>
      </c>
      <c r="X27" s="96">
        <f t="shared" si="1"/>
        <v>4.5999999999999996</v>
      </c>
      <c r="Y27" s="97" t="s">
        <v>168</v>
      </c>
      <c r="Z27" s="154">
        <v>1016</v>
      </c>
      <c r="AA27" s="154">
        <v>0</v>
      </c>
      <c r="AB27" s="154">
        <v>1186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17640850</v>
      </c>
      <c r="AJ27" s="45">
        <f t="shared" si="7"/>
        <v>1174</v>
      </c>
      <c r="AK27" s="48">
        <f t="shared" si="9"/>
        <v>215.5710613294161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43304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3</v>
      </c>
      <c r="G28" s="118">
        <v>75</v>
      </c>
      <c r="H28" s="150">
        <f t="shared" si="0"/>
        <v>52.816901408450704</v>
      </c>
      <c r="I28" s="150">
        <v>73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102565712</v>
      </c>
      <c r="T28" s="45">
        <f t="shared" si="4"/>
        <v>5446</v>
      </c>
      <c r="U28" s="46">
        <f t="shared" si="5"/>
        <v>130.70400000000001</v>
      </c>
      <c r="V28" s="46">
        <f t="shared" si="6"/>
        <v>5.4459999999999997</v>
      </c>
      <c r="W28" s="96">
        <v>4.0999999999999996</v>
      </c>
      <c r="X28" s="96">
        <f t="shared" si="1"/>
        <v>4.0999999999999996</v>
      </c>
      <c r="Y28" s="97" t="s">
        <v>168</v>
      </c>
      <c r="Z28" s="154">
        <v>1016</v>
      </c>
      <c r="AA28" s="154">
        <v>0</v>
      </c>
      <c r="AB28" s="154">
        <v>1186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17642007</v>
      </c>
      <c r="AJ28" s="45">
        <f>IF(ISBLANK(AI28),"-",AI28-AI27)</f>
        <v>1157</v>
      </c>
      <c r="AK28" s="48">
        <f t="shared" si="9"/>
        <v>212.44950422328316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43304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2</v>
      </c>
      <c r="G29" s="118">
        <v>74</v>
      </c>
      <c r="H29" s="150">
        <f t="shared" si="0"/>
        <v>52.112676056338032</v>
      </c>
      <c r="I29" s="150">
        <v>73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102571081</v>
      </c>
      <c r="T29" s="45">
        <f t="shared" si="4"/>
        <v>5369</v>
      </c>
      <c r="U29" s="46">
        <f t="shared" si="5"/>
        <v>128.85599999999999</v>
      </c>
      <c r="V29" s="46">
        <f t="shared" si="6"/>
        <v>5.3689999999999998</v>
      </c>
      <c r="W29" s="96">
        <v>3.7</v>
      </c>
      <c r="X29" s="96">
        <f t="shared" si="1"/>
        <v>3.7</v>
      </c>
      <c r="Y29" s="97" t="s">
        <v>168</v>
      </c>
      <c r="Z29" s="154">
        <v>1015</v>
      </c>
      <c r="AA29" s="154">
        <v>0</v>
      </c>
      <c r="AB29" s="154">
        <v>1188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17643145</v>
      </c>
      <c r="AJ29" s="45">
        <f t="shared" si="7"/>
        <v>1138</v>
      </c>
      <c r="AK29" s="48">
        <f>AJ28/V29</f>
        <v>215.49636803874094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43304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2</v>
      </c>
      <c r="G30" s="118">
        <v>74</v>
      </c>
      <c r="H30" s="150">
        <f t="shared" si="0"/>
        <v>52.112676056338032</v>
      </c>
      <c r="I30" s="150">
        <v>73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102576830</v>
      </c>
      <c r="T30" s="45">
        <f t="shared" si="4"/>
        <v>5749</v>
      </c>
      <c r="U30" s="46">
        <f t="shared" si="5"/>
        <v>137.976</v>
      </c>
      <c r="V30" s="46">
        <f t="shared" si="6"/>
        <v>5.7489999999999997</v>
      </c>
      <c r="W30" s="96">
        <v>3.3</v>
      </c>
      <c r="X30" s="96">
        <f t="shared" si="1"/>
        <v>3.3</v>
      </c>
      <c r="Y30" s="97" t="s">
        <v>168</v>
      </c>
      <c r="Z30" s="154">
        <v>1016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17644328</v>
      </c>
      <c r="AJ30" s="45">
        <f t="shared" si="7"/>
        <v>1183</v>
      </c>
      <c r="AK30" s="48">
        <f>AJ29/V30</f>
        <v>197.94746912506525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1.01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43304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1</v>
      </c>
      <c r="G31" s="118">
        <v>74</v>
      </c>
      <c r="H31" s="150">
        <f t="shared" si="0"/>
        <v>52.112676056338032</v>
      </c>
      <c r="I31" s="150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102582293</v>
      </c>
      <c r="T31" s="45">
        <f t="shared" si="4"/>
        <v>5463</v>
      </c>
      <c r="U31" s="46">
        <f t="shared" si="5"/>
        <v>131.11199999999999</v>
      </c>
      <c r="V31" s="46">
        <f t="shared" si="6"/>
        <v>5.4630000000000001</v>
      </c>
      <c r="W31" s="96">
        <v>2.9</v>
      </c>
      <c r="X31" s="96">
        <f t="shared" si="1"/>
        <v>2.9</v>
      </c>
      <c r="Y31" s="97" t="s">
        <v>168</v>
      </c>
      <c r="Z31" s="154">
        <v>1015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17645479</v>
      </c>
      <c r="AJ31" s="45">
        <f t="shared" si="7"/>
        <v>1151</v>
      </c>
      <c r="AK31" s="48">
        <f t="shared" si="9"/>
        <v>210.69009701629142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43304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0</v>
      </c>
      <c r="G32" s="118">
        <v>73</v>
      </c>
      <c r="H32" s="150">
        <f t="shared" si="0"/>
        <v>51.408450704225352</v>
      </c>
      <c r="I32" s="150">
        <v>72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102587478</v>
      </c>
      <c r="T32" s="45">
        <f t="shared" si="4"/>
        <v>5185</v>
      </c>
      <c r="U32" s="46">
        <f t="shared" si="5"/>
        <v>124.44</v>
      </c>
      <c r="V32" s="46">
        <f t="shared" si="6"/>
        <v>5.1849999999999996</v>
      </c>
      <c r="W32" s="96">
        <v>2.5</v>
      </c>
      <c r="X32" s="96">
        <f t="shared" si="1"/>
        <v>2.5</v>
      </c>
      <c r="Y32" s="97" t="s">
        <v>168</v>
      </c>
      <c r="Z32" s="154">
        <v>1015</v>
      </c>
      <c r="AA32" s="154">
        <v>0</v>
      </c>
      <c r="AB32" s="154">
        <v>1186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17646632</v>
      </c>
      <c r="AJ32" s="45">
        <f t="shared" si="7"/>
        <v>1153</v>
      </c>
      <c r="AK32" s="48">
        <f t="shared" si="9"/>
        <v>222.37222757955644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43304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-1</v>
      </c>
      <c r="G33" s="118">
        <v>74</v>
      </c>
      <c r="H33" s="150">
        <f t="shared" si="0"/>
        <v>52.112676056338032</v>
      </c>
      <c r="I33" s="150">
        <v>72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102592553</v>
      </c>
      <c r="T33" s="45">
        <f t="shared" si="4"/>
        <v>5075</v>
      </c>
      <c r="U33" s="46">
        <f t="shared" si="5"/>
        <v>121.8</v>
      </c>
      <c r="V33" s="46">
        <f t="shared" si="6"/>
        <v>5.0750000000000002</v>
      </c>
      <c r="W33" s="96">
        <v>2.2000000000000002</v>
      </c>
      <c r="X33" s="96">
        <f t="shared" si="1"/>
        <v>2.2000000000000002</v>
      </c>
      <c r="Y33" s="97" t="s">
        <v>168</v>
      </c>
      <c r="Z33" s="154">
        <v>1014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17647717</v>
      </c>
      <c r="AJ33" s="45">
        <f t="shared" si="7"/>
        <v>1085</v>
      </c>
      <c r="AK33" s="48">
        <f t="shared" si="9"/>
        <v>213.79310344827584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43304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-1</v>
      </c>
      <c r="G34" s="118">
        <v>75</v>
      </c>
      <c r="H34" s="150">
        <f t="shared" si="0"/>
        <v>52.816901408450704</v>
      </c>
      <c r="I34" s="150">
        <v>73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102598490</v>
      </c>
      <c r="T34" s="45">
        <f t="shared" si="4"/>
        <v>5937</v>
      </c>
      <c r="U34" s="46">
        <f t="shared" si="5"/>
        <v>142.488</v>
      </c>
      <c r="V34" s="46">
        <f t="shared" si="6"/>
        <v>5.9370000000000003</v>
      </c>
      <c r="W34" s="96">
        <v>1.9</v>
      </c>
      <c r="X34" s="96">
        <f t="shared" si="1"/>
        <v>1.9</v>
      </c>
      <c r="Y34" s="97" t="s">
        <v>168</v>
      </c>
      <c r="Z34" s="154">
        <v>1015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17648890</v>
      </c>
      <c r="AJ34" s="45">
        <f t="shared" si="7"/>
        <v>1173</v>
      </c>
      <c r="AK34" s="48">
        <f t="shared" si="9"/>
        <v>197.57453259221828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0.89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43304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-5</v>
      </c>
      <c r="G35" s="118">
        <v>65</v>
      </c>
      <c r="H35" s="150">
        <f t="shared" si="0"/>
        <v>45.774647887323944</v>
      </c>
      <c r="I35" s="150">
        <v>63</v>
      </c>
      <c r="J35" s="41" t="s">
        <v>88</v>
      </c>
      <c r="K35" s="41">
        <f>L35-(2/1.42)</f>
        <v>40.845070422535215</v>
      </c>
      <c r="L35" s="42">
        <f>(G35-5)/1.42</f>
        <v>42.253521126760567</v>
      </c>
      <c r="M35" s="41">
        <f t="shared" si="12"/>
        <v>46.478873239436624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102603420</v>
      </c>
      <c r="T35" s="45">
        <f t="shared" si="4"/>
        <v>4930</v>
      </c>
      <c r="U35" s="46">
        <f t="shared" si="5"/>
        <v>118.32</v>
      </c>
      <c r="V35" s="46">
        <f t="shared" si="6"/>
        <v>4.93</v>
      </c>
      <c r="W35" s="96">
        <v>2.8</v>
      </c>
      <c r="X35" s="96">
        <f t="shared" si="1"/>
        <v>2.8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17649959</v>
      </c>
      <c r="AJ35" s="45">
        <f t="shared" si="7"/>
        <v>1069</v>
      </c>
      <c r="AK35" s="48">
        <f t="shared" si="9"/>
        <v>216.83569979716026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43304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-1</v>
      </c>
      <c r="G36" s="118">
        <v>65</v>
      </c>
      <c r="H36" s="150">
        <f t="shared" si="0"/>
        <v>45.774647887323944</v>
      </c>
      <c r="I36" s="150">
        <v>63</v>
      </c>
      <c r="J36" s="41" t="s">
        <v>88</v>
      </c>
      <c r="K36" s="41">
        <f t="shared" si="3"/>
        <v>40.845070422535215</v>
      </c>
      <c r="L36" s="42">
        <f>(G36-5)/1.42</f>
        <v>42.253521126760567</v>
      </c>
      <c r="M36" s="41">
        <f t="shared" si="12"/>
        <v>46.478873239436624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102608098</v>
      </c>
      <c r="T36" s="45">
        <f t="shared" si="4"/>
        <v>4678</v>
      </c>
      <c r="U36" s="46">
        <f t="shared" si="5"/>
        <v>112.27200000000001</v>
      </c>
      <c r="V36" s="46">
        <f t="shared" si="6"/>
        <v>4.6779999999999999</v>
      </c>
      <c r="W36" s="96">
        <v>4.4000000000000004</v>
      </c>
      <c r="X36" s="96">
        <f t="shared" si="1"/>
        <v>4.4000000000000004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17651073</v>
      </c>
      <c r="AJ36" s="45">
        <f t="shared" si="7"/>
        <v>1114</v>
      </c>
      <c r="AK36" s="48">
        <f t="shared" si="9"/>
        <v>238.13595553655409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125252</v>
      </c>
      <c r="U37" s="46">
        <f t="shared" si="5"/>
        <v>3006.0479999999998</v>
      </c>
      <c r="V37" s="46">
        <f t="shared" si="6"/>
        <v>125.252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27221</v>
      </c>
      <c r="AK37" s="61">
        <f>$AJ$37/$V37</f>
        <v>217.32986299619967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0.96666666666666667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254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209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200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255</v>
      </c>
      <c r="C52" s="184"/>
      <c r="D52" s="184"/>
      <c r="E52" s="184"/>
      <c r="F52" s="130"/>
      <c r="G52" s="130"/>
      <c r="H52" s="156"/>
      <c r="I52" s="156"/>
      <c r="J52" s="156"/>
      <c r="K52" s="156"/>
      <c r="L52" s="156"/>
      <c r="M52" s="156"/>
      <c r="N52" s="131"/>
      <c r="O52" s="131"/>
      <c r="P52" s="131"/>
      <c r="Q52" s="114"/>
      <c r="R52" s="104"/>
      <c r="S52" s="104"/>
      <c r="T52" s="104"/>
      <c r="U52" s="114"/>
      <c r="V52" s="114"/>
      <c r="W52" s="114"/>
      <c r="X52" s="94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49"/>
      <c r="F53" s="149"/>
      <c r="G53" s="149"/>
      <c r="H53" s="149"/>
      <c r="I53" s="149"/>
      <c r="J53" s="149"/>
      <c r="K53" s="162"/>
      <c r="L53" s="143"/>
      <c r="M53" s="105"/>
      <c r="N53" s="105"/>
      <c r="O53" s="105"/>
      <c r="P53" s="105"/>
      <c r="Q53" s="105"/>
      <c r="R53" s="105"/>
      <c r="S53" s="105"/>
      <c r="T53" s="105"/>
      <c r="U53" s="105"/>
      <c r="V53" s="147"/>
      <c r="W53" s="147"/>
      <c r="X53" s="148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66"/>
      <c r="D54" s="166"/>
      <c r="E54" s="115"/>
      <c r="F54" s="115"/>
      <c r="G54" s="115"/>
      <c r="H54" s="115"/>
      <c r="I54" s="149"/>
      <c r="J54" s="104"/>
      <c r="K54" s="104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47"/>
      <c r="W54" s="147"/>
      <c r="X54" s="148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66"/>
      <c r="D55" s="166"/>
      <c r="E55" s="149"/>
      <c r="F55" s="149"/>
      <c r="G55" s="149"/>
      <c r="H55" s="149"/>
      <c r="I55" s="149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7"/>
      <c r="W55" s="147"/>
      <c r="X55" s="148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66"/>
      <c r="D56" s="170"/>
      <c r="E56" s="170"/>
      <c r="F56" s="114"/>
      <c r="G56" s="114"/>
      <c r="H56" s="104"/>
      <c r="I56" s="10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256</v>
      </c>
      <c r="C57" s="149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15"/>
      <c r="D58" s="100"/>
      <c r="E58" s="100"/>
      <c r="F58" s="115"/>
      <c r="G58" s="115"/>
      <c r="H58" s="9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224</v>
      </c>
      <c r="C59" s="115"/>
      <c r="D59" s="162"/>
      <c r="E59" s="162"/>
      <c r="F59" s="162"/>
      <c r="G59" s="162"/>
      <c r="H59" s="162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49"/>
      <c r="C60" s="115"/>
      <c r="D60" s="100"/>
      <c r="E60" s="100"/>
      <c r="F60" s="115"/>
      <c r="G60" s="115"/>
      <c r="H60" s="92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15"/>
      <c r="D61" s="162"/>
      <c r="E61" s="162"/>
      <c r="F61" s="162"/>
      <c r="G61" s="162"/>
      <c r="H61" s="162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AV61" s="86"/>
      <c r="AW61" s="86"/>
      <c r="AX61" s="86"/>
      <c r="AY61" s="86"/>
      <c r="AZ61" s="86"/>
      <c r="BA61" s="86"/>
      <c r="BB61" s="86"/>
    </row>
    <row r="62" spans="1:54" x14ac:dyDescent="0.35">
      <c r="B62" s="158"/>
      <c r="C62" s="115"/>
      <c r="D62" s="162"/>
      <c r="E62" s="162"/>
      <c r="F62" s="162"/>
      <c r="G62" s="162"/>
      <c r="H62" s="162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AV62" s="86"/>
      <c r="AW62" s="86"/>
      <c r="AX62" s="86"/>
      <c r="AY62" s="86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AV63" s="86"/>
      <c r="AW63" s="86"/>
      <c r="AX63" s="86"/>
      <c r="AY63" s="86"/>
      <c r="AZ63" s="86"/>
      <c r="BA63" s="86"/>
      <c r="BB63" s="86"/>
    </row>
    <row r="64" spans="1:54" x14ac:dyDescent="0.35">
      <c r="Q64" s="12"/>
      <c r="R64" s="87"/>
      <c r="S64" s="87"/>
      <c r="T64" s="87"/>
      <c r="U64" s="87"/>
      <c r="AV64" s="86"/>
      <c r="AW64" s="86"/>
      <c r="AX64" s="86"/>
      <c r="AY64" s="86"/>
      <c r="AZ64" s="86"/>
      <c r="BA64" s="86"/>
      <c r="BB64" s="86"/>
    </row>
    <row r="65" spans="17:54" x14ac:dyDescent="0.35">
      <c r="Q65" s="12"/>
      <c r="R65" s="87"/>
      <c r="S65" s="87"/>
      <c r="T65" s="87"/>
      <c r="U65" s="87"/>
      <c r="V65" s="87"/>
      <c r="AV65" s="86"/>
      <c r="AW65" s="86"/>
      <c r="AX65" s="86"/>
      <c r="AY65" s="86"/>
      <c r="AZ65" s="86"/>
      <c r="BA65" s="86"/>
      <c r="BB65" s="86"/>
    </row>
    <row r="66" spans="17:54" x14ac:dyDescent="0.35">
      <c r="Q66" s="12"/>
      <c r="R66" s="87"/>
      <c r="S66" s="87"/>
      <c r="T66" s="87"/>
      <c r="U66" s="87"/>
      <c r="V66" s="87"/>
      <c r="AV66" s="86"/>
      <c r="AW66" s="86"/>
      <c r="AX66" s="86"/>
      <c r="AY66" s="86"/>
      <c r="AZ66" s="86"/>
      <c r="BA66" s="86"/>
      <c r="BB66" s="86"/>
    </row>
    <row r="67" spans="17:54" x14ac:dyDescent="0.35">
      <c r="Q67" s="12"/>
      <c r="R67" s="87"/>
      <c r="V67" s="87"/>
      <c r="AV67" s="86"/>
      <c r="AW67" s="86"/>
      <c r="AX67" s="86"/>
      <c r="AY67" s="86"/>
      <c r="AZ67" s="86"/>
      <c r="BA67" s="86"/>
      <c r="BB67" s="86"/>
    </row>
    <row r="68" spans="17:54" x14ac:dyDescent="0.35">
      <c r="Q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17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17:54" x14ac:dyDescent="0.35">
      <c r="Q70" s="12"/>
      <c r="R70" s="87"/>
      <c r="S70" s="87"/>
      <c r="T70" s="87"/>
      <c r="U70" s="87"/>
      <c r="V70" s="87"/>
      <c r="W70" s="87"/>
      <c r="AV70" s="86"/>
      <c r="AW70" s="86"/>
      <c r="AX70" s="86"/>
      <c r="AY70" s="86"/>
      <c r="AZ70" s="86"/>
      <c r="BA70" s="86"/>
      <c r="BB70" s="86"/>
    </row>
    <row r="71" spans="17:54" x14ac:dyDescent="0.35">
      <c r="Q71" s="12"/>
      <c r="R71" s="87"/>
      <c r="V71" s="87"/>
      <c r="W71" s="87"/>
      <c r="AV71" s="86"/>
      <c r="AW71" s="86"/>
      <c r="AX71" s="86"/>
      <c r="AY71" s="86"/>
      <c r="AZ71" s="86"/>
      <c r="BA71" s="86"/>
      <c r="BB71" s="86"/>
    </row>
    <row r="72" spans="17:54" x14ac:dyDescent="0.35">
      <c r="BB72" s="86"/>
    </row>
    <row r="83" spans="48:54" x14ac:dyDescent="0.35">
      <c r="AV83" s="86"/>
      <c r="AW83" s="86"/>
      <c r="AX83" s="86"/>
      <c r="AY83" s="86"/>
      <c r="AZ83" s="86"/>
      <c r="BA83" s="86"/>
    </row>
    <row r="84" spans="48:54" x14ac:dyDescent="0.35">
      <c r="BB84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0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3" name="Range2_2_12_1_3_1_2_1_1_1_1_2_1_1_1_1_1_1_1_1_1_1_1"/>
    <protectedRange sqref="F58:F63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56:H57" name="Range2_12_5_1_1_1_2_2_1_1_1_1_1_1_1_1_1_1_1_2_1_1_1_2_1_1_1_1_1_1_1_1_1_1_1_1_1_1_1_1_2_1_1_1_1_1_1_1_1_1_2_1_1_3_1_1_1_3_1_1_1_1_1_1_1_1_1_1_1_1_1_1_1_1_1_1_1_1_1_1_2_1_1_1_1_1_1_1_1_1_1_1_2_2_1_2_1_1_1_1_1_1_1_1_1_1_1_1_1"/>
    <protectedRange sqref="U53:V63" name="Range2_12_5_1_1_2_1_1_1_2_1_1_1_1_1_1_1_1_1_1_1_1_1"/>
    <protectedRange sqref="P53:T63" name="Range2_12_1_6_1_1_2_1_1_1_2_1_1_1_1_1_1_1_1_1_1_1_1_1"/>
    <protectedRange sqref="N53:O63" name="Range2_2_12_1_7_1_1_3_1_1_1_2_1_1_1_1_1_1_1_1_1_1_1_1_1"/>
    <protectedRange sqref="M53 L54:M63" name="Range2_2_12_1_4_1_1_1_1_1_1_1_1_1_1_1_1_1_1_1_2_1_1_1_2_1_1_1_1_1_1_1_1_1_1_1_1_1"/>
    <protectedRange sqref="K54:K63" name="Range2_2_12_1_7_1_1_2_2_1_2_2_1_1_1_2_1_1_1_1_1_1_1_1_1_1_1_1_1"/>
    <protectedRange sqref="J54:J55 I56:J63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3:W3" name="Range1_16_1_1_1_1_1_1_2_2_2_2_2_2_2_2_2_2_2_2_2_2_2_2_2_2_2_2_2_2_2_1_2_2_2_2_2_2_2_2_2_2_3_2_2_2_2_2_2_2_2_2_2_1_1_1_1_2_2_1_1_1_1_1_1_1_1_1_1_1_1_1_1_3_1_2_1_1_1_1_1_1_2_1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R4:W4" name="Range1_16_1_1_1_1_1_1_2_2_2_2_2_2_2_2_2_2_2_2_2_2_2_2_2_2_2_2_2_2_2_1_2_2_2_2_2_2_2_2_2_2_3_2_2_2_2_2_2_2_2_2_2_1_1_1_1_2_2_1_1_1_1_1_1_1_1_1_1_1_1_1_1_3_1_2_1_1_1_1_1_2_2_2_2_1_1_1_1_2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52" priority="5" operator="containsText" text="N/A">
      <formula>NOT(ISERROR(SEARCH("N/A",Z13)))</formula>
    </cfRule>
    <cfRule type="cellIs" dxfId="151" priority="17" operator="equal">
      <formula>0</formula>
    </cfRule>
  </conditionalFormatting>
  <conditionalFormatting sqref="Z13:AG36">
    <cfRule type="cellIs" dxfId="150" priority="16" operator="greaterThanOrEqual">
      <formula>1185</formula>
    </cfRule>
  </conditionalFormatting>
  <conditionalFormatting sqref="Z13:AG36">
    <cfRule type="cellIs" dxfId="149" priority="15" operator="between">
      <formula>0.1</formula>
      <formula>1184</formula>
    </cfRule>
  </conditionalFormatting>
  <conditionalFormatting sqref="Z8:Z9 AT13:AT36 AL37:AQ37 AL13:AR36">
    <cfRule type="cellIs" dxfId="148" priority="14" operator="equal">
      <formula>0</formula>
    </cfRule>
  </conditionalFormatting>
  <conditionalFormatting sqref="Z8:Z9 AT13:AT36 AL37:AQ37 AL13:AR36">
    <cfRule type="cellIs" dxfId="147" priority="13" operator="greaterThan">
      <formula>1179</formula>
    </cfRule>
  </conditionalFormatting>
  <conditionalFormatting sqref="Z8:Z9 AT13:AT36 AL37:AQ37 AL13:AR36">
    <cfRule type="cellIs" dxfId="146" priority="12" operator="greaterThan">
      <formula>99</formula>
    </cfRule>
  </conditionalFormatting>
  <conditionalFormatting sqref="Z8:Z9 AT13:AT36 AL37:AQ37 AL13:AR36">
    <cfRule type="cellIs" dxfId="145" priority="11" operator="greaterThan">
      <formula>0.99</formula>
    </cfRule>
  </conditionalFormatting>
  <conditionalFormatting sqref="AD8:AD9">
    <cfRule type="cellIs" dxfId="144" priority="10" operator="equal">
      <formula>0</formula>
    </cfRule>
  </conditionalFormatting>
  <conditionalFormatting sqref="AD8:AD9">
    <cfRule type="cellIs" dxfId="143" priority="9" operator="greaterThan">
      <formula>1179</formula>
    </cfRule>
  </conditionalFormatting>
  <conditionalFormatting sqref="AD8:AD9">
    <cfRule type="cellIs" dxfId="142" priority="8" operator="greaterThan">
      <formula>99</formula>
    </cfRule>
  </conditionalFormatting>
  <conditionalFormatting sqref="AD8:AD9">
    <cfRule type="cellIs" dxfId="141" priority="7" operator="greaterThan">
      <formula>0.99</formula>
    </cfRule>
  </conditionalFormatting>
  <conditionalFormatting sqref="AK13:AK36">
    <cfRule type="cellIs" dxfId="140" priority="6" operator="greaterThan">
      <formula>$AK$8</formula>
    </cfRule>
  </conditionalFormatting>
  <conditionalFormatting sqref="AS13:AS36">
    <cfRule type="containsText" dxfId="139" priority="1" operator="containsText" text="N/A">
      <formula>NOT(ISERROR(SEARCH("N/A",AS13)))</formula>
    </cfRule>
    <cfRule type="cellIs" dxfId="138" priority="4" operator="equal">
      <formula>0</formula>
    </cfRule>
  </conditionalFormatting>
  <conditionalFormatting sqref="AS13:AS36">
    <cfRule type="cellIs" dxfId="137" priority="3" operator="greaterThanOrEqual">
      <formula>1185</formula>
    </cfRule>
  </conditionalFormatting>
  <conditionalFormatting sqref="AS13:AS36">
    <cfRule type="cellIs" dxfId="136" priority="2" operator="between">
      <formula>0.1</formula>
      <formula>1184</formula>
    </cfRule>
  </conditionalFormatting>
  <dataValidations count="4">
    <dataValidation type="list" allowBlank="1" showInputMessage="1" showErrorMessage="1" sqref="AY33:AZ33" xr:uid="{00000000-0002-0000-1600-000000000000}">
      <formula1>$AY$26:$AY$30</formula1>
    </dataValidation>
    <dataValidation type="list" allowBlank="1" showInputMessage="1" showErrorMessage="1" sqref="AS8:AT9 P11:P12 N11:N12 D8:E9 Q8:V9" xr:uid="{00000000-0002-0000-1600-000001000000}">
      <formula1>#REF!</formula1>
    </dataValidation>
    <dataValidation type="list" allowBlank="1" showInputMessage="1" showErrorMessage="1" sqref="J13:J36" xr:uid="{00000000-0002-0000-1600-000002000000}">
      <formula1>$AY$11:$AY$21</formula1>
    </dataValidation>
    <dataValidation type="list" allowBlank="1" showInputMessage="1" showErrorMessage="1" sqref="R3:R5" xr:uid="{00000000-0002-0000-1600-000003000000}">
      <formula1>$BB$11:$BB$42</formula1>
    </dataValidation>
  </dataValidations>
  <hyperlinks>
    <hyperlink ref="J10:J11" location="'1'!AH8" display="Plant Status" xr:uid="{00000000-0004-0000-1600-000000000000}"/>
  </hyperlinks>
  <pageMargins left="0.7" right="0.7" top="0.75" bottom="0.75" header="0.3" footer="0.3"/>
  <pageSetup paperSize="9" orientation="portrait" horizontalDpi="4294967293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7030A0"/>
  </sheetPr>
  <dimension ref="A2:BB84"/>
  <sheetViews>
    <sheetView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132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69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43305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27310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1"/>
      <c r="K9" s="262"/>
      <c r="L9" s="263"/>
      <c r="M9" s="264"/>
      <c r="N9" s="29"/>
      <c r="O9" s="29"/>
      <c r="P9" s="29"/>
      <c r="Q9" s="121"/>
      <c r="R9" s="121"/>
      <c r="S9" s="121"/>
      <c r="T9" s="122"/>
      <c r="U9" s="123"/>
      <c r="V9" s="124"/>
      <c r="W9" s="262"/>
      <c r="X9" s="264"/>
      <c r="Y9" s="30"/>
      <c r="Z9" s="265"/>
      <c r="AA9" s="125"/>
      <c r="AB9" s="126"/>
      <c r="AC9" s="126"/>
      <c r="AD9" s="125"/>
      <c r="AE9" s="125"/>
      <c r="AF9" s="127"/>
      <c r="AG9" s="26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70" t="s">
        <v>51</v>
      </c>
      <c r="X10" s="270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68" t="s">
        <v>55</v>
      </c>
      <c r="AI10" s="268" t="s">
        <v>56</v>
      </c>
      <c r="AJ10" s="314" t="s">
        <v>57</v>
      </c>
      <c r="AK10" s="329" t="s">
        <v>58</v>
      </c>
      <c r="AL10" s="270" t="s">
        <v>59</v>
      </c>
      <c r="AM10" s="270" t="s">
        <v>60</v>
      </c>
      <c r="AN10" s="270" t="s">
        <v>61</v>
      </c>
      <c r="AO10" s="270" t="s">
        <v>62</v>
      </c>
      <c r="AP10" s="270" t="s">
        <v>63</v>
      </c>
      <c r="AQ10" s="270" t="s">
        <v>124</v>
      </c>
      <c r="AR10" s="270" t="s">
        <v>64</v>
      </c>
      <c r="AS10" s="270" t="s">
        <v>65</v>
      </c>
      <c r="AT10" s="312" t="s">
        <v>66</v>
      </c>
      <c r="AU10" s="270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0" t="s">
        <v>72</v>
      </c>
      <c r="C11" s="270" t="s">
        <v>73</v>
      </c>
      <c r="D11" s="270" t="s">
        <v>74</v>
      </c>
      <c r="E11" s="270" t="s">
        <v>75</v>
      </c>
      <c r="F11" s="270" t="s">
        <v>127</v>
      </c>
      <c r="G11" s="270" t="s">
        <v>74</v>
      </c>
      <c r="H11" s="270" t="s">
        <v>75</v>
      </c>
      <c r="I11" s="270" t="s">
        <v>127</v>
      </c>
      <c r="J11" s="309"/>
      <c r="K11" s="270" t="s">
        <v>75</v>
      </c>
      <c r="L11" s="270" t="s">
        <v>75</v>
      </c>
      <c r="M11" s="270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23'!S36</f>
        <v>102608098</v>
      </c>
      <c r="T11" s="322"/>
      <c r="U11" s="323"/>
      <c r="V11" s="324"/>
      <c r="W11" s="270" t="s">
        <v>75</v>
      </c>
      <c r="X11" s="270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23'!AI36</f>
        <v>17651073</v>
      </c>
      <c r="AJ11" s="314"/>
      <c r="AK11" s="330"/>
      <c r="AL11" s="270" t="s">
        <v>84</v>
      </c>
      <c r="AM11" s="270" t="s">
        <v>84</v>
      </c>
      <c r="AN11" s="270" t="s">
        <v>84</v>
      </c>
      <c r="AO11" s="270" t="s">
        <v>84</v>
      </c>
      <c r="AP11" s="270" t="s">
        <v>84</v>
      </c>
      <c r="AQ11" s="270" t="s">
        <v>84</v>
      </c>
      <c r="AR11" s="270" t="s">
        <v>84</v>
      </c>
      <c r="AS11" s="1"/>
      <c r="AT11" s="313"/>
      <c r="AU11" s="267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43305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2</v>
      </c>
      <c r="G13" s="118">
        <v>69</v>
      </c>
      <c r="H13" s="150">
        <f t="shared" ref="H13:H36" si="0">G13/1.42</f>
        <v>48.591549295774648</v>
      </c>
      <c r="I13" s="150">
        <v>67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102612720</v>
      </c>
      <c r="T13" s="45">
        <f>IF(ISBLANK(S13),"-",S13-S11)</f>
        <v>4622</v>
      </c>
      <c r="U13" s="46">
        <f>T13*24/1000</f>
        <v>110.928</v>
      </c>
      <c r="V13" s="46">
        <f>T13/1000</f>
        <v>4.6219999999999999</v>
      </c>
      <c r="W13" s="96">
        <v>6.1</v>
      </c>
      <c r="X13" s="96">
        <f t="shared" ref="X13:X36" si="1">W13</f>
        <v>6.1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17652184</v>
      </c>
      <c r="AJ13" s="45">
        <f>IF(ISBLANK(AI13),"-",AI13-AI11)</f>
        <v>1111</v>
      </c>
      <c r="AK13" s="48">
        <f>AJ13/V13</f>
        <v>240.37213327563825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43305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68</v>
      </c>
      <c r="H14" s="150">
        <f t="shared" si="0"/>
        <v>47.887323943661976</v>
      </c>
      <c r="I14" s="150">
        <v>66</v>
      </c>
      <c r="J14" s="41" t="s">
        <v>88</v>
      </c>
      <c r="K14" s="41">
        <f t="shared" ref="K14:K36" si="3">L14-(2/1.42)</f>
        <v>42.95774647887324</v>
      </c>
      <c r="L14" s="42">
        <f>(G14-5)/1.42</f>
        <v>44.366197183098592</v>
      </c>
      <c r="M14" s="41">
        <f>L14+(6/1.42)</f>
        <v>48.591549295774648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102617485</v>
      </c>
      <c r="T14" s="45">
        <f t="shared" ref="T14:T36" si="4">IF(ISBLANK(S14),"-",S14-S13)</f>
        <v>4765</v>
      </c>
      <c r="U14" s="46">
        <f t="shared" ref="U14:U37" si="5">T14*24/1000</f>
        <v>114.36</v>
      </c>
      <c r="V14" s="46">
        <f t="shared" ref="V14:V37" si="6">T14/1000</f>
        <v>4.7649999999999997</v>
      </c>
      <c r="W14" s="96">
        <v>7.7</v>
      </c>
      <c r="X14" s="96">
        <f t="shared" si="1"/>
        <v>7.7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17653306</v>
      </c>
      <c r="AJ14" s="45">
        <f t="shared" ref="AJ14:AJ36" si="7">IF(ISBLANK(AI14),"-",AI14-AI13)</f>
        <v>1122</v>
      </c>
      <c r="AK14" s="48">
        <f>AJ14/V14</f>
        <v>235.4669464847849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1.03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43305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69</v>
      </c>
      <c r="H15" s="150">
        <f t="shared" si="0"/>
        <v>48.591549295774648</v>
      </c>
      <c r="I15" s="150">
        <v>67</v>
      </c>
      <c r="J15" s="41" t="s">
        <v>88</v>
      </c>
      <c r="K15" s="41">
        <f t="shared" si="3"/>
        <v>43.661971830985919</v>
      </c>
      <c r="L15" s="42">
        <f>(G15-5)/1.42</f>
        <v>45.070422535211272</v>
      </c>
      <c r="M15" s="41">
        <f>L15+(6/1.42)</f>
        <v>49.295774647887328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102621898</v>
      </c>
      <c r="T15" s="45">
        <f>IF(ISBLANK(S15),"-",S15-S14)</f>
        <v>4413</v>
      </c>
      <c r="U15" s="46">
        <f t="shared" si="5"/>
        <v>105.91200000000001</v>
      </c>
      <c r="V15" s="46">
        <f t="shared" si="6"/>
        <v>4.4130000000000003</v>
      </c>
      <c r="W15" s="96">
        <v>9.5</v>
      </c>
      <c r="X15" s="96">
        <f t="shared" si="1"/>
        <v>9.5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17654380</v>
      </c>
      <c r="AJ15" s="45">
        <f t="shared" si="7"/>
        <v>1074</v>
      </c>
      <c r="AK15" s="48">
        <f t="shared" ref="AK15:AK36" si="9">AJ15/V15</f>
        <v>243.37185588035348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43305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102626620</v>
      </c>
      <c r="T16" s="45">
        <f t="shared" si="4"/>
        <v>4722</v>
      </c>
      <c r="U16" s="46">
        <f t="shared" si="5"/>
        <v>113.328</v>
      </c>
      <c r="V16" s="46">
        <f t="shared" si="6"/>
        <v>4.7220000000000004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17655430</v>
      </c>
      <c r="AJ16" s="45">
        <f t="shared" si="7"/>
        <v>1050</v>
      </c>
      <c r="AK16" s="48">
        <f t="shared" si="9"/>
        <v>222.36340533672171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43305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80</v>
      </c>
      <c r="H17" s="150">
        <f t="shared" si="0"/>
        <v>56.338028169014088</v>
      </c>
      <c r="I17" s="150">
        <v>78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102631471</v>
      </c>
      <c r="T17" s="45">
        <f t="shared" si="4"/>
        <v>4851</v>
      </c>
      <c r="U17" s="46">
        <f t="shared" si="5"/>
        <v>116.42400000000001</v>
      </c>
      <c r="V17" s="46">
        <f t="shared" si="6"/>
        <v>4.851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17656462</v>
      </c>
      <c r="AJ17" s="45">
        <f t="shared" si="7"/>
        <v>1032</v>
      </c>
      <c r="AK17" s="48">
        <f t="shared" si="9"/>
        <v>212.73964131106987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43305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76</v>
      </c>
      <c r="H18" s="150">
        <f t="shared" si="0"/>
        <v>53.521126760563384</v>
      </c>
      <c r="I18" s="150">
        <v>77</v>
      </c>
      <c r="J18" s="41" t="s">
        <v>88</v>
      </c>
      <c r="K18" s="41">
        <f t="shared" si="3"/>
        <v>52.112676056338032</v>
      </c>
      <c r="L18" s="42">
        <f t="shared" ref="L18:L27" si="10">G18/1.42</f>
        <v>53.521126760563384</v>
      </c>
      <c r="M18" s="41">
        <f>L18+1.42</f>
        <v>54.941126760563385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102636777</v>
      </c>
      <c r="T18" s="45">
        <f t="shared" si="4"/>
        <v>5306</v>
      </c>
      <c r="U18" s="46">
        <f t="shared" si="5"/>
        <v>127.34399999999999</v>
      </c>
      <c r="V18" s="46">
        <f t="shared" si="6"/>
        <v>5.306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1188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17657506</v>
      </c>
      <c r="AJ18" s="45">
        <f t="shared" si="7"/>
        <v>1044</v>
      </c>
      <c r="AK18" s="48">
        <f t="shared" si="9"/>
        <v>196.7583867320015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0.87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43305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7</v>
      </c>
      <c r="G19" s="118">
        <v>77</v>
      </c>
      <c r="H19" s="150">
        <f t="shared" si="0"/>
        <v>54.225352112676056</v>
      </c>
      <c r="I19" s="150">
        <v>77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102642849</v>
      </c>
      <c r="T19" s="45">
        <f t="shared" si="4"/>
        <v>6072</v>
      </c>
      <c r="U19" s="46">
        <f t="shared" si="5"/>
        <v>145.72800000000001</v>
      </c>
      <c r="V19" s="46">
        <f t="shared" si="6"/>
        <v>6.0720000000000001</v>
      </c>
      <c r="W19" s="96">
        <v>9.1999999999999993</v>
      </c>
      <c r="X19" s="96">
        <f t="shared" si="1"/>
        <v>9.1999999999999993</v>
      </c>
      <c r="Y19" s="97" t="s">
        <v>168</v>
      </c>
      <c r="Z19" s="154">
        <v>0</v>
      </c>
      <c r="AA19" s="154">
        <v>1017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17658689</v>
      </c>
      <c r="AJ19" s="45">
        <f t="shared" si="7"/>
        <v>1183</v>
      </c>
      <c r="AK19" s="48">
        <f t="shared" si="9"/>
        <v>194.82872200263503</v>
      </c>
      <c r="AL19" s="151">
        <v>0</v>
      </c>
      <c r="AM19" s="151">
        <v>1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43305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6</v>
      </c>
      <c r="G20" s="118">
        <v>78</v>
      </c>
      <c r="H20" s="150">
        <f t="shared" si="0"/>
        <v>54.929577464788736</v>
      </c>
      <c r="I20" s="150">
        <v>76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102649161</v>
      </c>
      <c r="T20" s="45">
        <f t="shared" si="4"/>
        <v>6312</v>
      </c>
      <c r="U20" s="46">
        <f>T20*24/1000</f>
        <v>151.488</v>
      </c>
      <c r="V20" s="46">
        <f t="shared" si="6"/>
        <v>6.3120000000000003</v>
      </c>
      <c r="W20" s="96">
        <v>8.5</v>
      </c>
      <c r="X20" s="96">
        <f t="shared" si="1"/>
        <v>8.5</v>
      </c>
      <c r="Y20" s="97" t="s">
        <v>168</v>
      </c>
      <c r="Z20" s="154">
        <v>0</v>
      </c>
      <c r="AA20" s="154">
        <v>1037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17659885</v>
      </c>
      <c r="AJ20" s="45">
        <f t="shared" si="7"/>
        <v>1196</v>
      </c>
      <c r="AK20" s="48">
        <f t="shared" si="9"/>
        <v>189.48035487959442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43305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5</v>
      </c>
      <c r="G21" s="118">
        <v>76</v>
      </c>
      <c r="H21" s="150">
        <f t="shared" si="0"/>
        <v>53.521126760563384</v>
      </c>
      <c r="I21" s="150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102655091</v>
      </c>
      <c r="T21" s="45">
        <f t="shared" si="4"/>
        <v>5930</v>
      </c>
      <c r="U21" s="46">
        <f t="shared" si="5"/>
        <v>142.32</v>
      </c>
      <c r="V21" s="46">
        <f t="shared" si="6"/>
        <v>5.93</v>
      </c>
      <c r="W21" s="96">
        <v>7.9</v>
      </c>
      <c r="X21" s="96">
        <f t="shared" si="1"/>
        <v>7.9</v>
      </c>
      <c r="Y21" s="97" t="s">
        <v>168</v>
      </c>
      <c r="Z21" s="154">
        <v>0</v>
      </c>
      <c r="AA21" s="154">
        <v>1058</v>
      </c>
      <c r="AB21" s="154">
        <v>1186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17661069</v>
      </c>
      <c r="AJ21" s="45">
        <f t="shared" si="7"/>
        <v>1184</v>
      </c>
      <c r="AK21" s="48">
        <f t="shared" si="9"/>
        <v>199.66273187183813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43305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4</v>
      </c>
      <c r="G22" s="118">
        <v>76</v>
      </c>
      <c r="H22" s="150">
        <f t="shared" si="0"/>
        <v>53.521126760563384</v>
      </c>
      <c r="I22" s="150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102661013</v>
      </c>
      <c r="T22" s="45">
        <f t="shared" si="4"/>
        <v>5922</v>
      </c>
      <c r="U22" s="46">
        <f t="shared" si="5"/>
        <v>142.12799999999999</v>
      </c>
      <c r="V22" s="46">
        <f t="shared" si="6"/>
        <v>5.9219999999999997</v>
      </c>
      <c r="W22" s="96">
        <v>7.1</v>
      </c>
      <c r="X22" s="96">
        <f t="shared" si="1"/>
        <v>7.1</v>
      </c>
      <c r="Y22" s="97" t="s">
        <v>168</v>
      </c>
      <c r="Z22" s="154">
        <v>0</v>
      </c>
      <c r="AA22" s="154">
        <v>1057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17662277</v>
      </c>
      <c r="AJ22" s="45">
        <f t="shared" si="7"/>
        <v>1208</v>
      </c>
      <c r="AK22" s="48">
        <f t="shared" si="9"/>
        <v>203.98514015535292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1.19</v>
      </c>
      <c r="AV22" s="50" t="s">
        <v>126</v>
      </c>
      <c r="BB22" s="136" t="s">
        <v>156</v>
      </c>
    </row>
    <row r="23" spans="1:54" x14ac:dyDescent="0.35">
      <c r="A23" s="331">
        <v>43305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2</v>
      </c>
      <c r="G23" s="118">
        <v>76</v>
      </c>
      <c r="H23" s="150">
        <f t="shared" si="0"/>
        <v>53.521126760563384</v>
      </c>
      <c r="I23" s="150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102666472</v>
      </c>
      <c r="T23" s="45">
        <f t="shared" si="4"/>
        <v>5459</v>
      </c>
      <c r="U23" s="46">
        <f t="shared" si="5"/>
        <v>131.01599999999999</v>
      </c>
      <c r="V23" s="46">
        <f t="shared" si="6"/>
        <v>5.4589999999999996</v>
      </c>
      <c r="W23" s="96">
        <v>6.5</v>
      </c>
      <c r="X23" s="96">
        <f>W23</f>
        <v>6.5</v>
      </c>
      <c r="Y23" s="97" t="s">
        <v>168</v>
      </c>
      <c r="Z23" s="154">
        <v>0</v>
      </c>
      <c r="AA23" s="154">
        <v>1057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17663480</v>
      </c>
      <c r="AJ23" s="45">
        <f t="shared" si="7"/>
        <v>1203</v>
      </c>
      <c r="AK23" s="48">
        <f t="shared" si="9"/>
        <v>220.37003114123468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43305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1</v>
      </c>
      <c r="G24" s="118">
        <v>75</v>
      </c>
      <c r="H24" s="150">
        <f t="shared" si="0"/>
        <v>52.816901408450704</v>
      </c>
      <c r="I24" s="150">
        <v>75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102671899</v>
      </c>
      <c r="T24" s="45">
        <f t="shared" si="4"/>
        <v>5427</v>
      </c>
      <c r="U24" s="46">
        <f>T24*24/1000</f>
        <v>130.24799999999999</v>
      </c>
      <c r="V24" s="46">
        <f t="shared" si="6"/>
        <v>5.4269999999999996</v>
      </c>
      <c r="W24" s="96">
        <v>5.8</v>
      </c>
      <c r="X24" s="96">
        <f t="shared" si="1"/>
        <v>5.8</v>
      </c>
      <c r="Y24" s="97" t="s">
        <v>168</v>
      </c>
      <c r="Z24" s="154">
        <v>0</v>
      </c>
      <c r="AA24" s="154">
        <v>1058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17664655</v>
      </c>
      <c r="AJ24" s="45">
        <f t="shared" si="7"/>
        <v>1175</v>
      </c>
      <c r="AK24" s="48">
        <f t="shared" si="9"/>
        <v>216.51004238068916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43305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0</v>
      </c>
      <c r="G25" s="118">
        <v>76</v>
      </c>
      <c r="H25" s="150">
        <f t="shared" si="0"/>
        <v>53.521126760563384</v>
      </c>
      <c r="I25" s="150">
        <v>75</v>
      </c>
      <c r="J25" s="41" t="s">
        <v>88</v>
      </c>
      <c r="K25" s="41">
        <f t="shared" si="3"/>
        <v>52.112676056338032</v>
      </c>
      <c r="L25" s="42">
        <f t="shared" si="10"/>
        <v>53.521126760563384</v>
      </c>
      <c r="M25" s="41">
        <f>L25+(6/1.42)</f>
        <v>57.74647887323944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102677127</v>
      </c>
      <c r="T25" s="45">
        <f t="shared" si="4"/>
        <v>5228</v>
      </c>
      <c r="U25" s="46">
        <f>T25*24/1000</f>
        <v>125.47199999999999</v>
      </c>
      <c r="V25" s="46">
        <f t="shared" si="6"/>
        <v>5.2279999999999998</v>
      </c>
      <c r="W25" s="96">
        <v>5</v>
      </c>
      <c r="X25" s="96">
        <f t="shared" si="1"/>
        <v>5</v>
      </c>
      <c r="Y25" s="97" t="s">
        <v>168</v>
      </c>
      <c r="Z25" s="154">
        <v>0</v>
      </c>
      <c r="AA25" s="154">
        <v>1058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17665864</v>
      </c>
      <c r="AJ25" s="45">
        <f t="shared" si="7"/>
        <v>1209</v>
      </c>
      <c r="AK25" s="48">
        <f t="shared" si="9"/>
        <v>231.2547819433818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43305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0</v>
      </c>
      <c r="G26" s="118">
        <v>75</v>
      </c>
      <c r="H26" s="150">
        <f t="shared" si="0"/>
        <v>52.816901408450704</v>
      </c>
      <c r="I26" s="150">
        <v>74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102682323</v>
      </c>
      <c r="T26" s="45">
        <f t="shared" si="4"/>
        <v>5196</v>
      </c>
      <c r="U26" s="46">
        <f t="shared" si="5"/>
        <v>124.70399999999999</v>
      </c>
      <c r="V26" s="46">
        <f t="shared" si="6"/>
        <v>5.1959999999999997</v>
      </c>
      <c r="W26" s="96">
        <v>4.5</v>
      </c>
      <c r="X26" s="96">
        <f t="shared" si="1"/>
        <v>4.5</v>
      </c>
      <c r="Y26" s="97" t="s">
        <v>168</v>
      </c>
      <c r="Z26" s="154">
        <v>0</v>
      </c>
      <c r="AA26" s="154">
        <v>1016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17667064</v>
      </c>
      <c r="AJ26" s="45">
        <f t="shared" si="7"/>
        <v>1200</v>
      </c>
      <c r="AK26" s="48">
        <f t="shared" si="9"/>
        <v>230.94688221709009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v>0</v>
      </c>
      <c r="AU26" s="119">
        <v>1.1100000000000001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43305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-1</v>
      </c>
      <c r="G27" s="118">
        <v>76</v>
      </c>
      <c r="H27" s="150">
        <f t="shared" si="0"/>
        <v>53.521126760563384</v>
      </c>
      <c r="I27" s="150">
        <v>75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102687226</v>
      </c>
      <c r="T27" s="45">
        <f t="shared" si="4"/>
        <v>4903</v>
      </c>
      <c r="U27" s="46">
        <f t="shared" si="5"/>
        <v>117.672</v>
      </c>
      <c r="V27" s="46">
        <f t="shared" si="6"/>
        <v>4.9029999999999996</v>
      </c>
      <c r="W27" s="96">
        <v>4.0999999999999996</v>
      </c>
      <c r="X27" s="96">
        <f t="shared" si="1"/>
        <v>4.0999999999999996</v>
      </c>
      <c r="Y27" s="97" t="s">
        <v>168</v>
      </c>
      <c r="Z27" s="154">
        <v>0</v>
      </c>
      <c r="AA27" s="154">
        <v>1015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17668163</v>
      </c>
      <c r="AJ27" s="45">
        <f t="shared" si="7"/>
        <v>1099</v>
      </c>
      <c r="AK27" s="48">
        <f t="shared" si="9"/>
        <v>224.14848052212932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43305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-1</v>
      </c>
      <c r="G28" s="118">
        <v>76</v>
      </c>
      <c r="H28" s="150">
        <f t="shared" si="0"/>
        <v>53.521126760563384</v>
      </c>
      <c r="I28" s="150">
        <v>75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102692374</v>
      </c>
      <c r="T28" s="45">
        <f t="shared" si="4"/>
        <v>5148</v>
      </c>
      <c r="U28" s="46">
        <f t="shared" si="5"/>
        <v>123.55200000000001</v>
      </c>
      <c r="V28" s="46">
        <f t="shared" si="6"/>
        <v>5.1479999999999997</v>
      </c>
      <c r="W28" s="96">
        <v>3.6</v>
      </c>
      <c r="X28" s="96">
        <f t="shared" si="1"/>
        <v>3.6</v>
      </c>
      <c r="Y28" s="97" t="s">
        <v>168</v>
      </c>
      <c r="Z28" s="154">
        <v>0</v>
      </c>
      <c r="AA28" s="154">
        <v>1015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17669316</v>
      </c>
      <c r="AJ28" s="45">
        <f>IF(ISBLANK(AI28),"-",AI28-AI27)</f>
        <v>1153</v>
      </c>
      <c r="AK28" s="48">
        <f t="shared" si="9"/>
        <v>223.97047397047399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43305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-2</v>
      </c>
      <c r="G29" s="118">
        <v>75</v>
      </c>
      <c r="H29" s="150">
        <f t="shared" si="0"/>
        <v>52.816901408450704</v>
      </c>
      <c r="I29" s="150">
        <v>74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102697925</v>
      </c>
      <c r="T29" s="45">
        <f t="shared" si="4"/>
        <v>5551</v>
      </c>
      <c r="U29" s="46">
        <f t="shared" si="5"/>
        <v>133.22399999999999</v>
      </c>
      <c r="V29" s="46">
        <f t="shared" si="6"/>
        <v>5.5510000000000002</v>
      </c>
      <c r="W29" s="96">
        <v>3.3</v>
      </c>
      <c r="X29" s="96">
        <f t="shared" si="1"/>
        <v>3.3</v>
      </c>
      <c r="Y29" s="97" t="s">
        <v>168</v>
      </c>
      <c r="Z29" s="154">
        <v>0</v>
      </c>
      <c r="AA29" s="154">
        <v>1015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17670482</v>
      </c>
      <c r="AJ29" s="45">
        <f t="shared" si="7"/>
        <v>1166</v>
      </c>
      <c r="AK29" s="48">
        <f>AJ28/V29</f>
        <v>207.71032246442081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43305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-1</v>
      </c>
      <c r="G30" s="118">
        <v>74</v>
      </c>
      <c r="H30" s="150">
        <f t="shared" si="0"/>
        <v>52.112676056338032</v>
      </c>
      <c r="I30" s="150">
        <v>73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102702977</v>
      </c>
      <c r="T30" s="45">
        <f t="shared" si="4"/>
        <v>5052</v>
      </c>
      <c r="U30" s="46">
        <f t="shared" si="5"/>
        <v>121.248</v>
      </c>
      <c r="V30" s="46">
        <f t="shared" si="6"/>
        <v>5.0519999999999996</v>
      </c>
      <c r="W30" s="96">
        <v>2.9</v>
      </c>
      <c r="X30" s="96">
        <f t="shared" si="1"/>
        <v>2.9</v>
      </c>
      <c r="Y30" s="97" t="s">
        <v>168</v>
      </c>
      <c r="Z30" s="154">
        <v>0</v>
      </c>
      <c r="AA30" s="154">
        <v>1015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17671601</v>
      </c>
      <c r="AJ30" s="45">
        <f t="shared" si="7"/>
        <v>1119</v>
      </c>
      <c r="AK30" s="48">
        <f>AJ29/V30</f>
        <v>230.79968329374506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1.05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43305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0</v>
      </c>
      <c r="G31" s="118">
        <v>74</v>
      </c>
      <c r="H31" s="150">
        <f t="shared" si="0"/>
        <v>52.112676056338032</v>
      </c>
      <c r="I31" s="150">
        <v>73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102708667</v>
      </c>
      <c r="T31" s="45">
        <f t="shared" si="4"/>
        <v>5690</v>
      </c>
      <c r="U31" s="46">
        <f t="shared" si="5"/>
        <v>136.56</v>
      </c>
      <c r="V31" s="46">
        <f t="shared" si="6"/>
        <v>5.69</v>
      </c>
      <c r="W31" s="96">
        <v>2.6</v>
      </c>
      <c r="X31" s="96">
        <f t="shared" si="1"/>
        <v>2.6</v>
      </c>
      <c r="Y31" s="97" t="s">
        <v>168</v>
      </c>
      <c r="Z31" s="154">
        <v>0</v>
      </c>
      <c r="AA31" s="154">
        <v>1015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17672770</v>
      </c>
      <c r="AJ31" s="45">
        <f t="shared" si="7"/>
        <v>1169</v>
      </c>
      <c r="AK31" s="48">
        <f t="shared" si="9"/>
        <v>205.44815465729349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43305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1</v>
      </c>
      <c r="G32" s="118">
        <v>73</v>
      </c>
      <c r="H32" s="150">
        <f t="shared" si="0"/>
        <v>51.408450704225352</v>
      </c>
      <c r="I32" s="150">
        <v>72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102713711</v>
      </c>
      <c r="T32" s="45">
        <f t="shared" si="4"/>
        <v>5044</v>
      </c>
      <c r="U32" s="46">
        <f t="shared" si="5"/>
        <v>121.056</v>
      </c>
      <c r="V32" s="46">
        <f t="shared" si="6"/>
        <v>5.0439999999999996</v>
      </c>
      <c r="W32" s="96">
        <v>2.2000000000000002</v>
      </c>
      <c r="X32" s="96">
        <f t="shared" si="1"/>
        <v>2.2000000000000002</v>
      </c>
      <c r="Y32" s="97" t="s">
        <v>168</v>
      </c>
      <c r="Z32" s="154">
        <v>0</v>
      </c>
      <c r="AA32" s="154">
        <v>1015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17673894</v>
      </c>
      <c r="AJ32" s="45">
        <f t="shared" si="7"/>
        <v>1124</v>
      </c>
      <c r="AK32" s="48">
        <f t="shared" si="9"/>
        <v>222.83901665344965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43305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1</v>
      </c>
      <c r="G33" s="118">
        <v>74</v>
      </c>
      <c r="H33" s="150">
        <f t="shared" si="0"/>
        <v>52.112676056338032</v>
      </c>
      <c r="I33" s="150">
        <v>73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102719059</v>
      </c>
      <c r="T33" s="45">
        <f t="shared" si="4"/>
        <v>5348</v>
      </c>
      <c r="U33" s="46">
        <f t="shared" si="5"/>
        <v>128.352</v>
      </c>
      <c r="V33" s="46">
        <f t="shared" si="6"/>
        <v>5.3479999999999999</v>
      </c>
      <c r="W33" s="96">
        <v>1.8</v>
      </c>
      <c r="X33" s="96">
        <f t="shared" si="1"/>
        <v>1.8</v>
      </c>
      <c r="Y33" s="97" t="s">
        <v>168</v>
      </c>
      <c r="Z33" s="154">
        <v>0</v>
      </c>
      <c r="AA33" s="154">
        <v>1015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17675040</v>
      </c>
      <c r="AJ33" s="45">
        <f t="shared" si="7"/>
        <v>1146</v>
      </c>
      <c r="AK33" s="48">
        <f t="shared" si="9"/>
        <v>214.28571428571428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43305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-5</v>
      </c>
      <c r="G34" s="118">
        <v>74</v>
      </c>
      <c r="H34" s="150">
        <f t="shared" si="0"/>
        <v>52.112676056338032</v>
      </c>
      <c r="I34" s="150">
        <v>73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102724640</v>
      </c>
      <c r="T34" s="45">
        <f t="shared" si="4"/>
        <v>5581</v>
      </c>
      <c r="U34" s="46">
        <f t="shared" si="5"/>
        <v>133.94399999999999</v>
      </c>
      <c r="V34" s="46">
        <f t="shared" si="6"/>
        <v>5.5810000000000004</v>
      </c>
      <c r="W34" s="96">
        <v>1.6</v>
      </c>
      <c r="X34" s="96">
        <f t="shared" si="1"/>
        <v>1.6</v>
      </c>
      <c r="Y34" s="97" t="s">
        <v>168</v>
      </c>
      <c r="Z34" s="154">
        <v>0</v>
      </c>
      <c r="AA34" s="154">
        <v>1015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17676183</v>
      </c>
      <c r="AJ34" s="45">
        <f t="shared" si="7"/>
        <v>1143</v>
      </c>
      <c r="AK34" s="48">
        <f t="shared" si="9"/>
        <v>204.80200680881561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0.84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43305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-5</v>
      </c>
      <c r="G35" s="118">
        <v>68</v>
      </c>
      <c r="H35" s="150">
        <f t="shared" si="0"/>
        <v>47.887323943661976</v>
      </c>
      <c r="I35" s="150">
        <v>66</v>
      </c>
      <c r="J35" s="41" t="s">
        <v>88</v>
      </c>
      <c r="K35" s="41">
        <f>L35-(2/1.42)</f>
        <v>42.95774647887324</v>
      </c>
      <c r="L35" s="42">
        <f>(G35-5)/1.42</f>
        <v>44.366197183098592</v>
      </c>
      <c r="M35" s="41">
        <f t="shared" si="12"/>
        <v>48.591549295774648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102729605</v>
      </c>
      <c r="T35" s="45">
        <f t="shared" si="4"/>
        <v>4965</v>
      </c>
      <c r="U35" s="46">
        <f t="shared" si="5"/>
        <v>119.16</v>
      </c>
      <c r="V35" s="46">
        <f t="shared" si="6"/>
        <v>4.9649999999999999</v>
      </c>
      <c r="W35" s="96">
        <v>2.6</v>
      </c>
      <c r="X35" s="96">
        <f t="shared" si="1"/>
        <v>2.6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17677244</v>
      </c>
      <c r="AJ35" s="45">
        <f t="shared" si="7"/>
        <v>1061</v>
      </c>
      <c r="AK35" s="48">
        <f t="shared" si="9"/>
        <v>213.69587109768381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43305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-2</v>
      </c>
      <c r="G36" s="118">
        <v>69</v>
      </c>
      <c r="H36" s="150">
        <f t="shared" si="0"/>
        <v>48.591549295774648</v>
      </c>
      <c r="I36" s="150">
        <v>67</v>
      </c>
      <c r="J36" s="41" t="s">
        <v>88</v>
      </c>
      <c r="K36" s="41">
        <f t="shared" si="3"/>
        <v>43.661971830985919</v>
      </c>
      <c r="L36" s="42">
        <f>(G36-5)/1.42</f>
        <v>45.070422535211272</v>
      </c>
      <c r="M36" s="41">
        <f t="shared" si="12"/>
        <v>49.295774647887328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102734618</v>
      </c>
      <c r="T36" s="45">
        <f t="shared" si="4"/>
        <v>5013</v>
      </c>
      <c r="U36" s="46">
        <f t="shared" si="5"/>
        <v>120.312</v>
      </c>
      <c r="V36" s="46">
        <f t="shared" si="6"/>
        <v>5.0129999999999999</v>
      </c>
      <c r="W36" s="96">
        <v>4.0999999999999996</v>
      </c>
      <c r="X36" s="96">
        <f t="shared" si="1"/>
        <v>4.0999999999999996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17678383</v>
      </c>
      <c r="AJ36" s="45">
        <f t="shared" si="7"/>
        <v>1139</v>
      </c>
      <c r="AK36" s="48">
        <f t="shared" si="9"/>
        <v>227.20925593457011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126520</v>
      </c>
      <c r="U37" s="46">
        <f t="shared" si="5"/>
        <v>3036.48</v>
      </c>
      <c r="V37" s="46">
        <f t="shared" si="6"/>
        <v>126.52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27310</v>
      </c>
      <c r="AK37" s="61">
        <f>$AJ$37/$V37</f>
        <v>215.85520075877332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1.0149999999999999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225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209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179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257</v>
      </c>
      <c r="C52" s="184"/>
      <c r="D52" s="184"/>
      <c r="E52" s="184"/>
      <c r="F52" s="130"/>
      <c r="G52" s="130"/>
      <c r="H52" s="156"/>
      <c r="I52" s="156"/>
      <c r="J52" s="156"/>
      <c r="K52" s="156"/>
      <c r="L52" s="156"/>
      <c r="M52" s="156"/>
      <c r="N52" s="131"/>
      <c r="O52" s="131"/>
      <c r="P52" s="131"/>
      <c r="Q52" s="114"/>
      <c r="R52" s="104"/>
      <c r="S52" s="104"/>
      <c r="T52" s="104"/>
      <c r="U52" s="114"/>
      <c r="V52" s="114"/>
      <c r="W52" s="114"/>
      <c r="X52" s="94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49"/>
      <c r="F53" s="149"/>
      <c r="G53" s="149"/>
      <c r="H53" s="149"/>
      <c r="I53" s="149"/>
      <c r="J53" s="149"/>
      <c r="K53" s="162"/>
      <c r="L53" s="143"/>
      <c r="M53" s="105"/>
      <c r="N53" s="105"/>
      <c r="O53" s="105"/>
      <c r="P53" s="105"/>
      <c r="Q53" s="105"/>
      <c r="R53" s="105"/>
      <c r="S53" s="105"/>
      <c r="T53" s="105"/>
      <c r="U53" s="105"/>
      <c r="V53" s="147"/>
      <c r="W53" s="147"/>
      <c r="X53" s="148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66"/>
      <c r="D54" s="166"/>
      <c r="E54" s="115"/>
      <c r="F54" s="115"/>
      <c r="G54" s="115"/>
      <c r="H54" s="115"/>
      <c r="I54" s="149"/>
      <c r="J54" s="104"/>
      <c r="K54" s="104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47"/>
      <c r="W54" s="147"/>
      <c r="X54" s="148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66"/>
      <c r="D55" s="166"/>
      <c r="E55" s="149"/>
      <c r="F55" s="149"/>
      <c r="G55" s="149"/>
      <c r="H55" s="149"/>
      <c r="I55" s="149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7"/>
      <c r="W55" s="147"/>
      <c r="X55" s="148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66"/>
      <c r="D56" s="170"/>
      <c r="E56" s="170"/>
      <c r="F56" s="114"/>
      <c r="G56" s="114"/>
      <c r="H56" s="104"/>
      <c r="I56" s="10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258</v>
      </c>
      <c r="C57" s="149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15"/>
      <c r="D58" s="100"/>
      <c r="E58" s="100"/>
      <c r="F58" s="115"/>
      <c r="G58" s="115"/>
      <c r="H58" s="9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177</v>
      </c>
      <c r="C59" s="115"/>
      <c r="D59" s="162"/>
      <c r="E59" s="162"/>
      <c r="F59" s="162"/>
      <c r="G59" s="162"/>
      <c r="H59" s="162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49"/>
      <c r="C60" s="115"/>
      <c r="D60" s="100"/>
      <c r="E60" s="100"/>
      <c r="F60" s="115"/>
      <c r="G60" s="115"/>
      <c r="H60" s="92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15"/>
      <c r="D61" s="162"/>
      <c r="E61" s="162"/>
      <c r="F61" s="162"/>
      <c r="G61" s="162"/>
      <c r="H61" s="162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AV61" s="86"/>
      <c r="AW61" s="86"/>
      <c r="AX61" s="86"/>
      <c r="AY61" s="86"/>
      <c r="AZ61" s="86"/>
      <c r="BA61" s="86"/>
      <c r="BB61" s="86"/>
    </row>
    <row r="62" spans="1:54" x14ac:dyDescent="0.35">
      <c r="B62" s="158"/>
      <c r="C62" s="115"/>
      <c r="D62" s="162"/>
      <c r="E62" s="162"/>
      <c r="F62" s="162"/>
      <c r="G62" s="162"/>
      <c r="H62" s="162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AV62" s="86"/>
      <c r="AW62" s="86"/>
      <c r="AX62" s="86"/>
      <c r="AY62" s="86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AV63" s="86"/>
      <c r="AW63" s="86"/>
      <c r="AX63" s="86"/>
      <c r="AY63" s="86"/>
      <c r="AZ63" s="86"/>
      <c r="BA63" s="86"/>
      <c r="BB63" s="86"/>
    </row>
    <row r="64" spans="1:54" x14ac:dyDescent="0.35">
      <c r="Q64" s="12"/>
      <c r="R64" s="87"/>
      <c r="S64" s="87"/>
      <c r="T64" s="87"/>
      <c r="U64" s="87"/>
      <c r="AV64" s="86"/>
      <c r="AW64" s="86"/>
      <c r="AX64" s="86"/>
      <c r="AY64" s="86"/>
      <c r="AZ64" s="86"/>
      <c r="BA64" s="86"/>
      <c r="BB64" s="86"/>
    </row>
    <row r="65" spans="17:54" x14ac:dyDescent="0.35">
      <c r="Q65" s="12"/>
      <c r="R65" s="87"/>
      <c r="S65" s="87"/>
      <c r="T65" s="87"/>
      <c r="U65" s="87"/>
      <c r="V65" s="87"/>
      <c r="AV65" s="86"/>
      <c r="AW65" s="86"/>
      <c r="AX65" s="86"/>
      <c r="AY65" s="86"/>
      <c r="AZ65" s="86"/>
      <c r="BA65" s="86"/>
      <c r="BB65" s="86"/>
    </row>
    <row r="66" spans="17:54" x14ac:dyDescent="0.35">
      <c r="Q66" s="12"/>
      <c r="R66" s="87"/>
      <c r="S66" s="87"/>
      <c r="T66" s="87"/>
      <c r="U66" s="87"/>
      <c r="V66" s="87"/>
      <c r="AV66" s="86"/>
      <c r="AW66" s="86"/>
      <c r="AX66" s="86"/>
      <c r="AY66" s="86"/>
      <c r="AZ66" s="86"/>
      <c r="BA66" s="86"/>
      <c r="BB66" s="86"/>
    </row>
    <row r="67" spans="17:54" x14ac:dyDescent="0.35">
      <c r="Q67" s="12"/>
      <c r="R67" s="87"/>
      <c r="V67" s="87"/>
      <c r="AV67" s="86"/>
      <c r="AW67" s="86"/>
      <c r="AX67" s="86"/>
      <c r="AY67" s="86"/>
      <c r="AZ67" s="86"/>
      <c r="BA67" s="86"/>
      <c r="BB67" s="86"/>
    </row>
    <row r="68" spans="17:54" x14ac:dyDescent="0.35">
      <c r="Q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17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17:54" x14ac:dyDescent="0.35">
      <c r="Q70" s="12"/>
      <c r="R70" s="87"/>
      <c r="S70" s="87"/>
      <c r="T70" s="87"/>
      <c r="U70" s="87"/>
      <c r="V70" s="87"/>
      <c r="W70" s="87"/>
      <c r="AV70" s="86"/>
      <c r="AW70" s="86"/>
      <c r="AX70" s="86"/>
      <c r="AY70" s="86"/>
      <c r="AZ70" s="86"/>
      <c r="BA70" s="86"/>
      <c r="BB70" s="86"/>
    </row>
    <row r="71" spans="17:54" x14ac:dyDescent="0.35">
      <c r="Q71" s="12"/>
      <c r="R71" s="87"/>
      <c r="V71" s="87"/>
      <c r="W71" s="87"/>
      <c r="AV71" s="86"/>
      <c r="AW71" s="86"/>
      <c r="AX71" s="86"/>
      <c r="AY71" s="86"/>
      <c r="AZ71" s="86"/>
      <c r="BA71" s="86"/>
      <c r="BB71" s="86"/>
    </row>
    <row r="72" spans="17:54" x14ac:dyDescent="0.35">
      <c r="BB72" s="86"/>
    </row>
    <row r="83" spans="48:54" x14ac:dyDescent="0.35">
      <c r="AV83" s="86"/>
      <c r="AW83" s="86"/>
      <c r="AX83" s="86"/>
      <c r="AY83" s="86"/>
      <c r="AZ83" s="86"/>
      <c r="BA83" s="86"/>
    </row>
    <row r="84" spans="48:54" x14ac:dyDescent="0.35">
      <c r="BB84" s="86"/>
    </row>
  </sheetData>
  <protectedRanges>
    <protectedRange sqref="AH11:AH12 AF8:AF9 AH8:AH9 AL8:AU9 P34:P36 P11:P25 N26:P33 N11:N12 U37:V37 T13:V36 AF13:AH36 H13:I36 E13:F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0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3" name="Range2_2_12_1_3_1_2_1_1_1_1_2_1_1_1_1_1_1_1_1_1_1_1"/>
    <protectedRange sqref="F58:F63" name="Range2_2_12_1_3_1_2_1_1_1_2_1_1_1_1_3_1_1_1_1_1_1_1_1_1"/>
    <protectedRange sqref="R13:R36" name="Range1_16_3_1_1_2_1"/>
    <protectedRange sqref="Q13:Q36 S13:S36" name="Range1_16_3_1_1_1_1_1_2_1"/>
    <protectedRange sqref="W13:W36" name="Range1_16_3_1_1_3_1"/>
    <protectedRange sqref="Y13:Y36" name="Range1_16_3_1_1_3_2"/>
    <protectedRange sqref="AI13:AI36" name="Range1_16_3_1_1_1_1_1_1"/>
    <protectedRange sqref="G56:H57" name="Range2_12_5_1_1_1_2_2_1_1_1_1_1_1_1_1_1_1_1_2_1_1_1_2_1_1_1_1_1_1_1_1_1_1_1_1_1_1_1_1_2_1_1_1_1_1_1_1_1_1_2_1_1_3_1_1_1_3_1_1_1_1_1_1_1_1_1_1_1_1_1_1_1_1_1_1_1_1_1_1_2_1_1_1_1_1_1_1_1_1_1_1_2_2_1_2_1_1_1_1_1_1_1_1_1_1_1_1_1"/>
    <protectedRange sqref="U53:V63" name="Range2_12_5_1_1_2_1_1_1_2_1_1_1_1_1_1_1_1_1_1_1_1_1"/>
    <protectedRange sqref="P53:T63" name="Range2_12_1_6_1_1_2_1_1_1_2_1_1_1_1_1_1_1_1_1_1_1_1_1"/>
    <protectedRange sqref="N53:O63" name="Range2_2_12_1_7_1_1_3_1_1_1_2_1_1_1_1_1_1_1_1_1_1_1_1_1"/>
    <protectedRange sqref="M53 L54:M63" name="Range2_2_12_1_4_1_1_1_1_1_1_1_1_1_1_1_1_1_1_1_2_1_1_1_2_1_1_1_1_1_1_1_1_1_1_1_1_1"/>
    <protectedRange sqref="K54:K63" name="Range2_2_12_1_7_1_1_2_2_1_2_2_1_1_1_2_1_1_1_1_1_1_1_1_1_1_1_1_1"/>
    <protectedRange sqref="J54:J55 I56:J63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3:W3" name="Range1_16_1_1_1_1_1_1_2_2_2_2_2_2_2_2_2_2_2_2_2_2_2_2_2_2_2_2_2_2_2_1_2_2_2_2_2_2_2_2_2_2_3_2_2_2_2_2_2_2_2_2_2_1_1_1_1_2_2_1_1_1_1_1_1_1_1_1_1_1_1_1_1_3_1_2_1_1_1_1_1_1_2_1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R4:W4" name="Range1_16_1_1_1_1_1_1_2_2_2_2_2_2_2_2_2_2_2_2_2_2_2_2_2_2_2_2_2_2_2_1_2_2_2_2_2_2_2_2_2_2_3_2_2_2_2_2_2_2_2_2_2_1_1_1_1_2_2_1_1_1_1_1_1_1_1_1_1_1_1_1_1_3_1_2_1_1_1_1_1_2_2_2_2_1_1_1_1_2_1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35" priority="5" operator="containsText" text="N/A">
      <formula>NOT(ISERROR(SEARCH("N/A",Z13)))</formula>
    </cfRule>
    <cfRule type="cellIs" dxfId="134" priority="17" operator="equal">
      <formula>0</formula>
    </cfRule>
  </conditionalFormatting>
  <conditionalFormatting sqref="Z13:AG36">
    <cfRule type="cellIs" dxfId="133" priority="16" operator="greaterThanOrEqual">
      <formula>1185</formula>
    </cfRule>
  </conditionalFormatting>
  <conditionalFormatting sqref="Z13:AG36">
    <cfRule type="cellIs" dxfId="132" priority="15" operator="between">
      <formula>0.1</formula>
      <formula>1184</formula>
    </cfRule>
  </conditionalFormatting>
  <conditionalFormatting sqref="Z8:Z9 AT13:AT36 AL37:AQ37 AL13:AR36">
    <cfRule type="cellIs" dxfId="131" priority="14" operator="equal">
      <formula>0</formula>
    </cfRule>
  </conditionalFormatting>
  <conditionalFormatting sqref="Z8:Z9 AT13:AT36 AL37:AQ37 AL13:AR36">
    <cfRule type="cellIs" dxfId="130" priority="13" operator="greaterThan">
      <formula>1179</formula>
    </cfRule>
  </conditionalFormatting>
  <conditionalFormatting sqref="Z8:Z9 AT13:AT36 AL37:AQ37 AL13:AR36">
    <cfRule type="cellIs" dxfId="129" priority="12" operator="greaterThan">
      <formula>99</formula>
    </cfRule>
  </conditionalFormatting>
  <conditionalFormatting sqref="Z8:Z9 AT13:AT36 AL37:AQ37 AL13:AR36">
    <cfRule type="cellIs" dxfId="128" priority="11" operator="greaterThan">
      <formula>0.99</formula>
    </cfRule>
  </conditionalFormatting>
  <conditionalFormatting sqref="AD8:AD9">
    <cfRule type="cellIs" dxfId="127" priority="10" operator="equal">
      <formula>0</formula>
    </cfRule>
  </conditionalFormatting>
  <conditionalFormatting sqref="AD8:AD9">
    <cfRule type="cellIs" dxfId="126" priority="9" operator="greaterThan">
      <formula>1179</formula>
    </cfRule>
  </conditionalFormatting>
  <conditionalFormatting sqref="AD8:AD9">
    <cfRule type="cellIs" dxfId="125" priority="8" operator="greaterThan">
      <formula>99</formula>
    </cfRule>
  </conditionalFormatting>
  <conditionalFormatting sqref="AD8:AD9">
    <cfRule type="cellIs" dxfId="124" priority="7" operator="greaterThan">
      <formula>0.99</formula>
    </cfRule>
  </conditionalFormatting>
  <conditionalFormatting sqref="AK13:AK36">
    <cfRule type="cellIs" dxfId="123" priority="6" operator="greaterThan">
      <formula>$AK$8</formula>
    </cfRule>
  </conditionalFormatting>
  <conditionalFormatting sqref="AS13:AS36">
    <cfRule type="containsText" dxfId="122" priority="1" operator="containsText" text="N/A">
      <formula>NOT(ISERROR(SEARCH("N/A",AS13)))</formula>
    </cfRule>
    <cfRule type="cellIs" dxfId="121" priority="4" operator="equal">
      <formula>0</formula>
    </cfRule>
  </conditionalFormatting>
  <conditionalFormatting sqref="AS13:AS36">
    <cfRule type="cellIs" dxfId="120" priority="3" operator="greaterThanOrEqual">
      <formula>1185</formula>
    </cfRule>
  </conditionalFormatting>
  <conditionalFormatting sqref="AS13:AS36">
    <cfRule type="cellIs" dxfId="119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700-000000000000}">
      <formula1>$BB$11:$BB$42</formula1>
    </dataValidation>
    <dataValidation type="list" allowBlank="1" showInputMessage="1" showErrorMessage="1" sqref="J13:J36" xr:uid="{00000000-0002-0000-1700-000001000000}">
      <formula1>$AY$11:$AY$21</formula1>
    </dataValidation>
    <dataValidation type="list" allowBlank="1" showInputMessage="1" showErrorMessage="1" sqref="AS8:AT9 P11:P12 N11:N12 D8:E9 Q8:V9" xr:uid="{00000000-0002-0000-1700-000002000000}">
      <formula1>#REF!</formula1>
    </dataValidation>
    <dataValidation type="list" allowBlank="1" showInputMessage="1" showErrorMessage="1" sqref="AY33:AZ33" xr:uid="{00000000-0002-0000-1700-000003000000}">
      <formula1>$AY$26:$AY$30</formula1>
    </dataValidation>
  </dataValidations>
  <hyperlinks>
    <hyperlink ref="J10:J11" location="'1'!AH8" display="Plant Status" xr:uid="{00000000-0004-0000-1700-000000000000}"/>
  </hyperlinks>
  <pageMargins left="0.7" right="0.7" top="0.75" bottom="0.75" header="0.3" footer="0.3"/>
  <pageSetup paperSize="9" orientation="portrait" horizontalDpi="4294967293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7030A0"/>
  </sheetPr>
  <dimension ref="A2:BB84"/>
  <sheetViews>
    <sheetView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152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69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43306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27245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1"/>
      <c r="K9" s="262"/>
      <c r="L9" s="263"/>
      <c r="M9" s="264"/>
      <c r="N9" s="29"/>
      <c r="O9" s="29"/>
      <c r="P9" s="29"/>
      <c r="Q9" s="121"/>
      <c r="R9" s="121"/>
      <c r="S9" s="121"/>
      <c r="T9" s="122"/>
      <c r="U9" s="123"/>
      <c r="V9" s="124"/>
      <c r="W9" s="262"/>
      <c r="X9" s="264"/>
      <c r="Y9" s="30"/>
      <c r="Z9" s="265"/>
      <c r="AA9" s="125"/>
      <c r="AB9" s="126"/>
      <c r="AC9" s="126"/>
      <c r="AD9" s="125"/>
      <c r="AE9" s="125"/>
      <c r="AF9" s="127"/>
      <c r="AG9" s="26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70" t="s">
        <v>51</v>
      </c>
      <c r="X10" s="270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68" t="s">
        <v>55</v>
      </c>
      <c r="AI10" s="268" t="s">
        <v>56</v>
      </c>
      <c r="AJ10" s="314" t="s">
        <v>57</v>
      </c>
      <c r="AK10" s="329" t="s">
        <v>58</v>
      </c>
      <c r="AL10" s="270" t="s">
        <v>59</v>
      </c>
      <c r="AM10" s="270" t="s">
        <v>60</v>
      </c>
      <c r="AN10" s="270" t="s">
        <v>61</v>
      </c>
      <c r="AO10" s="270" t="s">
        <v>62</v>
      </c>
      <c r="AP10" s="270" t="s">
        <v>63</v>
      </c>
      <c r="AQ10" s="270" t="s">
        <v>124</v>
      </c>
      <c r="AR10" s="270" t="s">
        <v>64</v>
      </c>
      <c r="AS10" s="270" t="s">
        <v>65</v>
      </c>
      <c r="AT10" s="312" t="s">
        <v>66</v>
      </c>
      <c r="AU10" s="270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0" t="s">
        <v>72</v>
      </c>
      <c r="C11" s="270" t="s">
        <v>73</v>
      </c>
      <c r="D11" s="270" t="s">
        <v>74</v>
      </c>
      <c r="E11" s="270" t="s">
        <v>75</v>
      </c>
      <c r="F11" s="270" t="s">
        <v>127</v>
      </c>
      <c r="G11" s="270" t="s">
        <v>74</v>
      </c>
      <c r="H11" s="270" t="s">
        <v>75</v>
      </c>
      <c r="I11" s="270" t="s">
        <v>127</v>
      </c>
      <c r="J11" s="309"/>
      <c r="K11" s="270" t="s">
        <v>75</v>
      </c>
      <c r="L11" s="270" t="s">
        <v>75</v>
      </c>
      <c r="M11" s="270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24'!S36</f>
        <v>102734618</v>
      </c>
      <c r="T11" s="322"/>
      <c r="U11" s="323"/>
      <c r="V11" s="324"/>
      <c r="W11" s="270" t="s">
        <v>75</v>
      </c>
      <c r="X11" s="270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24'!AI36</f>
        <v>17678383</v>
      </c>
      <c r="AJ11" s="314"/>
      <c r="AK11" s="330"/>
      <c r="AL11" s="270" t="s">
        <v>84</v>
      </c>
      <c r="AM11" s="270" t="s">
        <v>84</v>
      </c>
      <c r="AN11" s="270" t="s">
        <v>84</v>
      </c>
      <c r="AO11" s="270" t="s">
        <v>84</v>
      </c>
      <c r="AP11" s="270" t="s">
        <v>84</v>
      </c>
      <c r="AQ11" s="270" t="s">
        <v>84</v>
      </c>
      <c r="AR11" s="270" t="s">
        <v>84</v>
      </c>
      <c r="AS11" s="1"/>
      <c r="AT11" s="313"/>
      <c r="AU11" s="267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43306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69</v>
      </c>
      <c r="H13" s="150">
        <f t="shared" ref="H13:H36" si="0">G13/1.42</f>
        <v>48.591549295774648</v>
      </c>
      <c r="I13" s="150">
        <v>67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102739510</v>
      </c>
      <c r="T13" s="45">
        <f>IF(ISBLANK(S13),"-",S13-S11)</f>
        <v>4892</v>
      </c>
      <c r="U13" s="46">
        <f>T13*24/1000</f>
        <v>117.408</v>
      </c>
      <c r="V13" s="46">
        <f>T13/1000</f>
        <v>4.8920000000000003</v>
      </c>
      <c r="W13" s="96">
        <v>5.7</v>
      </c>
      <c r="X13" s="96">
        <f t="shared" ref="X13:X36" si="1">W13</f>
        <v>5.7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17679481</v>
      </c>
      <c r="AJ13" s="45">
        <f>IF(ISBLANK(AI13),"-",AI13-AI11)</f>
        <v>1098</v>
      </c>
      <c r="AK13" s="48">
        <f>AJ13/V13</f>
        <v>224.44807849550284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43306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7</v>
      </c>
      <c r="G14" s="118">
        <v>69</v>
      </c>
      <c r="H14" s="150">
        <f t="shared" si="0"/>
        <v>48.591549295774648</v>
      </c>
      <c r="I14" s="150">
        <v>67</v>
      </c>
      <c r="J14" s="41" t="s">
        <v>88</v>
      </c>
      <c r="K14" s="41">
        <f t="shared" ref="K14:K36" si="3">L14-(2/1.42)</f>
        <v>43.661971830985919</v>
      </c>
      <c r="L14" s="42">
        <f>(G14-5)/1.42</f>
        <v>45.070422535211272</v>
      </c>
      <c r="M14" s="41">
        <f>L14+(6/1.42)</f>
        <v>49.295774647887328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102744248</v>
      </c>
      <c r="T14" s="45">
        <f t="shared" ref="T14:T36" si="4">IF(ISBLANK(S14),"-",S14-S13)</f>
        <v>4738</v>
      </c>
      <c r="U14" s="46">
        <f t="shared" ref="U14:U37" si="5">T14*24/1000</f>
        <v>113.712</v>
      </c>
      <c r="V14" s="46">
        <f t="shared" ref="V14:V37" si="6">T14/1000</f>
        <v>4.7380000000000004</v>
      </c>
      <c r="W14" s="96">
        <v>7.2</v>
      </c>
      <c r="X14" s="96">
        <f t="shared" si="1"/>
        <v>7.2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17680541</v>
      </c>
      <c r="AJ14" s="45">
        <f t="shared" ref="AJ14:AJ36" si="7">IF(ISBLANK(AI14),"-",AI14-AI13)</f>
        <v>1060</v>
      </c>
      <c r="AK14" s="48">
        <f>AJ14/V14</f>
        <v>223.72308991135498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1.01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43306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72</v>
      </c>
      <c r="H15" s="150">
        <f t="shared" si="0"/>
        <v>50.70422535211268</v>
      </c>
      <c r="I15" s="150">
        <v>70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102749050</v>
      </c>
      <c r="T15" s="45">
        <f>IF(ISBLANK(S15),"-",S15-S14)</f>
        <v>4802</v>
      </c>
      <c r="U15" s="46">
        <f t="shared" si="5"/>
        <v>115.248</v>
      </c>
      <c r="V15" s="46">
        <f t="shared" si="6"/>
        <v>4.8019999999999996</v>
      </c>
      <c r="W15" s="96">
        <v>8.8000000000000007</v>
      </c>
      <c r="X15" s="96">
        <f t="shared" si="1"/>
        <v>8.8000000000000007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17681715</v>
      </c>
      <c r="AJ15" s="45">
        <f t="shared" si="7"/>
        <v>1174</v>
      </c>
      <c r="AK15" s="48">
        <f t="shared" ref="AK15:AK36" si="9">AJ15/V15</f>
        <v>244.4814660558101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43306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82</v>
      </c>
      <c r="H16" s="150">
        <f t="shared" si="0"/>
        <v>57.74647887323944</v>
      </c>
      <c r="I16" s="150">
        <v>79</v>
      </c>
      <c r="J16" s="41" t="s">
        <v>88</v>
      </c>
      <c r="K16" s="41">
        <f t="shared" si="3"/>
        <v>52.816901408450704</v>
      </c>
      <c r="L16" s="42">
        <f>(G16-5)/1.42</f>
        <v>54.225352112676056</v>
      </c>
      <c r="M16" s="41">
        <f>L16+(6/1.42)</f>
        <v>58.450704225352112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102753530</v>
      </c>
      <c r="T16" s="45">
        <f t="shared" si="4"/>
        <v>4480</v>
      </c>
      <c r="U16" s="46">
        <f t="shared" si="5"/>
        <v>107.52</v>
      </c>
      <c r="V16" s="46">
        <f t="shared" si="6"/>
        <v>4.4800000000000004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1147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17682747</v>
      </c>
      <c r="AJ16" s="45">
        <f t="shared" si="7"/>
        <v>1032</v>
      </c>
      <c r="AK16" s="48">
        <f t="shared" si="9"/>
        <v>230.35714285714283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43306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80</v>
      </c>
      <c r="H17" s="150">
        <f t="shared" si="0"/>
        <v>56.338028169014088</v>
      </c>
      <c r="I17" s="150">
        <v>78</v>
      </c>
      <c r="J17" s="41" t="s">
        <v>88</v>
      </c>
      <c r="K17" s="41">
        <f t="shared" si="3"/>
        <v>51.408450704225352</v>
      </c>
      <c r="L17" s="42">
        <f>(G17-5)/1.42</f>
        <v>52.816901408450704</v>
      </c>
      <c r="M17" s="41">
        <f>L17+(6/1.42)</f>
        <v>57.04225352112676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102757790</v>
      </c>
      <c r="T17" s="45">
        <f t="shared" si="4"/>
        <v>4260</v>
      </c>
      <c r="U17" s="46">
        <f t="shared" si="5"/>
        <v>102.24</v>
      </c>
      <c r="V17" s="46">
        <f t="shared" si="6"/>
        <v>4.26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1146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17683780</v>
      </c>
      <c r="AJ17" s="45">
        <f t="shared" si="7"/>
        <v>1033</v>
      </c>
      <c r="AK17" s="48">
        <f t="shared" si="9"/>
        <v>242.48826291079814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43306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9</v>
      </c>
      <c r="G18" s="118">
        <v>81</v>
      </c>
      <c r="H18" s="150">
        <f t="shared" si="0"/>
        <v>57.04225352112676</v>
      </c>
      <c r="I18" s="150">
        <v>78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102763029</v>
      </c>
      <c r="T18" s="45">
        <f t="shared" si="4"/>
        <v>5239</v>
      </c>
      <c r="U18" s="46">
        <f t="shared" si="5"/>
        <v>125.736</v>
      </c>
      <c r="V18" s="46">
        <f t="shared" si="6"/>
        <v>5.2389999999999999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17684872</v>
      </c>
      <c r="AJ18" s="45">
        <f t="shared" si="7"/>
        <v>1092</v>
      </c>
      <c r="AK18" s="48">
        <f t="shared" si="9"/>
        <v>208.43672456575683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0.98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43306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77</v>
      </c>
      <c r="H19" s="150">
        <f t="shared" si="0"/>
        <v>54.225352112676056</v>
      </c>
      <c r="I19" s="150">
        <v>75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102768834</v>
      </c>
      <c r="T19" s="45">
        <f t="shared" si="4"/>
        <v>5805</v>
      </c>
      <c r="U19" s="46">
        <f t="shared" si="5"/>
        <v>139.32</v>
      </c>
      <c r="V19" s="46">
        <f t="shared" si="6"/>
        <v>5.8049999999999997</v>
      </c>
      <c r="W19" s="96">
        <v>9.1</v>
      </c>
      <c r="X19" s="96">
        <f t="shared" si="1"/>
        <v>9.1</v>
      </c>
      <c r="Y19" s="97" t="s">
        <v>168</v>
      </c>
      <c r="Z19" s="154">
        <v>1026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17686014</v>
      </c>
      <c r="AJ19" s="45">
        <f t="shared" si="7"/>
        <v>1142</v>
      </c>
      <c r="AK19" s="48">
        <f t="shared" si="9"/>
        <v>196.72695951765721</v>
      </c>
      <c r="AL19" s="151">
        <v>1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43306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7</v>
      </c>
      <c r="G20" s="118">
        <v>76</v>
      </c>
      <c r="H20" s="150">
        <f t="shared" si="0"/>
        <v>53.521126760563384</v>
      </c>
      <c r="I20" s="150">
        <v>74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102774565</v>
      </c>
      <c r="T20" s="45">
        <f t="shared" si="4"/>
        <v>5731</v>
      </c>
      <c r="U20" s="46">
        <f>T20*24/1000</f>
        <v>137.54400000000001</v>
      </c>
      <c r="V20" s="46">
        <f t="shared" si="6"/>
        <v>5.7309999999999999</v>
      </c>
      <c r="W20" s="96">
        <v>8.5</v>
      </c>
      <c r="X20" s="96">
        <f t="shared" si="1"/>
        <v>8.5</v>
      </c>
      <c r="Y20" s="97" t="s">
        <v>168</v>
      </c>
      <c r="Z20" s="154">
        <v>1047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17687209</v>
      </c>
      <c r="AJ20" s="45">
        <f t="shared" si="7"/>
        <v>1195</v>
      </c>
      <c r="AK20" s="48">
        <f t="shared" si="9"/>
        <v>208.51509335194555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43306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6</v>
      </c>
      <c r="G21" s="118">
        <v>75</v>
      </c>
      <c r="H21" s="150">
        <f t="shared" si="0"/>
        <v>52.816901408450704</v>
      </c>
      <c r="I21" s="150">
        <v>73</v>
      </c>
      <c r="J21" s="41" t="s">
        <v>88</v>
      </c>
      <c r="K21" s="41">
        <f t="shared" si="3"/>
        <v>51.408450704225352</v>
      </c>
      <c r="L21" s="42">
        <f t="shared" si="10"/>
        <v>52.816901408450704</v>
      </c>
      <c r="M21" s="41">
        <f t="shared" si="11"/>
        <v>54.236901408450706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102779844</v>
      </c>
      <c r="T21" s="45">
        <f t="shared" si="4"/>
        <v>5279</v>
      </c>
      <c r="U21" s="46">
        <f t="shared" si="5"/>
        <v>126.696</v>
      </c>
      <c r="V21" s="46">
        <f t="shared" si="6"/>
        <v>5.2789999999999999</v>
      </c>
      <c r="W21" s="96">
        <v>7.8</v>
      </c>
      <c r="X21" s="96">
        <f t="shared" si="1"/>
        <v>7.8</v>
      </c>
      <c r="Y21" s="97" t="s">
        <v>168</v>
      </c>
      <c r="Z21" s="154">
        <v>1046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17688401</v>
      </c>
      <c r="AJ21" s="45">
        <f t="shared" si="7"/>
        <v>1192</v>
      </c>
      <c r="AK21" s="48">
        <f t="shared" si="9"/>
        <v>225.80034097366925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43306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5</v>
      </c>
      <c r="G22" s="118">
        <v>75</v>
      </c>
      <c r="H22" s="150">
        <f t="shared" si="0"/>
        <v>52.816901408450704</v>
      </c>
      <c r="I22" s="150">
        <v>74</v>
      </c>
      <c r="J22" s="41" t="s">
        <v>88</v>
      </c>
      <c r="K22" s="41">
        <f t="shared" si="3"/>
        <v>51.408450704225352</v>
      </c>
      <c r="L22" s="42">
        <f t="shared" si="10"/>
        <v>52.816901408450704</v>
      </c>
      <c r="M22" s="41">
        <f t="shared" si="11"/>
        <v>54.236901408450706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102784857</v>
      </c>
      <c r="T22" s="45">
        <f t="shared" si="4"/>
        <v>5013</v>
      </c>
      <c r="U22" s="46">
        <f t="shared" si="5"/>
        <v>120.312</v>
      </c>
      <c r="V22" s="46">
        <f t="shared" si="6"/>
        <v>5.0129999999999999</v>
      </c>
      <c r="W22" s="96">
        <v>7</v>
      </c>
      <c r="X22" s="96">
        <f t="shared" si="1"/>
        <v>7</v>
      </c>
      <c r="Y22" s="97" t="s">
        <v>168</v>
      </c>
      <c r="Z22" s="154">
        <v>1048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17689571</v>
      </c>
      <c r="AJ22" s="45">
        <f t="shared" si="7"/>
        <v>1170</v>
      </c>
      <c r="AK22" s="48">
        <f t="shared" si="9"/>
        <v>233.3931777378815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1.03</v>
      </c>
      <c r="AV22" s="50" t="s">
        <v>126</v>
      </c>
      <c r="BB22" s="136" t="s">
        <v>156</v>
      </c>
    </row>
    <row r="23" spans="1:54" x14ac:dyDescent="0.35">
      <c r="A23" s="331">
        <v>43306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76</v>
      </c>
      <c r="H23" s="150">
        <f t="shared" si="0"/>
        <v>53.521126760563384</v>
      </c>
      <c r="I23" s="150">
        <v>75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102789128</v>
      </c>
      <c r="T23" s="45">
        <f t="shared" si="4"/>
        <v>4271</v>
      </c>
      <c r="U23" s="46">
        <f t="shared" si="5"/>
        <v>102.504</v>
      </c>
      <c r="V23" s="46">
        <f t="shared" si="6"/>
        <v>4.2709999999999999</v>
      </c>
      <c r="W23" s="96">
        <v>6.4</v>
      </c>
      <c r="X23" s="96">
        <f>W23</f>
        <v>6.4</v>
      </c>
      <c r="Y23" s="97" t="s">
        <v>168</v>
      </c>
      <c r="Z23" s="154">
        <v>1046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17690778</v>
      </c>
      <c r="AJ23" s="45">
        <f t="shared" si="7"/>
        <v>1207</v>
      </c>
      <c r="AK23" s="48">
        <f t="shared" si="9"/>
        <v>282.6036057129478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43306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75</v>
      </c>
      <c r="H24" s="150">
        <f t="shared" si="0"/>
        <v>52.816901408450704</v>
      </c>
      <c r="I24" s="150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102793220</v>
      </c>
      <c r="T24" s="45">
        <f t="shared" si="4"/>
        <v>4092</v>
      </c>
      <c r="U24" s="46">
        <f>T24*24/1000</f>
        <v>98.207999999999998</v>
      </c>
      <c r="V24" s="46">
        <f t="shared" si="6"/>
        <v>4.0919999999999996</v>
      </c>
      <c r="W24" s="96">
        <v>5.8</v>
      </c>
      <c r="X24" s="96">
        <f t="shared" si="1"/>
        <v>5.8</v>
      </c>
      <c r="Y24" s="97" t="s">
        <v>168</v>
      </c>
      <c r="Z24" s="154">
        <v>1047</v>
      </c>
      <c r="AA24" s="154">
        <v>0</v>
      </c>
      <c r="AB24" s="154">
        <v>1186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17691975</v>
      </c>
      <c r="AJ24" s="45">
        <f t="shared" si="7"/>
        <v>1197</v>
      </c>
      <c r="AK24" s="48">
        <f t="shared" si="9"/>
        <v>292.5219941348974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43306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3</v>
      </c>
      <c r="G25" s="118">
        <v>74</v>
      </c>
      <c r="H25" s="150">
        <f t="shared" si="0"/>
        <v>52.112676056338032</v>
      </c>
      <c r="I25" s="150">
        <v>72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102798580</v>
      </c>
      <c r="T25" s="45">
        <f t="shared" si="4"/>
        <v>5360</v>
      </c>
      <c r="U25" s="46">
        <f>T25*24/1000</f>
        <v>128.63999999999999</v>
      </c>
      <c r="V25" s="46">
        <f t="shared" si="6"/>
        <v>5.36</v>
      </c>
      <c r="W25" s="96">
        <v>5.0999999999999996</v>
      </c>
      <c r="X25" s="96">
        <f t="shared" si="1"/>
        <v>5.0999999999999996</v>
      </c>
      <c r="Y25" s="97" t="s">
        <v>168</v>
      </c>
      <c r="Z25" s="154">
        <v>1047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17693176</v>
      </c>
      <c r="AJ25" s="45">
        <f t="shared" si="7"/>
        <v>1201</v>
      </c>
      <c r="AK25" s="48">
        <f t="shared" si="9"/>
        <v>224.06716417910445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43306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2</v>
      </c>
      <c r="G26" s="118">
        <v>74</v>
      </c>
      <c r="H26" s="150">
        <f t="shared" si="0"/>
        <v>52.112676056338032</v>
      </c>
      <c r="I26" s="150">
        <v>73</v>
      </c>
      <c r="J26" s="41" t="s">
        <v>88</v>
      </c>
      <c r="K26" s="41">
        <f t="shared" si="3"/>
        <v>50.70422535211268</v>
      </c>
      <c r="L26" s="42">
        <f t="shared" si="10"/>
        <v>52.112676056338032</v>
      </c>
      <c r="M26" s="41">
        <f t="shared" ref="M26:M36" si="12">L26+(6/1.42)</f>
        <v>56.338028169014088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102802675</v>
      </c>
      <c r="T26" s="45">
        <f t="shared" si="4"/>
        <v>4095</v>
      </c>
      <c r="U26" s="46">
        <f t="shared" si="5"/>
        <v>98.28</v>
      </c>
      <c r="V26" s="46">
        <f t="shared" si="6"/>
        <v>4.0949999999999998</v>
      </c>
      <c r="W26" s="96">
        <v>4.5999999999999996</v>
      </c>
      <c r="X26" s="96">
        <f t="shared" si="1"/>
        <v>4.5999999999999996</v>
      </c>
      <c r="Y26" s="97" t="s">
        <v>168</v>
      </c>
      <c r="Z26" s="154">
        <v>1027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17694316</v>
      </c>
      <c r="AJ26" s="45">
        <f t="shared" si="7"/>
        <v>1140</v>
      </c>
      <c r="AK26" s="48">
        <f t="shared" si="9"/>
        <v>278.38827838827842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v>0</v>
      </c>
      <c r="AU26" s="119">
        <v>0.97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43306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1</v>
      </c>
      <c r="G27" s="118">
        <v>75</v>
      </c>
      <c r="H27" s="150">
        <f t="shared" si="0"/>
        <v>52.816901408450704</v>
      </c>
      <c r="I27" s="150">
        <v>73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102807460</v>
      </c>
      <c r="T27" s="45">
        <f t="shared" si="4"/>
        <v>4785</v>
      </c>
      <c r="U27" s="46">
        <f t="shared" si="5"/>
        <v>114.84</v>
      </c>
      <c r="V27" s="46">
        <f t="shared" si="6"/>
        <v>4.7850000000000001</v>
      </c>
      <c r="W27" s="96">
        <v>4.0999999999999996</v>
      </c>
      <c r="X27" s="96">
        <f t="shared" si="1"/>
        <v>4.0999999999999996</v>
      </c>
      <c r="Y27" s="97" t="s">
        <v>168</v>
      </c>
      <c r="Z27" s="154">
        <v>1016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17695427</v>
      </c>
      <c r="AJ27" s="45">
        <f t="shared" si="7"/>
        <v>1111</v>
      </c>
      <c r="AK27" s="48">
        <f t="shared" si="9"/>
        <v>232.18390804597701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43306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0</v>
      </c>
      <c r="G28" s="118">
        <v>74</v>
      </c>
      <c r="H28" s="150">
        <f t="shared" si="0"/>
        <v>52.112676056338032</v>
      </c>
      <c r="I28" s="150">
        <v>72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102812516</v>
      </c>
      <c r="T28" s="45">
        <f t="shared" si="4"/>
        <v>5056</v>
      </c>
      <c r="U28" s="46">
        <f t="shared" si="5"/>
        <v>121.34399999999999</v>
      </c>
      <c r="V28" s="46">
        <f t="shared" si="6"/>
        <v>5.056</v>
      </c>
      <c r="W28" s="96">
        <v>3.6</v>
      </c>
      <c r="X28" s="96">
        <f t="shared" si="1"/>
        <v>3.6</v>
      </c>
      <c r="Y28" s="97" t="s">
        <v>168</v>
      </c>
      <c r="Z28" s="154">
        <v>1016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17696612</v>
      </c>
      <c r="AJ28" s="45">
        <f>IF(ISBLANK(AI28),"-",AI28-AI27)</f>
        <v>1185</v>
      </c>
      <c r="AK28" s="48">
        <f t="shared" si="9"/>
        <v>234.375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43306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-1</v>
      </c>
      <c r="G29" s="118">
        <v>74</v>
      </c>
      <c r="H29" s="150">
        <f t="shared" si="0"/>
        <v>52.112676056338032</v>
      </c>
      <c r="I29" s="150">
        <v>73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102817589</v>
      </c>
      <c r="T29" s="45">
        <f t="shared" si="4"/>
        <v>5073</v>
      </c>
      <c r="U29" s="46">
        <f t="shared" si="5"/>
        <v>121.752</v>
      </c>
      <c r="V29" s="46">
        <f t="shared" si="6"/>
        <v>5.0730000000000004</v>
      </c>
      <c r="W29" s="96">
        <v>3.3</v>
      </c>
      <c r="X29" s="96">
        <f t="shared" si="1"/>
        <v>3.3</v>
      </c>
      <c r="Y29" s="97" t="s">
        <v>168</v>
      </c>
      <c r="Z29" s="154">
        <v>1015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17697794</v>
      </c>
      <c r="AJ29" s="45">
        <f t="shared" si="7"/>
        <v>1182</v>
      </c>
      <c r="AK29" s="48">
        <f>AJ28/V29</f>
        <v>233.58959195742162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43306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-2</v>
      </c>
      <c r="G30" s="118">
        <v>75</v>
      </c>
      <c r="H30" s="150">
        <f t="shared" si="0"/>
        <v>52.816901408450704</v>
      </c>
      <c r="I30" s="150">
        <v>74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102822763</v>
      </c>
      <c r="T30" s="45">
        <f t="shared" si="4"/>
        <v>5174</v>
      </c>
      <c r="U30" s="46">
        <f t="shared" si="5"/>
        <v>124.176</v>
      </c>
      <c r="V30" s="46">
        <f t="shared" si="6"/>
        <v>5.1740000000000004</v>
      </c>
      <c r="W30" s="96">
        <v>2.9</v>
      </c>
      <c r="X30" s="96">
        <f t="shared" si="1"/>
        <v>2.9</v>
      </c>
      <c r="Y30" s="97" t="s">
        <v>168</v>
      </c>
      <c r="Z30" s="154">
        <v>1014</v>
      </c>
      <c r="AA30" s="154">
        <v>0</v>
      </c>
      <c r="AB30" s="154">
        <v>1186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17698919</v>
      </c>
      <c r="AJ30" s="45">
        <f t="shared" si="7"/>
        <v>1125</v>
      </c>
      <c r="AK30" s="48">
        <f>AJ29/V30</f>
        <v>228.44994201778121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1.02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43306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-2</v>
      </c>
      <c r="G31" s="118">
        <v>74</v>
      </c>
      <c r="H31" s="150">
        <f t="shared" si="0"/>
        <v>52.112676056338032</v>
      </c>
      <c r="I31" s="150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102828135</v>
      </c>
      <c r="T31" s="45">
        <f t="shared" si="4"/>
        <v>5372</v>
      </c>
      <c r="U31" s="46">
        <f t="shared" si="5"/>
        <v>128.928</v>
      </c>
      <c r="V31" s="46">
        <f t="shared" si="6"/>
        <v>5.3719999999999999</v>
      </c>
      <c r="W31" s="96">
        <v>2.6</v>
      </c>
      <c r="X31" s="96">
        <f t="shared" si="1"/>
        <v>2.6</v>
      </c>
      <c r="Y31" s="97" t="s">
        <v>168</v>
      </c>
      <c r="Z31" s="154">
        <v>1015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17700096</v>
      </c>
      <c r="AJ31" s="45">
        <f t="shared" si="7"/>
        <v>1177</v>
      </c>
      <c r="AK31" s="48">
        <f t="shared" si="9"/>
        <v>219.09903201787046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43306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-5</v>
      </c>
      <c r="G32" s="118">
        <v>73</v>
      </c>
      <c r="H32" s="150">
        <f t="shared" si="0"/>
        <v>51.408450704225352</v>
      </c>
      <c r="I32" s="150">
        <v>70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102833130</v>
      </c>
      <c r="T32" s="45">
        <f t="shared" si="4"/>
        <v>4995</v>
      </c>
      <c r="U32" s="46">
        <f t="shared" si="5"/>
        <v>119.88</v>
      </c>
      <c r="V32" s="46">
        <f t="shared" si="6"/>
        <v>4.9950000000000001</v>
      </c>
      <c r="W32" s="96">
        <v>2.2999999999999998</v>
      </c>
      <c r="X32" s="96">
        <f t="shared" si="1"/>
        <v>2.2999999999999998</v>
      </c>
      <c r="Y32" s="97" t="s">
        <v>168</v>
      </c>
      <c r="Z32" s="154">
        <v>1015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17701201</v>
      </c>
      <c r="AJ32" s="45">
        <f t="shared" si="7"/>
        <v>1105</v>
      </c>
      <c r="AK32" s="48">
        <f t="shared" si="9"/>
        <v>221.22122122122121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43306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-5</v>
      </c>
      <c r="G33" s="118">
        <v>73</v>
      </c>
      <c r="H33" s="150">
        <f t="shared" si="0"/>
        <v>51.408450704225352</v>
      </c>
      <c r="I33" s="150">
        <v>70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102838295</v>
      </c>
      <c r="T33" s="45">
        <f t="shared" si="4"/>
        <v>5165</v>
      </c>
      <c r="U33" s="46">
        <f t="shared" si="5"/>
        <v>123.96</v>
      </c>
      <c r="V33" s="46">
        <f t="shared" si="6"/>
        <v>5.165</v>
      </c>
      <c r="W33" s="96">
        <v>2</v>
      </c>
      <c r="X33" s="96">
        <f t="shared" si="1"/>
        <v>2</v>
      </c>
      <c r="Y33" s="97" t="s">
        <v>168</v>
      </c>
      <c r="Z33" s="154">
        <v>1015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17702330</v>
      </c>
      <c r="AJ33" s="45">
        <f t="shared" si="7"/>
        <v>1129</v>
      </c>
      <c r="AK33" s="48">
        <f t="shared" si="9"/>
        <v>218.58664085188769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43306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-5</v>
      </c>
      <c r="G34" s="118">
        <v>73</v>
      </c>
      <c r="H34" s="150">
        <f t="shared" si="0"/>
        <v>51.408450704225352</v>
      </c>
      <c r="I34" s="150">
        <v>70</v>
      </c>
      <c r="J34" s="41" t="s">
        <v>88</v>
      </c>
      <c r="K34" s="41">
        <f t="shared" si="3"/>
        <v>47.887323943661976</v>
      </c>
      <c r="L34" s="42">
        <f t="shared" si="13"/>
        <v>49.295774647887328</v>
      </c>
      <c r="M34" s="41">
        <f t="shared" si="12"/>
        <v>53.521126760563384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102843615</v>
      </c>
      <c r="T34" s="45">
        <f t="shared" si="4"/>
        <v>5320</v>
      </c>
      <c r="U34" s="46">
        <f t="shared" si="5"/>
        <v>127.68</v>
      </c>
      <c r="V34" s="46">
        <f t="shared" si="6"/>
        <v>5.32</v>
      </c>
      <c r="W34" s="96">
        <v>1.8</v>
      </c>
      <c r="X34" s="96">
        <f t="shared" si="1"/>
        <v>1.8</v>
      </c>
      <c r="Y34" s="97" t="s">
        <v>168</v>
      </c>
      <c r="Z34" s="154">
        <v>1015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17703425</v>
      </c>
      <c r="AJ34" s="45">
        <f t="shared" si="7"/>
        <v>1095</v>
      </c>
      <c r="AK34" s="48">
        <f t="shared" si="9"/>
        <v>205.82706766917292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0.84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43306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-5</v>
      </c>
      <c r="G35" s="118">
        <v>61</v>
      </c>
      <c r="H35" s="150">
        <f t="shared" si="0"/>
        <v>42.95774647887324</v>
      </c>
      <c r="I35" s="150">
        <v>58</v>
      </c>
      <c r="J35" s="41" t="s">
        <v>88</v>
      </c>
      <c r="K35" s="41">
        <f>L35-(2/1.42)</f>
        <v>38.028169014084511</v>
      </c>
      <c r="L35" s="42">
        <f>(G35-5)/1.42</f>
        <v>39.436619718309863</v>
      </c>
      <c r="M35" s="41">
        <f t="shared" si="12"/>
        <v>43.661971830985919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102848330</v>
      </c>
      <c r="T35" s="45">
        <f t="shared" si="4"/>
        <v>4715</v>
      </c>
      <c r="U35" s="46">
        <f t="shared" si="5"/>
        <v>113.16</v>
      </c>
      <c r="V35" s="46">
        <f t="shared" si="6"/>
        <v>4.7149999999999999</v>
      </c>
      <c r="W35" s="96">
        <v>2.7</v>
      </c>
      <c r="X35" s="96">
        <f t="shared" si="1"/>
        <v>2.7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17704540</v>
      </c>
      <c r="AJ35" s="45">
        <f t="shared" si="7"/>
        <v>1115</v>
      </c>
      <c r="AK35" s="48">
        <f t="shared" si="9"/>
        <v>236.4793213149523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43306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-5</v>
      </c>
      <c r="G36" s="118">
        <v>68</v>
      </c>
      <c r="H36" s="150">
        <f t="shared" si="0"/>
        <v>47.887323943661976</v>
      </c>
      <c r="I36" s="150">
        <v>65</v>
      </c>
      <c r="J36" s="41" t="s">
        <v>88</v>
      </c>
      <c r="K36" s="41">
        <f t="shared" si="3"/>
        <v>42.95774647887324</v>
      </c>
      <c r="L36" s="42">
        <f>(G36-5)/1.42</f>
        <v>44.366197183098592</v>
      </c>
      <c r="M36" s="41">
        <f t="shared" si="12"/>
        <v>48.591549295774648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102853840</v>
      </c>
      <c r="T36" s="45">
        <f t="shared" si="4"/>
        <v>5510</v>
      </c>
      <c r="U36" s="46">
        <f t="shared" si="5"/>
        <v>132.24</v>
      </c>
      <c r="V36" s="46">
        <f t="shared" si="6"/>
        <v>5.51</v>
      </c>
      <c r="W36" s="96">
        <v>4.0999999999999996</v>
      </c>
      <c r="X36" s="96">
        <f t="shared" si="1"/>
        <v>4.0999999999999996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17705628</v>
      </c>
      <c r="AJ36" s="45">
        <f t="shared" si="7"/>
        <v>1088</v>
      </c>
      <c r="AK36" s="48">
        <f t="shared" si="9"/>
        <v>197.45916515426498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119222</v>
      </c>
      <c r="U37" s="46">
        <f t="shared" si="5"/>
        <v>2861.328</v>
      </c>
      <c r="V37" s="46">
        <f t="shared" si="6"/>
        <v>119.22199999999999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27245</v>
      </c>
      <c r="AK37" s="61">
        <f>$AJ$37/$V37</f>
        <v>228.52325913002636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0.97499999999999998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259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209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184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260</v>
      </c>
      <c r="C52" s="184"/>
      <c r="D52" s="184"/>
      <c r="E52" s="184"/>
      <c r="F52" s="130"/>
      <c r="G52" s="130"/>
      <c r="H52" s="156"/>
      <c r="I52" s="156"/>
      <c r="J52" s="156"/>
      <c r="K52" s="156"/>
      <c r="L52" s="156"/>
      <c r="M52" s="156"/>
      <c r="N52" s="131"/>
      <c r="O52" s="131"/>
      <c r="P52" s="131"/>
      <c r="Q52" s="114"/>
      <c r="R52" s="104"/>
      <c r="S52" s="104"/>
      <c r="T52" s="104"/>
      <c r="U52" s="114"/>
      <c r="V52" s="114"/>
      <c r="W52" s="114"/>
      <c r="X52" s="94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49"/>
      <c r="F53" s="149"/>
      <c r="G53" s="149"/>
      <c r="H53" s="149"/>
      <c r="I53" s="149"/>
      <c r="J53" s="149"/>
      <c r="K53" s="162"/>
      <c r="L53" s="143"/>
      <c r="M53" s="105"/>
      <c r="N53" s="105"/>
      <c r="O53" s="105"/>
      <c r="P53" s="105"/>
      <c r="Q53" s="105"/>
      <c r="R53" s="105"/>
      <c r="S53" s="105"/>
      <c r="T53" s="105"/>
      <c r="U53" s="105"/>
      <c r="V53" s="147"/>
      <c r="W53" s="147"/>
      <c r="X53" s="148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66"/>
      <c r="D54" s="166"/>
      <c r="E54" s="115"/>
      <c r="F54" s="115"/>
      <c r="G54" s="115"/>
      <c r="H54" s="115"/>
      <c r="I54" s="149"/>
      <c r="J54" s="104"/>
      <c r="K54" s="104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47"/>
      <c r="W54" s="147"/>
      <c r="X54" s="148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66"/>
      <c r="D55" s="166"/>
      <c r="E55" s="149"/>
      <c r="F55" s="149"/>
      <c r="G55" s="149"/>
      <c r="H55" s="149"/>
      <c r="I55" s="149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7"/>
      <c r="W55" s="147"/>
      <c r="X55" s="148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66"/>
      <c r="D56" s="170"/>
      <c r="E56" s="170"/>
      <c r="F56" s="114"/>
      <c r="G56" s="114"/>
      <c r="H56" s="104"/>
      <c r="I56" s="10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261</v>
      </c>
      <c r="C57" s="149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15"/>
      <c r="D58" s="100"/>
      <c r="E58" s="100"/>
      <c r="F58" s="115"/>
      <c r="G58" s="115"/>
      <c r="H58" s="9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224</v>
      </c>
      <c r="C59" s="115"/>
      <c r="D59" s="162"/>
      <c r="E59" s="162"/>
      <c r="F59" s="162"/>
      <c r="G59" s="162"/>
      <c r="H59" s="162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49"/>
      <c r="C60" s="115"/>
      <c r="D60" s="100"/>
      <c r="E60" s="100"/>
      <c r="F60" s="115"/>
      <c r="G60" s="115"/>
      <c r="H60" s="92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15"/>
      <c r="D61" s="162"/>
      <c r="E61" s="162"/>
      <c r="F61" s="162"/>
      <c r="G61" s="162"/>
      <c r="H61" s="162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AV61" s="86"/>
      <c r="AW61" s="86"/>
      <c r="AX61" s="86"/>
      <c r="AY61" s="86"/>
      <c r="AZ61" s="86"/>
      <c r="BA61" s="86"/>
      <c r="BB61" s="86"/>
    </row>
    <row r="62" spans="1:54" x14ac:dyDescent="0.35">
      <c r="B62" s="158"/>
      <c r="C62" s="115"/>
      <c r="D62" s="162"/>
      <c r="E62" s="162"/>
      <c r="F62" s="162"/>
      <c r="G62" s="162"/>
      <c r="H62" s="162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AV62" s="86"/>
      <c r="AW62" s="86"/>
      <c r="AX62" s="86"/>
      <c r="AY62" s="86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AV63" s="86"/>
      <c r="AW63" s="86"/>
      <c r="AX63" s="86"/>
      <c r="AY63" s="86"/>
      <c r="AZ63" s="86"/>
      <c r="BA63" s="86"/>
      <c r="BB63" s="86"/>
    </row>
    <row r="64" spans="1:54" x14ac:dyDescent="0.35">
      <c r="Q64" s="12"/>
      <c r="R64" s="87"/>
      <c r="S64" s="87"/>
      <c r="T64" s="87"/>
      <c r="U64" s="87"/>
      <c r="AV64" s="86"/>
      <c r="AW64" s="86"/>
      <c r="AX64" s="86"/>
      <c r="AY64" s="86"/>
      <c r="AZ64" s="86"/>
      <c r="BA64" s="86"/>
      <c r="BB64" s="86"/>
    </row>
    <row r="65" spans="17:54" x14ac:dyDescent="0.35">
      <c r="Q65" s="12"/>
      <c r="R65" s="87"/>
      <c r="S65" s="87"/>
      <c r="T65" s="87"/>
      <c r="U65" s="87"/>
      <c r="V65" s="87"/>
      <c r="AV65" s="86"/>
      <c r="AW65" s="86"/>
      <c r="AX65" s="86"/>
      <c r="AY65" s="86"/>
      <c r="AZ65" s="86"/>
      <c r="BA65" s="86"/>
      <c r="BB65" s="86"/>
    </row>
    <row r="66" spans="17:54" x14ac:dyDescent="0.35">
      <c r="Q66" s="12"/>
      <c r="R66" s="87"/>
      <c r="S66" s="87"/>
      <c r="T66" s="87"/>
      <c r="U66" s="87"/>
      <c r="V66" s="87"/>
      <c r="AV66" s="86"/>
      <c r="AW66" s="86"/>
      <c r="AX66" s="86"/>
      <c r="AY66" s="86"/>
      <c r="AZ66" s="86"/>
      <c r="BA66" s="86"/>
      <c r="BB66" s="86"/>
    </row>
    <row r="67" spans="17:54" x14ac:dyDescent="0.35">
      <c r="Q67" s="12"/>
      <c r="R67" s="87"/>
      <c r="V67" s="87"/>
      <c r="AV67" s="86"/>
      <c r="AW67" s="86"/>
      <c r="AX67" s="86"/>
      <c r="AY67" s="86"/>
      <c r="AZ67" s="86"/>
      <c r="BA67" s="86"/>
      <c r="BB67" s="86"/>
    </row>
    <row r="68" spans="17:54" x14ac:dyDescent="0.35">
      <c r="Q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17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17:54" x14ac:dyDescent="0.35">
      <c r="Q70" s="12"/>
      <c r="R70" s="87"/>
      <c r="S70" s="87"/>
      <c r="T70" s="87"/>
      <c r="U70" s="87"/>
      <c r="V70" s="87"/>
      <c r="W70" s="87"/>
      <c r="AV70" s="86"/>
      <c r="AW70" s="86"/>
      <c r="AX70" s="86"/>
      <c r="AY70" s="86"/>
      <c r="AZ70" s="86"/>
      <c r="BA70" s="86"/>
      <c r="BB70" s="86"/>
    </row>
    <row r="71" spans="17:54" x14ac:dyDescent="0.35">
      <c r="Q71" s="12"/>
      <c r="R71" s="87"/>
      <c r="V71" s="87"/>
      <c r="W71" s="87"/>
      <c r="AV71" s="86"/>
      <c r="AW71" s="86"/>
      <c r="AX71" s="86"/>
      <c r="AY71" s="86"/>
      <c r="AZ71" s="86"/>
      <c r="BA71" s="86"/>
      <c r="BB71" s="86"/>
    </row>
    <row r="72" spans="17:54" x14ac:dyDescent="0.35">
      <c r="BB72" s="86"/>
    </row>
    <row r="83" spans="48:54" x14ac:dyDescent="0.35">
      <c r="AV83" s="86"/>
      <c r="AW83" s="86"/>
      <c r="AX83" s="86"/>
      <c r="AY83" s="86"/>
      <c r="AZ83" s="86"/>
      <c r="BA83" s="86"/>
    </row>
    <row r="84" spans="48:54" x14ac:dyDescent="0.35">
      <c r="BB84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0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3" name="Range2_2_12_1_3_1_2_1_1_1_1_2_1_1_1_1_1_1_1_1_1_1_1"/>
    <protectedRange sqref="F58:F63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56:H57" name="Range2_12_5_1_1_1_2_2_1_1_1_1_1_1_1_1_1_1_1_2_1_1_1_2_1_1_1_1_1_1_1_1_1_1_1_1_1_1_1_1_2_1_1_1_1_1_1_1_1_1_2_1_1_3_1_1_1_3_1_1_1_1_1_1_1_1_1_1_1_1_1_1_1_1_1_1_1_1_1_1_2_1_1_1_1_1_1_1_1_1_1_1_2_2_1_2_1_1_1_1_1_1_1_1_1_1_1_1_1"/>
    <protectedRange sqref="U53:V63" name="Range2_12_5_1_1_2_1_1_1_2_1_1_1_1_1_1_1_1_1_1_1_1_1"/>
    <protectedRange sqref="P53:T63" name="Range2_12_1_6_1_1_2_1_1_1_2_1_1_1_1_1_1_1_1_1_1_1_1_1"/>
    <protectedRange sqref="N53:O63" name="Range2_2_12_1_7_1_1_3_1_1_1_2_1_1_1_1_1_1_1_1_1_1_1_1_1"/>
    <protectedRange sqref="M53 L54:M63" name="Range2_2_12_1_4_1_1_1_1_1_1_1_1_1_1_1_1_1_1_1_2_1_1_1_2_1_1_1_1_1_1_1_1_1_1_1_1_1"/>
    <protectedRange sqref="K54:K63" name="Range2_2_12_1_7_1_1_2_2_1_2_2_1_1_1_2_1_1_1_1_1_1_1_1_1_1_1_1_1"/>
    <protectedRange sqref="J54:J55 I56:J63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4:W4" name="Range1_16_1_1_1_1_1_1_2_2_2_2_2_2_2_2_2_2_2_2_2_2_2_2_2_2_2_2_2_2_2_1_2_2_2_2_2_2_2_2_2_2_3_2_2_2_2_2_2_2_2_2_2_1_1_1_1_2_2_1_1_1_1_1_1_1_1_1_1_1_1_1_1_3_1_2_1_1_1_1_1_2_2_2_2_1_1_1_1_2_1_1"/>
    <protectedRange sqref="R3:W3" name="Range1_16_1_1_1_1_1_1_2_2_2_2_2_2_2_2_2_2_2_2_2_2_2_2_2_2_2_2_2_2_2_1_2_2_2_2_2_2_2_2_2_2_3_2_2_2_2_2_2_2_2_2_2_1_1_1_1_2_2_1_1_1_1_1_1_1_1_1_1_1_1_1_1_3_1_2_1_1_1_1_1_1_2_1_1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18" priority="5" operator="containsText" text="N/A">
      <formula>NOT(ISERROR(SEARCH("N/A",Z13)))</formula>
    </cfRule>
    <cfRule type="cellIs" dxfId="117" priority="17" operator="equal">
      <formula>0</formula>
    </cfRule>
  </conditionalFormatting>
  <conditionalFormatting sqref="Z13:AG36">
    <cfRule type="cellIs" dxfId="116" priority="16" operator="greaterThanOrEqual">
      <formula>1185</formula>
    </cfRule>
  </conditionalFormatting>
  <conditionalFormatting sqref="Z13:AG36">
    <cfRule type="cellIs" dxfId="115" priority="15" operator="between">
      <formula>0.1</formula>
      <formula>1184</formula>
    </cfRule>
  </conditionalFormatting>
  <conditionalFormatting sqref="Z8:Z9 AT13:AT36 AL37:AQ37 AL13:AR36">
    <cfRule type="cellIs" dxfId="114" priority="14" operator="equal">
      <formula>0</formula>
    </cfRule>
  </conditionalFormatting>
  <conditionalFormatting sqref="Z8:Z9 AT13:AT36 AL37:AQ37 AL13:AR36">
    <cfRule type="cellIs" dxfId="113" priority="13" operator="greaterThan">
      <formula>1179</formula>
    </cfRule>
  </conditionalFormatting>
  <conditionalFormatting sqref="Z8:Z9 AT13:AT36 AL37:AQ37 AL13:AR36">
    <cfRule type="cellIs" dxfId="112" priority="12" operator="greaterThan">
      <formula>99</formula>
    </cfRule>
  </conditionalFormatting>
  <conditionalFormatting sqref="Z8:Z9 AT13:AT36 AL37:AQ37 AL13:AR36">
    <cfRule type="cellIs" dxfId="111" priority="11" operator="greaterThan">
      <formula>0.99</formula>
    </cfRule>
  </conditionalFormatting>
  <conditionalFormatting sqref="AD8:AD9">
    <cfRule type="cellIs" dxfId="110" priority="10" operator="equal">
      <formula>0</formula>
    </cfRule>
  </conditionalFormatting>
  <conditionalFormatting sqref="AD8:AD9">
    <cfRule type="cellIs" dxfId="109" priority="9" operator="greaterThan">
      <formula>1179</formula>
    </cfRule>
  </conditionalFormatting>
  <conditionalFormatting sqref="AD8:AD9">
    <cfRule type="cellIs" dxfId="108" priority="8" operator="greaterThan">
      <formula>99</formula>
    </cfRule>
  </conditionalFormatting>
  <conditionalFormatting sqref="AD8:AD9">
    <cfRule type="cellIs" dxfId="107" priority="7" operator="greaterThan">
      <formula>0.99</formula>
    </cfRule>
  </conditionalFormatting>
  <conditionalFormatting sqref="AK13:AK36">
    <cfRule type="cellIs" dxfId="106" priority="6" operator="greaterThan">
      <formula>$AK$8</formula>
    </cfRule>
  </conditionalFormatting>
  <conditionalFormatting sqref="AS13:AS36">
    <cfRule type="containsText" dxfId="105" priority="1" operator="containsText" text="N/A">
      <formula>NOT(ISERROR(SEARCH("N/A",AS13)))</formula>
    </cfRule>
    <cfRule type="cellIs" dxfId="104" priority="4" operator="equal">
      <formula>0</formula>
    </cfRule>
  </conditionalFormatting>
  <conditionalFormatting sqref="AS13:AS36">
    <cfRule type="cellIs" dxfId="103" priority="3" operator="greaterThanOrEqual">
      <formula>1185</formula>
    </cfRule>
  </conditionalFormatting>
  <conditionalFormatting sqref="AS13:AS36">
    <cfRule type="cellIs" dxfId="102" priority="2" operator="between">
      <formula>0.1</formula>
      <formula>1184</formula>
    </cfRule>
  </conditionalFormatting>
  <dataValidations count="4">
    <dataValidation type="list" allowBlank="1" showInputMessage="1" showErrorMessage="1" sqref="AY33:AZ33" xr:uid="{00000000-0002-0000-1800-000000000000}">
      <formula1>$AY$26:$AY$30</formula1>
    </dataValidation>
    <dataValidation type="list" allowBlank="1" showInputMessage="1" showErrorMessage="1" sqref="AS8:AT9 P11:P12 N11:N12 D8:E9 Q8:V9" xr:uid="{00000000-0002-0000-1800-000001000000}">
      <formula1>#REF!</formula1>
    </dataValidation>
    <dataValidation type="list" allowBlank="1" showInputMessage="1" showErrorMessage="1" sqref="J13:J36" xr:uid="{00000000-0002-0000-1800-000002000000}">
      <formula1>$AY$11:$AY$21</formula1>
    </dataValidation>
    <dataValidation type="list" allowBlank="1" showInputMessage="1" showErrorMessage="1" sqref="R3:R5" xr:uid="{00000000-0002-0000-1800-000003000000}">
      <formula1>$BB$11:$BB$42</formula1>
    </dataValidation>
  </dataValidations>
  <hyperlinks>
    <hyperlink ref="J10:J11" location="'1'!AH8" display="Plant Status" xr:uid="{00000000-0004-0000-1800-000000000000}"/>
  </hyperlinks>
  <pageMargins left="0.7" right="0.7" top="0.75" bottom="0.75" header="0.3" footer="0.3"/>
  <pageSetup paperSize="9" orientation="portrait" horizont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7030A0"/>
  </sheetPr>
  <dimension ref="A2:BB84"/>
  <sheetViews>
    <sheetView tabSelected="1" zoomScaleNormal="100" workbookViewId="0">
      <selection activeCell="I4" sqref="I4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143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69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43307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27180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1"/>
      <c r="K9" s="262"/>
      <c r="L9" s="263"/>
      <c r="M9" s="264"/>
      <c r="N9" s="29"/>
      <c r="O9" s="29"/>
      <c r="P9" s="29"/>
      <c r="Q9" s="121"/>
      <c r="R9" s="121"/>
      <c r="S9" s="121"/>
      <c r="T9" s="122"/>
      <c r="U9" s="123"/>
      <c r="V9" s="124"/>
      <c r="W9" s="262"/>
      <c r="X9" s="264"/>
      <c r="Y9" s="30"/>
      <c r="Z9" s="265"/>
      <c r="AA9" s="125"/>
      <c r="AB9" s="126"/>
      <c r="AC9" s="126"/>
      <c r="AD9" s="125"/>
      <c r="AE9" s="125"/>
      <c r="AF9" s="127"/>
      <c r="AG9" s="26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70" t="s">
        <v>51</v>
      </c>
      <c r="X10" s="270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68" t="s">
        <v>55</v>
      </c>
      <c r="AI10" s="268" t="s">
        <v>56</v>
      </c>
      <c r="AJ10" s="314" t="s">
        <v>57</v>
      </c>
      <c r="AK10" s="329" t="s">
        <v>58</v>
      </c>
      <c r="AL10" s="270" t="s">
        <v>59</v>
      </c>
      <c r="AM10" s="270" t="s">
        <v>60</v>
      </c>
      <c r="AN10" s="270" t="s">
        <v>61</v>
      </c>
      <c r="AO10" s="270" t="s">
        <v>62</v>
      </c>
      <c r="AP10" s="270" t="s">
        <v>63</v>
      </c>
      <c r="AQ10" s="270" t="s">
        <v>124</v>
      </c>
      <c r="AR10" s="270" t="s">
        <v>64</v>
      </c>
      <c r="AS10" s="270" t="s">
        <v>65</v>
      </c>
      <c r="AT10" s="312" t="s">
        <v>66</v>
      </c>
      <c r="AU10" s="270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0" t="s">
        <v>72</v>
      </c>
      <c r="C11" s="270" t="s">
        <v>73</v>
      </c>
      <c r="D11" s="270" t="s">
        <v>74</v>
      </c>
      <c r="E11" s="270" t="s">
        <v>75</v>
      </c>
      <c r="F11" s="270" t="s">
        <v>127</v>
      </c>
      <c r="G11" s="270" t="s">
        <v>74</v>
      </c>
      <c r="H11" s="270" t="s">
        <v>75</v>
      </c>
      <c r="I11" s="270" t="s">
        <v>127</v>
      </c>
      <c r="J11" s="309"/>
      <c r="K11" s="270" t="s">
        <v>75</v>
      </c>
      <c r="L11" s="270" t="s">
        <v>75</v>
      </c>
      <c r="M11" s="270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25'!S36</f>
        <v>102853840</v>
      </c>
      <c r="T11" s="322"/>
      <c r="U11" s="323"/>
      <c r="V11" s="324"/>
      <c r="W11" s="270" t="s">
        <v>75</v>
      </c>
      <c r="X11" s="270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25'!AI36</f>
        <v>17705628</v>
      </c>
      <c r="AJ11" s="314"/>
      <c r="AK11" s="330"/>
      <c r="AL11" s="270" t="s">
        <v>84</v>
      </c>
      <c r="AM11" s="270" t="s">
        <v>84</v>
      </c>
      <c r="AN11" s="270" t="s">
        <v>84</v>
      </c>
      <c r="AO11" s="270" t="s">
        <v>84</v>
      </c>
      <c r="AP11" s="270" t="s">
        <v>84</v>
      </c>
      <c r="AQ11" s="270" t="s">
        <v>84</v>
      </c>
      <c r="AR11" s="270" t="s">
        <v>84</v>
      </c>
      <c r="AS11" s="1"/>
      <c r="AT11" s="313"/>
      <c r="AU11" s="267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43307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2</v>
      </c>
      <c r="G13" s="118">
        <v>68</v>
      </c>
      <c r="H13" s="150">
        <f t="shared" ref="H13:H36" si="0">G13/1.42</f>
        <v>47.887323943661976</v>
      </c>
      <c r="I13" s="150">
        <v>65</v>
      </c>
      <c r="J13" s="41" t="s">
        <v>88</v>
      </c>
      <c r="K13" s="41">
        <f>L13-(2/1.42)</f>
        <v>42.95774647887324</v>
      </c>
      <c r="L13" s="42">
        <f>(G13-5)/1.42</f>
        <v>44.366197183098592</v>
      </c>
      <c r="M13" s="41">
        <f>L13+(6/1.42)</f>
        <v>48.591549295774648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102857885</v>
      </c>
      <c r="T13" s="45">
        <f>IF(ISBLANK(S13),"-",S13-S11)</f>
        <v>4045</v>
      </c>
      <c r="U13" s="46">
        <f>T13*24/1000</f>
        <v>97.08</v>
      </c>
      <c r="V13" s="46">
        <f>T13/1000</f>
        <v>4.0449999999999999</v>
      </c>
      <c r="W13" s="96">
        <v>5.5</v>
      </c>
      <c r="X13" s="96">
        <f t="shared" ref="X13:X36" si="1">W13</f>
        <v>5.5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17706700</v>
      </c>
      <c r="AJ13" s="45">
        <f>IF(ISBLANK(AI13),"-",AI13-AI11)</f>
        <v>1072</v>
      </c>
      <c r="AK13" s="48">
        <f>AJ13/V13</f>
        <v>265.01854140914708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43307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69</v>
      </c>
      <c r="H14" s="150">
        <f t="shared" si="0"/>
        <v>48.591549295774648</v>
      </c>
      <c r="I14" s="150">
        <v>67</v>
      </c>
      <c r="J14" s="41" t="s">
        <v>88</v>
      </c>
      <c r="K14" s="41">
        <f t="shared" ref="K14:K36" si="3">L14-(2/1.42)</f>
        <v>43.661971830985919</v>
      </c>
      <c r="L14" s="42">
        <f>(G14-5)/1.42</f>
        <v>45.070422535211272</v>
      </c>
      <c r="M14" s="41">
        <f>L14+(6/1.42)</f>
        <v>49.295774647887328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102862395</v>
      </c>
      <c r="T14" s="45">
        <f t="shared" ref="T14:T36" si="4">IF(ISBLANK(S14),"-",S14-S13)</f>
        <v>4510</v>
      </c>
      <c r="U14" s="46">
        <f t="shared" ref="U14:U37" si="5">T14*24/1000</f>
        <v>108.24</v>
      </c>
      <c r="V14" s="46">
        <f t="shared" ref="V14:V37" si="6">T14/1000</f>
        <v>4.51</v>
      </c>
      <c r="W14" s="96">
        <v>6.8</v>
      </c>
      <c r="X14" s="96">
        <f t="shared" si="1"/>
        <v>6.8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17707753</v>
      </c>
      <c r="AJ14" s="45">
        <f t="shared" ref="AJ14:AJ36" si="7">IF(ISBLANK(AI14),"-",AI14-AI13)</f>
        <v>1053</v>
      </c>
      <c r="AK14" s="48">
        <f>AJ14/V14</f>
        <v>233.48115299334813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1.02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43307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70</v>
      </c>
      <c r="H15" s="150">
        <f t="shared" si="0"/>
        <v>49.295774647887328</v>
      </c>
      <c r="I15" s="150">
        <v>68</v>
      </c>
      <c r="J15" s="41" t="s">
        <v>88</v>
      </c>
      <c r="K15" s="41">
        <f t="shared" si="3"/>
        <v>44.366197183098592</v>
      </c>
      <c r="L15" s="42">
        <f>(G15-5)/1.42</f>
        <v>45.774647887323944</v>
      </c>
      <c r="M15" s="41">
        <f>L15+(6/1.42)</f>
        <v>50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102867428</v>
      </c>
      <c r="T15" s="45">
        <f>IF(ISBLANK(S15),"-",S15-S14)</f>
        <v>5033</v>
      </c>
      <c r="U15" s="46">
        <f t="shared" si="5"/>
        <v>120.792</v>
      </c>
      <c r="V15" s="46">
        <f t="shared" si="6"/>
        <v>5.0330000000000004</v>
      </c>
      <c r="W15" s="96">
        <v>8.4</v>
      </c>
      <c r="X15" s="96">
        <f t="shared" si="1"/>
        <v>8.4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17708844</v>
      </c>
      <c r="AJ15" s="45">
        <f t="shared" si="7"/>
        <v>1091</v>
      </c>
      <c r="AK15" s="48">
        <f t="shared" ref="AK15:AK36" si="9">AJ15/V15</f>
        <v>216.76932247168685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43307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102872215</v>
      </c>
      <c r="T16" s="45">
        <f t="shared" si="4"/>
        <v>4787</v>
      </c>
      <c r="U16" s="46">
        <f t="shared" si="5"/>
        <v>114.88800000000001</v>
      </c>
      <c r="V16" s="46">
        <f t="shared" si="6"/>
        <v>4.7869999999999999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17709927</v>
      </c>
      <c r="AJ16" s="45">
        <f t="shared" si="7"/>
        <v>1083</v>
      </c>
      <c r="AK16" s="48">
        <f t="shared" si="9"/>
        <v>226.23772717777314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43307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79</v>
      </c>
      <c r="H17" s="150">
        <f t="shared" si="0"/>
        <v>55.633802816901408</v>
      </c>
      <c r="I17" s="150">
        <v>77</v>
      </c>
      <c r="J17" s="41" t="s">
        <v>88</v>
      </c>
      <c r="K17" s="41">
        <f t="shared" si="3"/>
        <v>50.70422535211268</v>
      </c>
      <c r="L17" s="42">
        <f>(G17-5)/1.42</f>
        <v>52.112676056338032</v>
      </c>
      <c r="M17" s="41">
        <f>L17+(6/1.42)</f>
        <v>56.338028169014088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102877138</v>
      </c>
      <c r="T17" s="45">
        <f t="shared" si="4"/>
        <v>4923</v>
      </c>
      <c r="U17" s="46">
        <f t="shared" si="5"/>
        <v>118.152</v>
      </c>
      <c r="V17" s="46">
        <f t="shared" si="6"/>
        <v>4.923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17710988</v>
      </c>
      <c r="AJ17" s="45">
        <f t="shared" si="7"/>
        <v>1061</v>
      </c>
      <c r="AK17" s="48">
        <f t="shared" si="9"/>
        <v>215.51899248425755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43307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9</v>
      </c>
      <c r="G18" s="118">
        <v>79</v>
      </c>
      <c r="H18" s="150">
        <f t="shared" si="0"/>
        <v>55.633802816901408</v>
      </c>
      <c r="I18" s="150">
        <v>77</v>
      </c>
      <c r="J18" s="41" t="s">
        <v>88</v>
      </c>
      <c r="K18" s="41">
        <f t="shared" si="3"/>
        <v>54.225352112676056</v>
      </c>
      <c r="L18" s="42">
        <f t="shared" ref="L18:L27" si="10">G18/1.42</f>
        <v>55.633802816901408</v>
      </c>
      <c r="M18" s="41">
        <f>L18+1.42</f>
        <v>57.05380281690141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102882574</v>
      </c>
      <c r="T18" s="45">
        <f t="shared" si="4"/>
        <v>5436</v>
      </c>
      <c r="U18" s="46">
        <f t="shared" si="5"/>
        <v>130.464</v>
      </c>
      <c r="V18" s="46">
        <f t="shared" si="6"/>
        <v>5.4359999999999999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17712079</v>
      </c>
      <c r="AJ18" s="45">
        <f t="shared" si="7"/>
        <v>1091</v>
      </c>
      <c r="AK18" s="48">
        <f t="shared" si="9"/>
        <v>200.6990434142752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0.98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43307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77</v>
      </c>
      <c r="H19" s="150">
        <f t="shared" si="0"/>
        <v>54.225352112676056</v>
      </c>
      <c r="I19" s="150">
        <v>75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102888675</v>
      </c>
      <c r="T19" s="45">
        <f t="shared" si="4"/>
        <v>6101</v>
      </c>
      <c r="U19" s="46">
        <f t="shared" si="5"/>
        <v>146.42400000000001</v>
      </c>
      <c r="V19" s="46">
        <f t="shared" si="6"/>
        <v>6.101</v>
      </c>
      <c r="W19" s="96">
        <v>9</v>
      </c>
      <c r="X19" s="96">
        <f t="shared" si="1"/>
        <v>9</v>
      </c>
      <c r="Y19" s="97" t="s">
        <v>168</v>
      </c>
      <c r="Z19" s="154">
        <v>0</v>
      </c>
      <c r="AA19" s="154">
        <v>1047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17713259</v>
      </c>
      <c r="AJ19" s="45">
        <f t="shared" si="7"/>
        <v>1180</v>
      </c>
      <c r="AK19" s="48">
        <f t="shared" si="9"/>
        <v>193.4109162432388</v>
      </c>
      <c r="AL19" s="151">
        <v>0</v>
      </c>
      <c r="AM19" s="151">
        <v>1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43307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8</v>
      </c>
      <c r="G20" s="118">
        <v>76</v>
      </c>
      <c r="H20" s="150">
        <f t="shared" si="0"/>
        <v>53.521126760563384</v>
      </c>
      <c r="I20" s="150">
        <v>74</v>
      </c>
      <c r="J20" s="41" t="s">
        <v>88</v>
      </c>
      <c r="K20" s="41">
        <f t="shared" si="3"/>
        <v>52.112676056338032</v>
      </c>
      <c r="L20" s="42">
        <f t="shared" si="10"/>
        <v>53.521126760563384</v>
      </c>
      <c r="M20" s="41">
        <f t="shared" ref="M20:M24" si="11">L20+1.42</f>
        <v>54.941126760563385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102894179</v>
      </c>
      <c r="T20" s="45">
        <f t="shared" si="4"/>
        <v>5504</v>
      </c>
      <c r="U20" s="46">
        <f>T20*24/1000</f>
        <v>132.096</v>
      </c>
      <c r="V20" s="46">
        <f t="shared" si="6"/>
        <v>5.5039999999999996</v>
      </c>
      <c r="W20" s="96">
        <v>8.3000000000000007</v>
      </c>
      <c r="X20" s="96">
        <f t="shared" si="1"/>
        <v>8.3000000000000007</v>
      </c>
      <c r="Y20" s="97" t="s">
        <v>168</v>
      </c>
      <c r="Z20" s="154">
        <v>0</v>
      </c>
      <c r="AA20" s="154">
        <v>1048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17714418</v>
      </c>
      <c r="AJ20" s="45">
        <f t="shared" si="7"/>
        <v>1159</v>
      </c>
      <c r="AK20" s="48">
        <f t="shared" si="9"/>
        <v>210.57412790697677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43307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6</v>
      </c>
      <c r="G21" s="118">
        <v>75</v>
      </c>
      <c r="H21" s="150">
        <f t="shared" si="0"/>
        <v>52.816901408450704</v>
      </c>
      <c r="I21" s="150">
        <v>73</v>
      </c>
      <c r="J21" s="41" t="s">
        <v>88</v>
      </c>
      <c r="K21" s="41">
        <f t="shared" si="3"/>
        <v>51.408450704225352</v>
      </c>
      <c r="L21" s="42">
        <f t="shared" si="10"/>
        <v>52.816901408450704</v>
      </c>
      <c r="M21" s="41">
        <f t="shared" si="11"/>
        <v>54.236901408450706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102898755</v>
      </c>
      <c r="T21" s="45">
        <f t="shared" si="4"/>
        <v>4576</v>
      </c>
      <c r="U21" s="46">
        <f t="shared" si="5"/>
        <v>109.824</v>
      </c>
      <c r="V21" s="46">
        <f t="shared" si="6"/>
        <v>4.5759999999999996</v>
      </c>
      <c r="W21" s="96">
        <v>7.6</v>
      </c>
      <c r="X21" s="96">
        <f t="shared" si="1"/>
        <v>7.6</v>
      </c>
      <c r="Y21" s="97" t="s">
        <v>168</v>
      </c>
      <c r="Z21" s="154">
        <v>0</v>
      </c>
      <c r="AA21" s="154">
        <v>1027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17715593</v>
      </c>
      <c r="AJ21" s="45">
        <f t="shared" si="7"/>
        <v>1175</v>
      </c>
      <c r="AK21" s="48">
        <f t="shared" si="9"/>
        <v>256.77447552447552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43307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5</v>
      </c>
      <c r="G22" s="118">
        <v>75</v>
      </c>
      <c r="H22" s="150">
        <f t="shared" si="0"/>
        <v>52.816901408450704</v>
      </c>
      <c r="I22" s="150">
        <v>74</v>
      </c>
      <c r="J22" s="41" t="s">
        <v>88</v>
      </c>
      <c r="K22" s="41">
        <f t="shared" si="3"/>
        <v>51.408450704225352</v>
      </c>
      <c r="L22" s="42">
        <f t="shared" si="10"/>
        <v>52.816901408450704</v>
      </c>
      <c r="M22" s="41">
        <f t="shared" si="11"/>
        <v>54.236901408450706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102903100</v>
      </c>
      <c r="T22" s="45">
        <f t="shared" si="4"/>
        <v>4345</v>
      </c>
      <c r="U22" s="46">
        <f t="shared" si="5"/>
        <v>104.28</v>
      </c>
      <c r="V22" s="46">
        <f t="shared" si="6"/>
        <v>4.3449999999999998</v>
      </c>
      <c r="W22" s="96">
        <v>6.9</v>
      </c>
      <c r="X22" s="96">
        <f t="shared" si="1"/>
        <v>6.9</v>
      </c>
      <c r="Y22" s="97" t="s">
        <v>168</v>
      </c>
      <c r="Z22" s="154">
        <v>0</v>
      </c>
      <c r="AA22" s="154">
        <v>1027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17716713</v>
      </c>
      <c r="AJ22" s="45">
        <f t="shared" si="7"/>
        <v>1120</v>
      </c>
      <c r="AK22" s="48">
        <f t="shared" si="9"/>
        <v>257.76754890678944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0.95</v>
      </c>
      <c r="AV22" s="50" t="s">
        <v>126</v>
      </c>
      <c r="BB22" s="136" t="s">
        <v>156</v>
      </c>
    </row>
    <row r="23" spans="1:54" x14ac:dyDescent="0.35">
      <c r="A23" s="331">
        <v>43307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4</v>
      </c>
      <c r="G23" s="118">
        <v>75</v>
      </c>
      <c r="H23" s="150">
        <f t="shared" si="0"/>
        <v>52.816901408450704</v>
      </c>
      <c r="I23" s="150">
        <v>73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102907515</v>
      </c>
      <c r="T23" s="45">
        <f t="shared" si="4"/>
        <v>4415</v>
      </c>
      <c r="U23" s="46">
        <f t="shared" si="5"/>
        <v>105.96</v>
      </c>
      <c r="V23" s="46">
        <f t="shared" si="6"/>
        <v>4.415</v>
      </c>
      <c r="W23" s="96">
        <v>6.3</v>
      </c>
      <c r="X23" s="96">
        <f>W23</f>
        <v>6.3</v>
      </c>
      <c r="Y23" s="97" t="s">
        <v>168</v>
      </c>
      <c r="Z23" s="154">
        <v>0</v>
      </c>
      <c r="AA23" s="154">
        <v>1026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17717955</v>
      </c>
      <c r="AJ23" s="45">
        <f t="shared" si="7"/>
        <v>1242</v>
      </c>
      <c r="AK23" s="48">
        <f t="shared" si="9"/>
        <v>281.31370328425822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43307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3</v>
      </c>
      <c r="G24" s="118">
        <v>76</v>
      </c>
      <c r="H24" s="150">
        <f t="shared" si="0"/>
        <v>53.521126760563384</v>
      </c>
      <c r="I24" s="150">
        <v>74</v>
      </c>
      <c r="J24" s="41" t="s">
        <v>88</v>
      </c>
      <c r="K24" s="41">
        <f t="shared" si="3"/>
        <v>52.112676056338032</v>
      </c>
      <c r="L24" s="42">
        <f t="shared" si="10"/>
        <v>53.521126760563384</v>
      </c>
      <c r="M24" s="41">
        <f t="shared" si="11"/>
        <v>54.941126760563385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102912150</v>
      </c>
      <c r="T24" s="45">
        <f t="shared" si="4"/>
        <v>4635</v>
      </c>
      <c r="U24" s="46">
        <f>T24*24/1000</f>
        <v>111.24</v>
      </c>
      <c r="V24" s="46">
        <f t="shared" si="6"/>
        <v>4.6349999999999998</v>
      </c>
      <c r="W24" s="96">
        <v>5.7</v>
      </c>
      <c r="X24" s="96">
        <f t="shared" si="1"/>
        <v>5.7</v>
      </c>
      <c r="Y24" s="97" t="s">
        <v>168</v>
      </c>
      <c r="Z24" s="154">
        <v>0</v>
      </c>
      <c r="AA24" s="154">
        <v>1026</v>
      </c>
      <c r="AB24" s="154">
        <v>1186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17719134</v>
      </c>
      <c r="AJ24" s="45">
        <f t="shared" si="7"/>
        <v>1179</v>
      </c>
      <c r="AK24" s="48">
        <f t="shared" si="9"/>
        <v>254.36893203883497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43307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2</v>
      </c>
      <c r="G25" s="118">
        <v>75</v>
      </c>
      <c r="H25" s="150">
        <f t="shared" si="0"/>
        <v>52.816901408450704</v>
      </c>
      <c r="I25" s="150">
        <v>73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102917658</v>
      </c>
      <c r="T25" s="45">
        <f t="shared" si="4"/>
        <v>5508</v>
      </c>
      <c r="U25" s="46">
        <f>T25*24/1000</f>
        <v>132.19200000000001</v>
      </c>
      <c r="V25" s="46">
        <f t="shared" si="6"/>
        <v>5.508</v>
      </c>
      <c r="W25" s="96">
        <v>5.2</v>
      </c>
      <c r="X25" s="96">
        <f t="shared" si="1"/>
        <v>5.2</v>
      </c>
      <c r="Y25" s="97" t="s">
        <v>168</v>
      </c>
      <c r="Z25" s="154">
        <v>0</v>
      </c>
      <c r="AA25" s="154">
        <v>1027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17720332</v>
      </c>
      <c r="AJ25" s="45">
        <f t="shared" si="7"/>
        <v>1198</v>
      </c>
      <c r="AK25" s="48">
        <f t="shared" si="9"/>
        <v>217.50181554103122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43307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2</v>
      </c>
      <c r="G26" s="118">
        <v>76</v>
      </c>
      <c r="H26" s="150">
        <f t="shared" si="0"/>
        <v>53.521126760563384</v>
      </c>
      <c r="I26" s="150">
        <v>75</v>
      </c>
      <c r="J26" s="41" t="s">
        <v>88</v>
      </c>
      <c r="K26" s="41">
        <f t="shared" si="3"/>
        <v>52.112676056338032</v>
      </c>
      <c r="L26" s="42">
        <f t="shared" si="10"/>
        <v>53.521126760563384</v>
      </c>
      <c r="M26" s="41">
        <f t="shared" ref="M26:M36" si="12">L26+(6/1.42)</f>
        <v>57.74647887323944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102923180</v>
      </c>
      <c r="T26" s="45">
        <f t="shared" si="4"/>
        <v>5522</v>
      </c>
      <c r="U26" s="46">
        <f t="shared" si="5"/>
        <v>132.52799999999999</v>
      </c>
      <c r="V26" s="46">
        <f t="shared" si="6"/>
        <v>5.5220000000000002</v>
      </c>
      <c r="W26" s="96">
        <v>4.8</v>
      </c>
      <c r="X26" s="96">
        <f t="shared" si="1"/>
        <v>4.8</v>
      </c>
      <c r="Y26" s="97" t="s">
        <v>168</v>
      </c>
      <c r="Z26" s="154">
        <v>0</v>
      </c>
      <c r="AA26" s="154">
        <v>1026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17721458</v>
      </c>
      <c r="AJ26" s="45">
        <f t="shared" si="7"/>
        <v>1126</v>
      </c>
      <c r="AK26" s="48">
        <f t="shared" si="9"/>
        <v>203.91162622238318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v>0</v>
      </c>
      <c r="AU26" s="119">
        <v>1.1200000000000001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43307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2</v>
      </c>
      <c r="G27" s="118">
        <v>76</v>
      </c>
      <c r="H27" s="150">
        <f t="shared" si="0"/>
        <v>53.521126760563384</v>
      </c>
      <c r="I27" s="150">
        <v>75</v>
      </c>
      <c r="J27" s="41" t="s">
        <v>88</v>
      </c>
      <c r="K27" s="41">
        <f t="shared" si="3"/>
        <v>52.112676056338032</v>
      </c>
      <c r="L27" s="42">
        <f t="shared" si="10"/>
        <v>53.521126760563384</v>
      </c>
      <c r="M27" s="41">
        <f t="shared" si="12"/>
        <v>57.74647887323944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102928387</v>
      </c>
      <c r="T27" s="45">
        <f t="shared" si="4"/>
        <v>5207</v>
      </c>
      <c r="U27" s="46">
        <f t="shared" si="5"/>
        <v>124.968</v>
      </c>
      <c r="V27" s="46">
        <f t="shared" si="6"/>
        <v>5.2069999999999999</v>
      </c>
      <c r="W27" s="96">
        <v>4.4000000000000004</v>
      </c>
      <c r="X27" s="96">
        <f t="shared" si="1"/>
        <v>4.4000000000000004</v>
      </c>
      <c r="Y27" s="97" t="s">
        <v>168</v>
      </c>
      <c r="Z27" s="154">
        <v>0</v>
      </c>
      <c r="AA27" s="154">
        <v>1015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17722548</v>
      </c>
      <c r="AJ27" s="45">
        <f t="shared" si="7"/>
        <v>1090</v>
      </c>
      <c r="AK27" s="48">
        <f t="shared" si="9"/>
        <v>209.33358939888612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43307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1</v>
      </c>
      <c r="G28" s="118">
        <v>75</v>
      </c>
      <c r="H28" s="150">
        <f t="shared" si="0"/>
        <v>52.816901408450704</v>
      </c>
      <c r="I28" s="150">
        <v>74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102933662</v>
      </c>
      <c r="T28" s="45">
        <f t="shared" si="4"/>
        <v>5275</v>
      </c>
      <c r="U28" s="46">
        <f t="shared" si="5"/>
        <v>126.6</v>
      </c>
      <c r="V28" s="46">
        <f t="shared" si="6"/>
        <v>5.2750000000000004</v>
      </c>
      <c r="W28" s="96">
        <v>3.9</v>
      </c>
      <c r="X28" s="96">
        <f t="shared" si="1"/>
        <v>3.9</v>
      </c>
      <c r="Y28" s="97" t="s">
        <v>168</v>
      </c>
      <c r="Z28" s="154">
        <v>0</v>
      </c>
      <c r="AA28" s="154">
        <v>1015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17723751</v>
      </c>
      <c r="AJ28" s="45">
        <f>IF(ISBLANK(AI28),"-",AI28-AI27)</f>
        <v>1203</v>
      </c>
      <c r="AK28" s="48">
        <f t="shared" si="9"/>
        <v>228.05687203791467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43307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1</v>
      </c>
      <c r="G29" s="118">
        <v>75</v>
      </c>
      <c r="H29" s="150">
        <f t="shared" si="0"/>
        <v>52.816901408450704</v>
      </c>
      <c r="I29" s="150">
        <v>74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102939340</v>
      </c>
      <c r="T29" s="45">
        <f t="shared" si="4"/>
        <v>5678</v>
      </c>
      <c r="U29" s="46">
        <f t="shared" si="5"/>
        <v>136.27199999999999</v>
      </c>
      <c r="V29" s="46">
        <f t="shared" si="6"/>
        <v>5.6779999999999999</v>
      </c>
      <c r="W29" s="96">
        <v>3.5</v>
      </c>
      <c r="X29" s="96">
        <f t="shared" si="1"/>
        <v>3.5</v>
      </c>
      <c r="Y29" s="97" t="s">
        <v>168</v>
      </c>
      <c r="Z29" s="154">
        <v>0</v>
      </c>
      <c r="AA29" s="154">
        <v>1015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17724916</v>
      </c>
      <c r="AJ29" s="45">
        <f t="shared" si="7"/>
        <v>1165</v>
      </c>
      <c r="AK29" s="48">
        <f>AJ28/V29</f>
        <v>211.87037689327229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43307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0</v>
      </c>
      <c r="G30" s="118">
        <v>75</v>
      </c>
      <c r="H30" s="150">
        <f t="shared" si="0"/>
        <v>52.816901408450704</v>
      </c>
      <c r="I30" s="150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102945007</v>
      </c>
      <c r="T30" s="45">
        <f t="shared" si="4"/>
        <v>5667</v>
      </c>
      <c r="U30" s="46">
        <f t="shared" si="5"/>
        <v>136.00800000000001</v>
      </c>
      <c r="V30" s="46">
        <f t="shared" si="6"/>
        <v>5.6669999999999998</v>
      </c>
      <c r="W30" s="96">
        <v>3.1</v>
      </c>
      <c r="X30" s="96">
        <f t="shared" si="1"/>
        <v>3.1</v>
      </c>
      <c r="Y30" s="97" t="s">
        <v>168</v>
      </c>
      <c r="Z30" s="154">
        <v>0</v>
      </c>
      <c r="AA30" s="154">
        <v>1016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17726064</v>
      </c>
      <c r="AJ30" s="45">
        <f t="shared" si="7"/>
        <v>1148</v>
      </c>
      <c r="AK30" s="48">
        <f>AJ29/V30</f>
        <v>205.57614257984824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1.05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43307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0</v>
      </c>
      <c r="G31" s="118">
        <v>74</v>
      </c>
      <c r="H31" s="150">
        <f t="shared" si="0"/>
        <v>52.112676056338032</v>
      </c>
      <c r="I31" s="150">
        <v>71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102950488</v>
      </c>
      <c r="T31" s="45">
        <f t="shared" si="4"/>
        <v>5481</v>
      </c>
      <c r="U31" s="46">
        <f t="shared" si="5"/>
        <v>131.54400000000001</v>
      </c>
      <c r="V31" s="46">
        <f t="shared" si="6"/>
        <v>5.4809999999999999</v>
      </c>
      <c r="W31" s="96">
        <v>2.8</v>
      </c>
      <c r="X31" s="96">
        <f t="shared" si="1"/>
        <v>2.8</v>
      </c>
      <c r="Y31" s="97" t="s">
        <v>168</v>
      </c>
      <c r="Z31" s="154">
        <v>0</v>
      </c>
      <c r="AA31" s="154">
        <v>1015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17727212</v>
      </c>
      <c r="AJ31" s="45">
        <f t="shared" si="7"/>
        <v>1148</v>
      </c>
      <c r="AK31" s="48">
        <f t="shared" si="9"/>
        <v>209.45083014048532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43307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-2</v>
      </c>
      <c r="G32" s="118">
        <v>74</v>
      </c>
      <c r="H32" s="150">
        <f t="shared" si="0"/>
        <v>52.112676056338032</v>
      </c>
      <c r="I32" s="150">
        <v>71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102955737</v>
      </c>
      <c r="T32" s="45">
        <f t="shared" si="4"/>
        <v>5249</v>
      </c>
      <c r="U32" s="46">
        <f t="shared" si="5"/>
        <v>125.976</v>
      </c>
      <c r="V32" s="46">
        <f t="shared" si="6"/>
        <v>5.2489999999999997</v>
      </c>
      <c r="W32" s="96">
        <v>2.4</v>
      </c>
      <c r="X32" s="96">
        <f t="shared" si="1"/>
        <v>2.4</v>
      </c>
      <c r="Y32" s="97" t="s">
        <v>168</v>
      </c>
      <c r="Z32" s="154">
        <v>0</v>
      </c>
      <c r="AA32" s="154">
        <v>1016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17728348</v>
      </c>
      <c r="AJ32" s="45">
        <f t="shared" si="7"/>
        <v>1136</v>
      </c>
      <c r="AK32" s="48">
        <f t="shared" si="9"/>
        <v>216.42217565250525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43307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-2</v>
      </c>
      <c r="G33" s="118">
        <v>74</v>
      </c>
      <c r="H33" s="150">
        <f t="shared" si="0"/>
        <v>52.112676056338032</v>
      </c>
      <c r="I33" s="150">
        <v>71</v>
      </c>
      <c r="J33" s="41" t="s">
        <v>88</v>
      </c>
      <c r="K33" s="41">
        <f t="shared" si="3"/>
        <v>48.591549295774648</v>
      </c>
      <c r="L33" s="42">
        <f t="shared" si="13"/>
        <v>50</v>
      </c>
      <c r="M33" s="41">
        <f t="shared" si="12"/>
        <v>54.225352112676056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102961088</v>
      </c>
      <c r="T33" s="45">
        <f t="shared" si="4"/>
        <v>5351</v>
      </c>
      <c r="U33" s="46">
        <f t="shared" si="5"/>
        <v>128.42400000000001</v>
      </c>
      <c r="V33" s="46">
        <f t="shared" si="6"/>
        <v>5.351</v>
      </c>
      <c r="W33" s="96">
        <v>2.1</v>
      </c>
      <c r="X33" s="96">
        <f t="shared" si="1"/>
        <v>2.1</v>
      </c>
      <c r="Y33" s="97" t="s">
        <v>168</v>
      </c>
      <c r="Z33" s="154">
        <v>0</v>
      </c>
      <c r="AA33" s="154">
        <v>1015</v>
      </c>
      <c r="AB33" s="154">
        <v>1186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17729491</v>
      </c>
      <c r="AJ33" s="45">
        <f t="shared" si="7"/>
        <v>1143</v>
      </c>
      <c r="AK33" s="48">
        <f t="shared" si="9"/>
        <v>213.60493365726032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43307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0</v>
      </c>
      <c r="G34" s="118">
        <v>74</v>
      </c>
      <c r="H34" s="150">
        <f t="shared" si="0"/>
        <v>52.112676056338032</v>
      </c>
      <c r="I34" s="150">
        <v>71</v>
      </c>
      <c r="J34" s="41" t="s">
        <v>88</v>
      </c>
      <c r="K34" s="41">
        <f t="shared" si="3"/>
        <v>48.591549295774648</v>
      </c>
      <c r="L34" s="42">
        <f t="shared" si="13"/>
        <v>50</v>
      </c>
      <c r="M34" s="41">
        <f t="shared" si="12"/>
        <v>54.225352112676056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102966540</v>
      </c>
      <c r="T34" s="45">
        <f t="shared" si="4"/>
        <v>5452</v>
      </c>
      <c r="U34" s="46">
        <f t="shared" si="5"/>
        <v>130.84800000000001</v>
      </c>
      <c r="V34" s="46">
        <f t="shared" si="6"/>
        <v>5.452</v>
      </c>
      <c r="W34" s="96">
        <v>1.9</v>
      </c>
      <c r="X34" s="96">
        <f t="shared" si="1"/>
        <v>1.9</v>
      </c>
      <c r="Y34" s="97" t="s">
        <v>168</v>
      </c>
      <c r="Z34" s="154">
        <v>0</v>
      </c>
      <c r="AA34" s="154">
        <v>1015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17730648</v>
      </c>
      <c r="AJ34" s="45">
        <f t="shared" si="7"/>
        <v>1157</v>
      </c>
      <c r="AK34" s="48">
        <f t="shared" si="9"/>
        <v>212.21570066030816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0.87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43307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-4</v>
      </c>
      <c r="G35" s="118">
        <v>65</v>
      </c>
      <c r="H35" s="150">
        <f t="shared" si="0"/>
        <v>45.774647887323944</v>
      </c>
      <c r="I35" s="150">
        <v>62</v>
      </c>
      <c r="J35" s="41" t="s">
        <v>88</v>
      </c>
      <c r="K35" s="41">
        <f>L35-(2/1.42)</f>
        <v>40.845070422535215</v>
      </c>
      <c r="L35" s="42">
        <f>(G35-5)/1.42</f>
        <v>42.253521126760567</v>
      </c>
      <c r="M35" s="41">
        <f t="shared" si="12"/>
        <v>46.478873239436624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102971330</v>
      </c>
      <c r="T35" s="45">
        <f t="shared" si="4"/>
        <v>4790</v>
      </c>
      <c r="U35" s="46">
        <f t="shared" si="5"/>
        <v>114.96</v>
      </c>
      <c r="V35" s="46">
        <f t="shared" si="6"/>
        <v>4.79</v>
      </c>
      <c r="W35" s="96">
        <v>2.8</v>
      </c>
      <c r="X35" s="96">
        <f t="shared" si="1"/>
        <v>2.8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17731726</v>
      </c>
      <c r="AJ35" s="45">
        <f t="shared" si="7"/>
        <v>1078</v>
      </c>
      <c r="AK35" s="48">
        <f t="shared" si="9"/>
        <v>225.05219206680584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43307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-4</v>
      </c>
      <c r="G36" s="118">
        <v>69</v>
      </c>
      <c r="H36" s="150">
        <f t="shared" si="0"/>
        <v>48.591549295774648</v>
      </c>
      <c r="I36" s="150">
        <v>66</v>
      </c>
      <c r="J36" s="41" t="s">
        <v>88</v>
      </c>
      <c r="K36" s="41">
        <f t="shared" si="3"/>
        <v>43.661971830985919</v>
      </c>
      <c r="L36" s="42">
        <f>(G36-5)/1.42</f>
        <v>45.070422535211272</v>
      </c>
      <c r="M36" s="41">
        <f t="shared" si="12"/>
        <v>49.295774647887328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102976111</v>
      </c>
      <c r="T36" s="45">
        <f t="shared" si="4"/>
        <v>4781</v>
      </c>
      <c r="U36" s="46">
        <f t="shared" si="5"/>
        <v>114.744</v>
      </c>
      <c r="V36" s="46">
        <f t="shared" si="6"/>
        <v>4.7809999999999997</v>
      </c>
      <c r="W36" s="96">
        <v>4.4000000000000004</v>
      </c>
      <c r="X36" s="96">
        <f t="shared" si="1"/>
        <v>4.4000000000000004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17732808</v>
      </c>
      <c r="AJ36" s="45">
        <f t="shared" si="7"/>
        <v>1082</v>
      </c>
      <c r="AK36" s="48">
        <f t="shared" si="9"/>
        <v>226.31248692742105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122271</v>
      </c>
      <c r="U37" s="46">
        <f t="shared" si="5"/>
        <v>2934.5039999999999</v>
      </c>
      <c r="V37" s="46">
        <f t="shared" si="6"/>
        <v>122.271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27180</v>
      </c>
      <c r="AK37" s="61">
        <f>$AJ$37/$V37</f>
        <v>222.29310302524721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0.99833333333333341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206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209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179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262</v>
      </c>
      <c r="C52" s="184"/>
      <c r="D52" s="184"/>
      <c r="E52" s="184"/>
      <c r="F52" s="130"/>
      <c r="G52" s="130"/>
      <c r="H52" s="156"/>
      <c r="I52" s="156"/>
      <c r="J52" s="156"/>
      <c r="K52" s="156"/>
      <c r="L52" s="156"/>
      <c r="M52" s="156"/>
      <c r="N52" s="131"/>
      <c r="O52" s="131"/>
      <c r="P52" s="131"/>
      <c r="Q52" s="114"/>
      <c r="R52" s="104"/>
      <c r="S52" s="104"/>
      <c r="T52" s="104"/>
      <c r="U52" s="114"/>
      <c r="V52" s="114"/>
      <c r="W52" s="114"/>
      <c r="X52" s="94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49"/>
      <c r="F53" s="149"/>
      <c r="G53" s="149"/>
      <c r="H53" s="149"/>
      <c r="I53" s="149"/>
      <c r="J53" s="149"/>
      <c r="K53" s="162"/>
      <c r="L53" s="143"/>
      <c r="M53" s="105"/>
      <c r="N53" s="105"/>
      <c r="O53" s="105"/>
      <c r="P53" s="105"/>
      <c r="Q53" s="105"/>
      <c r="R53" s="105"/>
      <c r="S53" s="105"/>
      <c r="T53" s="105"/>
      <c r="U53" s="105"/>
      <c r="V53" s="147"/>
      <c r="W53" s="147"/>
      <c r="X53" s="148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66"/>
      <c r="D54" s="166"/>
      <c r="E54" s="115"/>
      <c r="F54" s="115"/>
      <c r="G54" s="115"/>
      <c r="H54" s="115"/>
      <c r="I54" s="149"/>
      <c r="J54" s="104"/>
      <c r="K54" s="104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47"/>
      <c r="W54" s="147"/>
      <c r="X54" s="148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66"/>
      <c r="D55" s="166"/>
      <c r="E55" s="149"/>
      <c r="F55" s="149"/>
      <c r="G55" s="149"/>
      <c r="H55" s="149"/>
      <c r="I55" s="149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7"/>
      <c r="W55" s="147"/>
      <c r="X55" s="148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66"/>
      <c r="D56" s="170"/>
      <c r="E56" s="170"/>
      <c r="F56" s="114"/>
      <c r="G56" s="114"/>
      <c r="H56" s="104"/>
      <c r="I56" s="10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263</v>
      </c>
      <c r="C57" s="149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15"/>
      <c r="D58" s="100"/>
      <c r="E58" s="100"/>
      <c r="F58" s="115"/>
      <c r="G58" s="115"/>
      <c r="H58" s="9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224</v>
      </c>
      <c r="C59" s="115"/>
      <c r="D59" s="162"/>
      <c r="E59" s="162"/>
      <c r="F59" s="162"/>
      <c r="G59" s="162"/>
      <c r="H59" s="162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49"/>
      <c r="C60" s="115"/>
      <c r="D60" s="100"/>
      <c r="E60" s="100"/>
      <c r="F60" s="115"/>
      <c r="G60" s="115"/>
      <c r="H60" s="92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15"/>
      <c r="D61" s="162"/>
      <c r="E61" s="162"/>
      <c r="F61" s="162"/>
      <c r="G61" s="162"/>
      <c r="H61" s="162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AV61" s="86"/>
      <c r="AW61" s="86"/>
      <c r="AX61" s="86"/>
      <c r="AY61" s="86"/>
      <c r="AZ61" s="86"/>
      <c r="BA61" s="86"/>
      <c r="BB61" s="86"/>
    </row>
    <row r="62" spans="1:54" x14ac:dyDescent="0.35">
      <c r="B62" s="158"/>
      <c r="C62" s="115"/>
      <c r="D62" s="162"/>
      <c r="E62" s="162"/>
      <c r="F62" s="162"/>
      <c r="G62" s="162"/>
      <c r="H62" s="162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AV62" s="86"/>
      <c r="AW62" s="86"/>
      <c r="AX62" s="86"/>
      <c r="AY62" s="86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AV63" s="86"/>
      <c r="AW63" s="86"/>
      <c r="AX63" s="86"/>
      <c r="AY63" s="86"/>
      <c r="AZ63" s="86"/>
      <c r="BA63" s="86"/>
      <c r="BB63" s="86"/>
    </row>
    <row r="64" spans="1:54" x14ac:dyDescent="0.35">
      <c r="Q64" s="12"/>
      <c r="R64" s="87"/>
      <c r="S64" s="87"/>
      <c r="T64" s="87"/>
      <c r="U64" s="87"/>
      <c r="AV64" s="86"/>
      <c r="AW64" s="86"/>
      <c r="AX64" s="86"/>
      <c r="AY64" s="86"/>
      <c r="AZ64" s="86"/>
      <c r="BA64" s="86"/>
      <c r="BB64" s="86"/>
    </row>
    <row r="65" spans="17:54" x14ac:dyDescent="0.35">
      <c r="Q65" s="12"/>
      <c r="R65" s="87"/>
      <c r="S65" s="87"/>
      <c r="T65" s="87"/>
      <c r="U65" s="87"/>
      <c r="V65" s="87"/>
      <c r="AV65" s="86"/>
      <c r="AW65" s="86"/>
      <c r="AX65" s="86"/>
      <c r="AY65" s="86"/>
      <c r="AZ65" s="86"/>
      <c r="BA65" s="86"/>
      <c r="BB65" s="86"/>
    </row>
    <row r="66" spans="17:54" x14ac:dyDescent="0.35">
      <c r="Q66" s="12"/>
      <c r="R66" s="87"/>
      <c r="S66" s="87"/>
      <c r="T66" s="87"/>
      <c r="U66" s="87"/>
      <c r="V66" s="87"/>
      <c r="AV66" s="86"/>
      <c r="AW66" s="86"/>
      <c r="AX66" s="86"/>
      <c r="AY66" s="86"/>
      <c r="AZ66" s="86"/>
      <c r="BA66" s="86"/>
      <c r="BB66" s="86"/>
    </row>
    <row r="67" spans="17:54" x14ac:dyDescent="0.35">
      <c r="Q67" s="12"/>
      <c r="R67" s="87"/>
      <c r="V67" s="87"/>
      <c r="AV67" s="86"/>
      <c r="AW67" s="86"/>
      <c r="AX67" s="86"/>
      <c r="AY67" s="86"/>
      <c r="AZ67" s="86"/>
      <c r="BA67" s="86"/>
      <c r="BB67" s="86"/>
    </row>
    <row r="68" spans="17:54" x14ac:dyDescent="0.35">
      <c r="Q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17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17:54" x14ac:dyDescent="0.35">
      <c r="Q70" s="12"/>
      <c r="R70" s="87"/>
      <c r="S70" s="87"/>
      <c r="T70" s="87"/>
      <c r="U70" s="87"/>
      <c r="V70" s="87"/>
      <c r="W70" s="87"/>
      <c r="AV70" s="86"/>
      <c r="AW70" s="86"/>
      <c r="AX70" s="86"/>
      <c r="AY70" s="86"/>
      <c r="AZ70" s="86"/>
      <c r="BA70" s="86"/>
      <c r="BB70" s="86"/>
    </row>
    <row r="71" spans="17:54" x14ac:dyDescent="0.35">
      <c r="Q71" s="12"/>
      <c r="R71" s="87"/>
      <c r="V71" s="87"/>
      <c r="W71" s="87"/>
      <c r="AV71" s="86"/>
      <c r="AW71" s="86"/>
      <c r="AX71" s="86"/>
      <c r="AY71" s="86"/>
      <c r="AZ71" s="86"/>
      <c r="BA71" s="86"/>
      <c r="BB71" s="86"/>
    </row>
    <row r="72" spans="17:54" x14ac:dyDescent="0.35">
      <c r="BB72" s="86"/>
    </row>
    <row r="83" spans="48:54" x14ac:dyDescent="0.35">
      <c r="AV83" s="86"/>
      <c r="AW83" s="86"/>
      <c r="AX83" s="86"/>
      <c r="AY83" s="86"/>
      <c r="AZ83" s="86"/>
      <c r="BA83" s="86"/>
    </row>
    <row r="84" spans="48:54" x14ac:dyDescent="0.35">
      <c r="BB84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0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3" name="Range2_2_12_1_3_1_2_1_1_1_1_2_1_1_1_1_1_1_1_1_1_1_1"/>
    <protectedRange sqref="F58:F63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56:H57" name="Range2_12_5_1_1_1_2_2_1_1_1_1_1_1_1_1_1_1_1_2_1_1_1_2_1_1_1_1_1_1_1_1_1_1_1_1_1_1_1_1_2_1_1_1_1_1_1_1_1_1_2_1_1_3_1_1_1_3_1_1_1_1_1_1_1_1_1_1_1_1_1_1_1_1_1_1_1_1_1_1_2_1_1_1_1_1_1_1_1_1_1_1_2_2_1_2_1_1_1_1_1_1_1_1_1_1_1_1_1"/>
    <protectedRange sqref="U53:V63" name="Range2_12_5_1_1_2_1_1_1_2_1_1_1_1_1_1_1_1_1_1_1_1_1"/>
    <protectedRange sqref="P53:T63" name="Range2_12_1_6_1_1_2_1_1_1_2_1_1_1_1_1_1_1_1_1_1_1_1_1"/>
    <protectedRange sqref="N53:O63" name="Range2_2_12_1_7_1_1_3_1_1_1_2_1_1_1_1_1_1_1_1_1_1_1_1_1"/>
    <protectedRange sqref="M53 L54:M63" name="Range2_2_12_1_4_1_1_1_1_1_1_1_1_1_1_1_1_1_1_1_2_1_1_1_2_1_1_1_1_1_1_1_1_1_1_1_1_1"/>
    <protectedRange sqref="K54:K63" name="Range2_2_12_1_7_1_1_2_2_1_2_2_1_1_1_2_1_1_1_1_1_1_1_1_1_1_1_1_1"/>
    <protectedRange sqref="J54:J55 I56:J63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4:W4" name="Range1_16_1_1_1_1_1_1_2_2_2_2_2_2_2_2_2_2_2_2_2_2_2_2_2_2_2_2_2_2_2_1_2_2_2_2_2_2_2_2_2_2_3_2_2_2_2_2_2_2_2_2_2_1_1_1_1_2_2_1_1_1_1_1_1_1_1_1_1_1_1_1_1_3_1_2_1_1_1_1_1_2_2_2_2_1_1_1_1_2_1_1"/>
    <protectedRange sqref="R3:W3" name="Range1_16_1_1_1_1_1_1_2_2_2_2_2_2_2_2_2_2_2_2_2_2_2_2_2_2_2_2_2_2_2_1_2_2_2_2_2_2_2_2_2_2_3_2_2_2_2_2_2_2_2_2_2_1_1_1_1_2_2_1_1_1_1_1_1_1_1_1_1_1_1_1_1_3_1_2_1_1_1_1_1_1_2_1_1_1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01" priority="5" operator="containsText" text="N/A">
      <formula>NOT(ISERROR(SEARCH("N/A",Z13)))</formula>
    </cfRule>
    <cfRule type="cellIs" dxfId="100" priority="17" operator="equal">
      <formula>0</formula>
    </cfRule>
  </conditionalFormatting>
  <conditionalFormatting sqref="Z13:AG36">
    <cfRule type="cellIs" dxfId="99" priority="16" operator="greaterThanOrEqual">
      <formula>1185</formula>
    </cfRule>
  </conditionalFormatting>
  <conditionalFormatting sqref="Z13:AG36">
    <cfRule type="cellIs" dxfId="98" priority="15" operator="between">
      <formula>0.1</formula>
      <formula>1184</formula>
    </cfRule>
  </conditionalFormatting>
  <conditionalFormatting sqref="Z8:Z9 AT13:AT36 AL37:AQ37 AL13:AR36">
    <cfRule type="cellIs" dxfId="97" priority="14" operator="equal">
      <formula>0</formula>
    </cfRule>
  </conditionalFormatting>
  <conditionalFormatting sqref="Z8:Z9 AT13:AT36 AL37:AQ37 AL13:AR36">
    <cfRule type="cellIs" dxfId="96" priority="13" operator="greaterThan">
      <formula>1179</formula>
    </cfRule>
  </conditionalFormatting>
  <conditionalFormatting sqref="Z8:Z9 AT13:AT36 AL37:AQ37 AL13:AR36">
    <cfRule type="cellIs" dxfId="95" priority="12" operator="greaterThan">
      <formula>99</formula>
    </cfRule>
  </conditionalFormatting>
  <conditionalFormatting sqref="Z8:Z9 AT13:AT36 AL37:AQ37 AL13:AR36">
    <cfRule type="cellIs" dxfId="94" priority="11" operator="greaterThan">
      <formula>0.99</formula>
    </cfRule>
  </conditionalFormatting>
  <conditionalFormatting sqref="AD8:AD9">
    <cfRule type="cellIs" dxfId="93" priority="10" operator="equal">
      <formula>0</formula>
    </cfRule>
  </conditionalFormatting>
  <conditionalFormatting sqref="AD8:AD9">
    <cfRule type="cellIs" dxfId="92" priority="9" operator="greaterThan">
      <formula>1179</formula>
    </cfRule>
  </conditionalFormatting>
  <conditionalFormatting sqref="AD8:AD9">
    <cfRule type="cellIs" dxfId="91" priority="8" operator="greaterThan">
      <formula>99</formula>
    </cfRule>
  </conditionalFormatting>
  <conditionalFormatting sqref="AD8:AD9">
    <cfRule type="cellIs" dxfId="90" priority="7" operator="greaterThan">
      <formula>0.99</formula>
    </cfRule>
  </conditionalFormatting>
  <conditionalFormatting sqref="AK13:AK36">
    <cfRule type="cellIs" dxfId="89" priority="6" operator="greaterThan">
      <formula>$AK$8</formula>
    </cfRule>
  </conditionalFormatting>
  <conditionalFormatting sqref="AS13:AS36">
    <cfRule type="containsText" dxfId="88" priority="1" operator="containsText" text="N/A">
      <formula>NOT(ISERROR(SEARCH("N/A",AS13)))</formula>
    </cfRule>
    <cfRule type="cellIs" dxfId="87" priority="4" operator="equal">
      <formula>0</formula>
    </cfRule>
  </conditionalFormatting>
  <conditionalFormatting sqref="AS13:AS36">
    <cfRule type="cellIs" dxfId="86" priority="3" operator="greaterThanOrEqual">
      <formula>1185</formula>
    </cfRule>
  </conditionalFormatting>
  <conditionalFormatting sqref="AS13:AS36">
    <cfRule type="cellIs" dxfId="85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900-000000000000}">
      <formula1>$BB$11:$BB$42</formula1>
    </dataValidation>
    <dataValidation type="list" allowBlank="1" showInputMessage="1" showErrorMessage="1" sqref="J13:J36" xr:uid="{00000000-0002-0000-1900-000001000000}">
      <formula1>$AY$11:$AY$21</formula1>
    </dataValidation>
    <dataValidation type="list" allowBlank="1" showInputMessage="1" showErrorMessage="1" sqref="AS8:AT9 P11:P12 N11:N12 D8:E9 Q8:V9" xr:uid="{00000000-0002-0000-1900-000002000000}">
      <formula1>#REF!</formula1>
    </dataValidation>
    <dataValidation type="list" allowBlank="1" showInputMessage="1" showErrorMessage="1" sqref="AY33:AZ33" xr:uid="{00000000-0002-0000-1900-000003000000}">
      <formula1>$AY$26:$AY$30</formula1>
    </dataValidation>
  </dataValidations>
  <hyperlinks>
    <hyperlink ref="J10:J11" location="'1'!AH8" display="Plant Status" xr:uid="{00000000-0004-0000-1900-000000000000}"/>
  </hyperlinks>
  <pageMargins left="0.7" right="0.7" top="0.75" bottom="0.75" header="0.3" footer="0.3"/>
  <pageSetup paperSize="9" orientation="portrait" horizontalDpi="429496729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7030A0"/>
  </sheetPr>
  <dimension ref="A2:BB84"/>
  <sheetViews>
    <sheetView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161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152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69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43308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27227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1"/>
      <c r="K9" s="262"/>
      <c r="L9" s="263"/>
      <c r="M9" s="264"/>
      <c r="N9" s="29"/>
      <c r="O9" s="29"/>
      <c r="P9" s="29"/>
      <c r="Q9" s="121"/>
      <c r="R9" s="121"/>
      <c r="S9" s="121"/>
      <c r="T9" s="122"/>
      <c r="U9" s="123"/>
      <c r="V9" s="124"/>
      <c r="W9" s="262"/>
      <c r="X9" s="264"/>
      <c r="Y9" s="30"/>
      <c r="Z9" s="265"/>
      <c r="AA9" s="125"/>
      <c r="AB9" s="126"/>
      <c r="AC9" s="126"/>
      <c r="AD9" s="125"/>
      <c r="AE9" s="125"/>
      <c r="AF9" s="127"/>
      <c r="AG9" s="26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70" t="s">
        <v>51</v>
      </c>
      <c r="X10" s="270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68" t="s">
        <v>55</v>
      </c>
      <c r="AI10" s="268" t="s">
        <v>56</v>
      </c>
      <c r="AJ10" s="314" t="s">
        <v>57</v>
      </c>
      <c r="AK10" s="329" t="s">
        <v>58</v>
      </c>
      <c r="AL10" s="270" t="s">
        <v>59</v>
      </c>
      <c r="AM10" s="270" t="s">
        <v>60</v>
      </c>
      <c r="AN10" s="270" t="s">
        <v>61</v>
      </c>
      <c r="AO10" s="270" t="s">
        <v>62</v>
      </c>
      <c r="AP10" s="270" t="s">
        <v>63</v>
      </c>
      <c r="AQ10" s="270" t="s">
        <v>124</v>
      </c>
      <c r="AR10" s="270" t="s">
        <v>64</v>
      </c>
      <c r="AS10" s="270" t="s">
        <v>65</v>
      </c>
      <c r="AT10" s="312" t="s">
        <v>66</v>
      </c>
      <c r="AU10" s="270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0" t="s">
        <v>72</v>
      </c>
      <c r="C11" s="270" t="s">
        <v>73</v>
      </c>
      <c r="D11" s="270" t="s">
        <v>74</v>
      </c>
      <c r="E11" s="270" t="s">
        <v>75</v>
      </c>
      <c r="F11" s="270" t="s">
        <v>127</v>
      </c>
      <c r="G11" s="270" t="s">
        <v>74</v>
      </c>
      <c r="H11" s="270" t="s">
        <v>75</v>
      </c>
      <c r="I11" s="270" t="s">
        <v>127</v>
      </c>
      <c r="J11" s="309"/>
      <c r="K11" s="270" t="s">
        <v>75</v>
      </c>
      <c r="L11" s="270" t="s">
        <v>75</v>
      </c>
      <c r="M11" s="270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26'!S36</f>
        <v>102976111</v>
      </c>
      <c r="T11" s="322"/>
      <c r="U11" s="323"/>
      <c r="V11" s="324"/>
      <c r="W11" s="270" t="s">
        <v>75</v>
      </c>
      <c r="X11" s="270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26'!AI36</f>
        <v>17732808</v>
      </c>
      <c r="AJ11" s="314"/>
      <c r="AK11" s="330"/>
      <c r="AL11" s="270" t="s">
        <v>84</v>
      </c>
      <c r="AM11" s="270" t="s">
        <v>84</v>
      </c>
      <c r="AN11" s="270" t="s">
        <v>84</v>
      </c>
      <c r="AO11" s="270" t="s">
        <v>84</v>
      </c>
      <c r="AP11" s="270" t="s">
        <v>84</v>
      </c>
      <c r="AQ11" s="270" t="s">
        <v>84</v>
      </c>
      <c r="AR11" s="270" t="s">
        <v>84</v>
      </c>
      <c r="AS11" s="1"/>
      <c r="AT11" s="313"/>
      <c r="AU11" s="267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43308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69</v>
      </c>
      <c r="H13" s="150">
        <f t="shared" ref="H13:H36" si="0">G13/1.42</f>
        <v>48.591549295774648</v>
      </c>
      <c r="I13" s="150">
        <v>67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102981270</v>
      </c>
      <c r="T13" s="45">
        <f>IF(ISBLANK(S13),"-",S13-S11)</f>
        <v>5159</v>
      </c>
      <c r="U13" s="46">
        <f>T13*24/1000</f>
        <v>123.816</v>
      </c>
      <c r="V13" s="46">
        <f>T13/1000</f>
        <v>5.1589999999999998</v>
      </c>
      <c r="W13" s="96">
        <v>6</v>
      </c>
      <c r="X13" s="96">
        <f t="shared" ref="X13:X36" si="1">W13</f>
        <v>6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17733970</v>
      </c>
      <c r="AJ13" s="45">
        <f>IF(ISBLANK(AI13),"-",AI13-AI11)</f>
        <v>1162</v>
      </c>
      <c r="AK13" s="48">
        <f>AJ13/V13</f>
        <v>225.23744911804613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43308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7</v>
      </c>
      <c r="G14" s="118">
        <v>69</v>
      </c>
      <c r="H14" s="150">
        <f t="shared" si="0"/>
        <v>48.591549295774648</v>
      </c>
      <c r="I14" s="150">
        <v>67</v>
      </c>
      <c r="J14" s="41" t="s">
        <v>88</v>
      </c>
      <c r="K14" s="41">
        <f t="shared" ref="K14:K36" si="3">L14-(2/1.42)</f>
        <v>43.661971830985919</v>
      </c>
      <c r="L14" s="42">
        <f>(G14-5)/1.42</f>
        <v>45.070422535211272</v>
      </c>
      <c r="M14" s="41">
        <f>L14+(6/1.42)</f>
        <v>49.295774647887328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102985642</v>
      </c>
      <c r="T14" s="45">
        <f t="shared" ref="T14:T36" si="4">IF(ISBLANK(S14),"-",S14-S13)</f>
        <v>4372</v>
      </c>
      <c r="U14" s="46">
        <f t="shared" ref="U14:U37" si="5">T14*24/1000</f>
        <v>104.928</v>
      </c>
      <c r="V14" s="46">
        <f t="shared" ref="V14:V37" si="6">T14/1000</f>
        <v>4.3719999999999999</v>
      </c>
      <c r="W14" s="96">
        <v>7.5</v>
      </c>
      <c r="X14" s="96">
        <f t="shared" si="1"/>
        <v>7.5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17734939</v>
      </c>
      <c r="AJ14" s="45">
        <f t="shared" ref="AJ14:AJ36" si="7">IF(ISBLANK(AI14),"-",AI14-AI13)</f>
        <v>969</v>
      </c>
      <c r="AK14" s="48">
        <f>AJ14/V14</f>
        <v>221.6376944190302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0.88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43308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70</v>
      </c>
      <c r="H15" s="150">
        <f t="shared" si="0"/>
        <v>49.295774647887328</v>
      </c>
      <c r="I15" s="150">
        <v>68</v>
      </c>
      <c r="J15" s="41" t="s">
        <v>88</v>
      </c>
      <c r="K15" s="41">
        <f t="shared" si="3"/>
        <v>44.366197183098592</v>
      </c>
      <c r="L15" s="42">
        <f>(G15-5)/1.42</f>
        <v>45.774647887323944</v>
      </c>
      <c r="M15" s="41">
        <f>L15+(6/1.42)</f>
        <v>50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102990705</v>
      </c>
      <c r="T15" s="45">
        <f>IF(ISBLANK(S15),"-",S15-S14)</f>
        <v>5063</v>
      </c>
      <c r="U15" s="46">
        <f t="shared" si="5"/>
        <v>121.512</v>
      </c>
      <c r="V15" s="46">
        <f t="shared" si="6"/>
        <v>5.0629999999999997</v>
      </c>
      <c r="W15" s="96">
        <v>9.1</v>
      </c>
      <c r="X15" s="96">
        <f t="shared" si="1"/>
        <v>9.1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17736003</v>
      </c>
      <c r="AJ15" s="45">
        <f t="shared" si="7"/>
        <v>1064</v>
      </c>
      <c r="AK15" s="48">
        <f t="shared" ref="AK15:AK36" si="9">AJ15/V15</f>
        <v>210.15208374481534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43308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102995500</v>
      </c>
      <c r="T16" s="45">
        <f t="shared" si="4"/>
        <v>4795</v>
      </c>
      <c r="U16" s="46">
        <f t="shared" si="5"/>
        <v>115.08</v>
      </c>
      <c r="V16" s="46">
        <f t="shared" si="6"/>
        <v>4.7949999999999999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17737089</v>
      </c>
      <c r="AJ16" s="45">
        <f t="shared" si="7"/>
        <v>1086</v>
      </c>
      <c r="AK16" s="48">
        <f t="shared" si="9"/>
        <v>226.48592283628781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43308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79</v>
      </c>
      <c r="H17" s="150">
        <f t="shared" si="0"/>
        <v>55.633802816901408</v>
      </c>
      <c r="I17" s="150">
        <v>77</v>
      </c>
      <c r="J17" s="41" t="s">
        <v>88</v>
      </c>
      <c r="K17" s="41">
        <f t="shared" si="3"/>
        <v>50.70422535211268</v>
      </c>
      <c r="L17" s="42">
        <f>(G17-5)/1.42</f>
        <v>52.112676056338032</v>
      </c>
      <c r="M17" s="41">
        <f>L17+(6/1.42)</f>
        <v>56.338028169014088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103000780</v>
      </c>
      <c r="T17" s="45">
        <f t="shared" si="4"/>
        <v>5280</v>
      </c>
      <c r="U17" s="46">
        <f t="shared" si="5"/>
        <v>126.72</v>
      </c>
      <c r="V17" s="46">
        <f t="shared" si="6"/>
        <v>5.28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17738237</v>
      </c>
      <c r="AJ17" s="45">
        <f t="shared" si="7"/>
        <v>1148</v>
      </c>
      <c r="AK17" s="48">
        <f t="shared" si="9"/>
        <v>217.42424242424241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43308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75</v>
      </c>
      <c r="H18" s="150">
        <f t="shared" si="0"/>
        <v>52.816901408450704</v>
      </c>
      <c r="I18" s="150">
        <v>73</v>
      </c>
      <c r="J18" s="41" t="s">
        <v>88</v>
      </c>
      <c r="K18" s="41">
        <f t="shared" si="3"/>
        <v>51.408450704225352</v>
      </c>
      <c r="L18" s="42">
        <f t="shared" ref="L18:L27" si="10">G18/1.42</f>
        <v>52.816901408450704</v>
      </c>
      <c r="M18" s="41">
        <f>L18+1.42</f>
        <v>54.236901408450706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103006030</v>
      </c>
      <c r="T18" s="45">
        <f t="shared" si="4"/>
        <v>5250</v>
      </c>
      <c r="U18" s="46">
        <f t="shared" si="5"/>
        <v>126</v>
      </c>
      <c r="V18" s="46">
        <f t="shared" si="6"/>
        <v>5.25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17739272</v>
      </c>
      <c r="AJ18" s="45">
        <f t="shared" si="7"/>
        <v>1035</v>
      </c>
      <c r="AK18" s="48">
        <f t="shared" si="9"/>
        <v>197.14285714285714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1.02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43308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9</v>
      </c>
      <c r="G19" s="118">
        <v>77</v>
      </c>
      <c r="H19" s="150">
        <f t="shared" si="0"/>
        <v>54.225352112676056</v>
      </c>
      <c r="I19" s="150">
        <v>75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103011645</v>
      </c>
      <c r="T19" s="45">
        <f t="shared" si="4"/>
        <v>5615</v>
      </c>
      <c r="U19" s="46">
        <f t="shared" si="5"/>
        <v>134.76</v>
      </c>
      <c r="V19" s="46">
        <f t="shared" si="6"/>
        <v>5.6150000000000002</v>
      </c>
      <c r="W19" s="96">
        <v>9.1</v>
      </c>
      <c r="X19" s="96">
        <f t="shared" si="1"/>
        <v>9.1</v>
      </c>
      <c r="Y19" s="97" t="s">
        <v>168</v>
      </c>
      <c r="Z19" s="154">
        <v>1047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17740405</v>
      </c>
      <c r="AJ19" s="45">
        <f t="shared" si="7"/>
        <v>1133</v>
      </c>
      <c r="AK19" s="48">
        <f t="shared" si="9"/>
        <v>201.78094390026715</v>
      </c>
      <c r="AL19" s="151">
        <v>1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43308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7</v>
      </c>
      <c r="G20" s="118">
        <v>77</v>
      </c>
      <c r="H20" s="150">
        <f t="shared" si="0"/>
        <v>54.225352112676056</v>
      </c>
      <c r="I20" s="150">
        <v>76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103017211</v>
      </c>
      <c r="T20" s="45">
        <f t="shared" si="4"/>
        <v>5566</v>
      </c>
      <c r="U20" s="46">
        <f>T20*24/1000</f>
        <v>133.584</v>
      </c>
      <c r="V20" s="46">
        <f t="shared" si="6"/>
        <v>5.5659999999999998</v>
      </c>
      <c r="W20" s="96">
        <v>8.5</v>
      </c>
      <c r="X20" s="96">
        <f t="shared" si="1"/>
        <v>8.5</v>
      </c>
      <c r="Y20" s="97" t="s">
        <v>168</v>
      </c>
      <c r="Z20" s="154">
        <v>1038</v>
      </c>
      <c r="AA20" s="154">
        <v>0</v>
      </c>
      <c r="AB20" s="154">
        <v>1186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17741590</v>
      </c>
      <c r="AJ20" s="45">
        <f t="shared" si="7"/>
        <v>1185</v>
      </c>
      <c r="AK20" s="48">
        <f t="shared" si="9"/>
        <v>212.89974847287101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43308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6</v>
      </c>
      <c r="G21" s="118">
        <v>76</v>
      </c>
      <c r="H21" s="150">
        <f t="shared" si="0"/>
        <v>53.521126760563384</v>
      </c>
      <c r="I21" s="150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103022438</v>
      </c>
      <c r="T21" s="45">
        <f t="shared" si="4"/>
        <v>5227</v>
      </c>
      <c r="U21" s="46">
        <f t="shared" si="5"/>
        <v>125.44799999999999</v>
      </c>
      <c r="V21" s="46">
        <f t="shared" si="6"/>
        <v>5.2270000000000003</v>
      </c>
      <c r="W21" s="96">
        <v>7.8</v>
      </c>
      <c r="X21" s="96">
        <f t="shared" si="1"/>
        <v>7.8</v>
      </c>
      <c r="Y21" s="97" t="s">
        <v>168</v>
      </c>
      <c r="Z21" s="154">
        <v>1037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17742778</v>
      </c>
      <c r="AJ21" s="45">
        <f t="shared" si="7"/>
        <v>1188</v>
      </c>
      <c r="AK21" s="48">
        <f t="shared" si="9"/>
        <v>227.28142337861104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43308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5</v>
      </c>
      <c r="G22" s="118">
        <v>76</v>
      </c>
      <c r="H22" s="150">
        <f t="shared" si="0"/>
        <v>53.521126760563384</v>
      </c>
      <c r="I22" s="150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103027637</v>
      </c>
      <c r="T22" s="45">
        <f t="shared" si="4"/>
        <v>5199</v>
      </c>
      <c r="U22" s="46">
        <f t="shared" si="5"/>
        <v>124.776</v>
      </c>
      <c r="V22" s="46">
        <f t="shared" si="6"/>
        <v>5.1989999999999998</v>
      </c>
      <c r="W22" s="96">
        <v>7.2</v>
      </c>
      <c r="X22" s="96">
        <f t="shared" si="1"/>
        <v>7.2</v>
      </c>
      <c r="Y22" s="97" t="s">
        <v>168</v>
      </c>
      <c r="Z22" s="154">
        <v>1038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17743968</v>
      </c>
      <c r="AJ22" s="45">
        <f t="shared" si="7"/>
        <v>1190</v>
      </c>
      <c r="AK22" s="48">
        <f t="shared" si="9"/>
        <v>228.89017118676668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0.98</v>
      </c>
      <c r="AV22" s="50" t="s">
        <v>126</v>
      </c>
      <c r="BB22" s="136" t="s">
        <v>156</v>
      </c>
    </row>
    <row r="23" spans="1:54" x14ac:dyDescent="0.35">
      <c r="A23" s="331">
        <v>43308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4</v>
      </c>
      <c r="G23" s="118">
        <v>76</v>
      </c>
      <c r="H23" s="150">
        <f t="shared" si="0"/>
        <v>53.521126760563384</v>
      </c>
      <c r="I23" s="150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103032910</v>
      </c>
      <c r="T23" s="45">
        <f t="shared" si="4"/>
        <v>5273</v>
      </c>
      <c r="U23" s="46">
        <f t="shared" si="5"/>
        <v>126.55200000000001</v>
      </c>
      <c r="V23" s="46">
        <f t="shared" si="6"/>
        <v>5.2729999999999997</v>
      </c>
      <c r="W23" s="96">
        <v>6.6</v>
      </c>
      <c r="X23" s="96">
        <f>W23</f>
        <v>6.6</v>
      </c>
      <c r="Y23" s="97" t="s">
        <v>168</v>
      </c>
      <c r="Z23" s="154">
        <v>1037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17745127</v>
      </c>
      <c r="AJ23" s="45">
        <f t="shared" si="7"/>
        <v>1159</v>
      </c>
      <c r="AK23" s="48">
        <f t="shared" si="9"/>
        <v>219.79897591503888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43308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3</v>
      </c>
      <c r="G24" s="118">
        <v>75</v>
      </c>
      <c r="H24" s="150">
        <f t="shared" si="0"/>
        <v>52.816901408450704</v>
      </c>
      <c r="I24" s="150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103038200</v>
      </c>
      <c r="T24" s="45">
        <f t="shared" si="4"/>
        <v>5290</v>
      </c>
      <c r="U24" s="46">
        <f>T24*24/1000</f>
        <v>126.96</v>
      </c>
      <c r="V24" s="46">
        <f t="shared" si="6"/>
        <v>5.29</v>
      </c>
      <c r="W24" s="96">
        <v>6</v>
      </c>
      <c r="X24" s="96">
        <f t="shared" si="1"/>
        <v>6</v>
      </c>
      <c r="Y24" s="97" t="s">
        <v>168</v>
      </c>
      <c r="Z24" s="154">
        <v>1037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17746319</v>
      </c>
      <c r="AJ24" s="45">
        <f t="shared" si="7"/>
        <v>1192</v>
      </c>
      <c r="AK24" s="48">
        <f t="shared" si="9"/>
        <v>225.33081285444234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43308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2</v>
      </c>
      <c r="G25" s="118">
        <v>75</v>
      </c>
      <c r="H25" s="150">
        <f t="shared" si="0"/>
        <v>52.816901408450704</v>
      </c>
      <c r="I25" s="150">
        <v>73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103043286</v>
      </c>
      <c r="T25" s="45">
        <f t="shared" si="4"/>
        <v>5086</v>
      </c>
      <c r="U25" s="46">
        <f>T25*24/1000</f>
        <v>122.06399999999999</v>
      </c>
      <c r="V25" s="46">
        <f t="shared" si="6"/>
        <v>5.0860000000000003</v>
      </c>
      <c r="W25" s="96">
        <v>5.4</v>
      </c>
      <c r="X25" s="96">
        <f t="shared" si="1"/>
        <v>5.4</v>
      </c>
      <c r="Y25" s="97" t="s">
        <v>168</v>
      </c>
      <c r="Z25" s="154">
        <v>1037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17747504</v>
      </c>
      <c r="AJ25" s="45">
        <f t="shared" si="7"/>
        <v>1185</v>
      </c>
      <c r="AK25" s="48">
        <f t="shared" si="9"/>
        <v>232.99252850963427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43308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1</v>
      </c>
      <c r="G26" s="118">
        <v>75</v>
      </c>
      <c r="H26" s="150">
        <f t="shared" si="0"/>
        <v>52.816901408450704</v>
      </c>
      <c r="I26" s="150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103048169</v>
      </c>
      <c r="T26" s="45">
        <f t="shared" si="4"/>
        <v>4883</v>
      </c>
      <c r="U26" s="46">
        <f t="shared" si="5"/>
        <v>117.19199999999999</v>
      </c>
      <c r="V26" s="46">
        <f t="shared" si="6"/>
        <v>4.883</v>
      </c>
      <c r="W26" s="96">
        <v>4.8</v>
      </c>
      <c r="X26" s="96">
        <f t="shared" si="1"/>
        <v>4.8</v>
      </c>
      <c r="Y26" s="97" t="s">
        <v>168</v>
      </c>
      <c r="Z26" s="154">
        <v>1036</v>
      </c>
      <c r="AA26" s="154">
        <v>0</v>
      </c>
      <c r="AB26" s="154">
        <v>1186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17748641</v>
      </c>
      <c r="AJ26" s="45">
        <f t="shared" si="7"/>
        <v>1137</v>
      </c>
      <c r="AK26" s="48">
        <f t="shared" si="9"/>
        <v>232.84865861150931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v>0</v>
      </c>
      <c r="AU26" s="119">
        <v>1.03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43308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1</v>
      </c>
      <c r="G27" s="118">
        <v>75</v>
      </c>
      <c r="H27" s="150">
        <f t="shared" si="0"/>
        <v>52.816901408450704</v>
      </c>
      <c r="I27" s="150">
        <v>73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103052992</v>
      </c>
      <c r="T27" s="45">
        <f t="shared" si="4"/>
        <v>4823</v>
      </c>
      <c r="U27" s="46">
        <f t="shared" si="5"/>
        <v>115.752</v>
      </c>
      <c r="V27" s="46">
        <f t="shared" si="6"/>
        <v>4.8230000000000004</v>
      </c>
      <c r="W27" s="96">
        <v>4.4000000000000004</v>
      </c>
      <c r="X27" s="96">
        <f t="shared" si="1"/>
        <v>4.4000000000000004</v>
      </c>
      <c r="Y27" s="97" t="s">
        <v>168</v>
      </c>
      <c r="Z27" s="154">
        <v>1015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17749794</v>
      </c>
      <c r="AJ27" s="45">
        <f t="shared" si="7"/>
        <v>1153</v>
      </c>
      <c r="AK27" s="48">
        <f t="shared" si="9"/>
        <v>239.06282396848434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43308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0</v>
      </c>
      <c r="G28" s="118">
        <v>74</v>
      </c>
      <c r="H28" s="150">
        <f t="shared" si="0"/>
        <v>52.112676056338032</v>
      </c>
      <c r="I28" s="150">
        <v>72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103058219</v>
      </c>
      <c r="T28" s="45">
        <f t="shared" si="4"/>
        <v>5227</v>
      </c>
      <c r="U28" s="46">
        <f t="shared" si="5"/>
        <v>125.44799999999999</v>
      </c>
      <c r="V28" s="46">
        <f t="shared" si="6"/>
        <v>5.2270000000000003</v>
      </c>
      <c r="W28" s="96">
        <v>3.9</v>
      </c>
      <c r="X28" s="96">
        <f t="shared" si="1"/>
        <v>3.9</v>
      </c>
      <c r="Y28" s="97" t="s">
        <v>168</v>
      </c>
      <c r="Z28" s="154">
        <v>1015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17750964</v>
      </c>
      <c r="AJ28" s="45">
        <f>IF(ISBLANK(AI28),"-",AI28-AI27)</f>
        <v>1170</v>
      </c>
      <c r="AK28" s="48">
        <f t="shared" si="9"/>
        <v>223.8377654486321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43308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-1</v>
      </c>
      <c r="G29" s="118">
        <v>74</v>
      </c>
      <c r="H29" s="150">
        <f t="shared" si="0"/>
        <v>52.112676056338032</v>
      </c>
      <c r="I29" s="150">
        <v>72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103063455</v>
      </c>
      <c r="T29" s="45">
        <f t="shared" si="4"/>
        <v>5236</v>
      </c>
      <c r="U29" s="46">
        <f t="shared" si="5"/>
        <v>125.664</v>
      </c>
      <c r="V29" s="46">
        <f t="shared" si="6"/>
        <v>5.2359999999999998</v>
      </c>
      <c r="W29" s="96">
        <v>3.5</v>
      </c>
      <c r="X29" s="96">
        <f t="shared" si="1"/>
        <v>3.5</v>
      </c>
      <c r="Y29" s="97" t="s">
        <v>168</v>
      </c>
      <c r="Z29" s="154">
        <v>1014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17752117</v>
      </c>
      <c r="AJ29" s="45">
        <f t="shared" si="7"/>
        <v>1153</v>
      </c>
      <c r="AK29" s="48">
        <f>AJ28/V29</f>
        <v>223.45301757066463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43308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-2</v>
      </c>
      <c r="G30" s="118">
        <v>74</v>
      </c>
      <c r="H30" s="150">
        <f t="shared" si="0"/>
        <v>52.112676056338032</v>
      </c>
      <c r="I30" s="150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103068715</v>
      </c>
      <c r="T30" s="45">
        <f t="shared" si="4"/>
        <v>5260</v>
      </c>
      <c r="U30" s="46">
        <f t="shared" si="5"/>
        <v>126.24</v>
      </c>
      <c r="V30" s="46">
        <f t="shared" si="6"/>
        <v>5.26</v>
      </c>
      <c r="W30" s="96">
        <v>3.1</v>
      </c>
      <c r="X30" s="96">
        <f t="shared" si="1"/>
        <v>3.1</v>
      </c>
      <c r="Y30" s="97" t="s">
        <v>168</v>
      </c>
      <c r="Z30" s="154">
        <v>1015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17753238</v>
      </c>
      <c r="AJ30" s="45">
        <f t="shared" si="7"/>
        <v>1121</v>
      </c>
      <c r="AK30" s="48">
        <f>AJ29/V30</f>
        <v>219.20152091254755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0.99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43308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-2</v>
      </c>
      <c r="G31" s="118">
        <v>74</v>
      </c>
      <c r="H31" s="150">
        <f t="shared" si="0"/>
        <v>52.112676056338032</v>
      </c>
      <c r="I31" s="150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103074615</v>
      </c>
      <c r="T31" s="45">
        <f t="shared" si="4"/>
        <v>5900</v>
      </c>
      <c r="U31" s="46">
        <f t="shared" si="5"/>
        <v>141.6</v>
      </c>
      <c r="V31" s="46">
        <f t="shared" si="6"/>
        <v>5.9</v>
      </c>
      <c r="W31" s="96">
        <v>2.8</v>
      </c>
      <c r="X31" s="96">
        <f t="shared" si="1"/>
        <v>2.8</v>
      </c>
      <c r="Y31" s="97" t="s">
        <v>168</v>
      </c>
      <c r="Z31" s="154">
        <v>1015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17754450</v>
      </c>
      <c r="AJ31" s="45">
        <f t="shared" si="7"/>
        <v>1212</v>
      </c>
      <c r="AK31" s="48">
        <f t="shared" si="9"/>
        <v>205.42372881355931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43308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-5</v>
      </c>
      <c r="G32" s="118">
        <v>73</v>
      </c>
      <c r="H32" s="150">
        <f t="shared" si="0"/>
        <v>51.408450704225352</v>
      </c>
      <c r="I32" s="150">
        <v>72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103079920</v>
      </c>
      <c r="T32" s="45">
        <f t="shared" si="4"/>
        <v>5305</v>
      </c>
      <c r="U32" s="46">
        <f t="shared" si="5"/>
        <v>127.32</v>
      </c>
      <c r="V32" s="46">
        <f t="shared" si="6"/>
        <v>5.3049999999999997</v>
      </c>
      <c r="W32" s="96">
        <v>2.5</v>
      </c>
      <c r="X32" s="96">
        <f t="shared" si="1"/>
        <v>2.5</v>
      </c>
      <c r="Y32" s="97" t="s">
        <v>168</v>
      </c>
      <c r="Z32" s="154">
        <v>1015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17755574</v>
      </c>
      <c r="AJ32" s="45">
        <f t="shared" si="7"/>
        <v>1124</v>
      </c>
      <c r="AK32" s="48">
        <f t="shared" si="9"/>
        <v>211.87558906691802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43308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-5</v>
      </c>
      <c r="G33" s="118">
        <v>73</v>
      </c>
      <c r="H33" s="150">
        <f t="shared" si="0"/>
        <v>51.408450704225352</v>
      </c>
      <c r="I33" s="150">
        <v>72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103085650</v>
      </c>
      <c r="T33" s="45">
        <f t="shared" si="4"/>
        <v>5730</v>
      </c>
      <c r="U33" s="46">
        <f t="shared" si="5"/>
        <v>137.52000000000001</v>
      </c>
      <c r="V33" s="46">
        <f t="shared" si="6"/>
        <v>5.73</v>
      </c>
      <c r="W33" s="96">
        <v>2.2000000000000002</v>
      </c>
      <c r="X33" s="96">
        <f t="shared" si="1"/>
        <v>2.2000000000000002</v>
      </c>
      <c r="Y33" s="97" t="s">
        <v>168</v>
      </c>
      <c r="Z33" s="154">
        <v>1015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17756712</v>
      </c>
      <c r="AJ33" s="45">
        <f t="shared" si="7"/>
        <v>1138</v>
      </c>
      <c r="AK33" s="48">
        <f t="shared" si="9"/>
        <v>198.60383944153577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43308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-5</v>
      </c>
      <c r="G34" s="118">
        <v>68</v>
      </c>
      <c r="H34" s="150">
        <f t="shared" si="0"/>
        <v>47.887323943661976</v>
      </c>
      <c r="I34" s="150">
        <v>72</v>
      </c>
      <c r="J34" s="41" t="s">
        <v>88</v>
      </c>
      <c r="K34" s="41">
        <f t="shared" si="3"/>
        <v>44.366197183098592</v>
      </c>
      <c r="L34" s="42">
        <f t="shared" si="13"/>
        <v>45.774647887323944</v>
      </c>
      <c r="M34" s="41">
        <f t="shared" si="12"/>
        <v>50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103091190</v>
      </c>
      <c r="T34" s="45">
        <f t="shared" si="4"/>
        <v>5540</v>
      </c>
      <c r="U34" s="46">
        <f t="shared" si="5"/>
        <v>132.96</v>
      </c>
      <c r="V34" s="46">
        <f t="shared" si="6"/>
        <v>5.54</v>
      </c>
      <c r="W34" s="96">
        <v>2</v>
      </c>
      <c r="X34" s="96">
        <f t="shared" si="1"/>
        <v>2</v>
      </c>
      <c r="Y34" s="97" t="s">
        <v>168</v>
      </c>
      <c r="Z34" s="154">
        <v>1015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17757828</v>
      </c>
      <c r="AJ34" s="45">
        <f t="shared" si="7"/>
        <v>1116</v>
      </c>
      <c r="AK34" s="48">
        <f t="shared" si="9"/>
        <v>201.44404332129963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1.04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43308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-5</v>
      </c>
      <c r="G35" s="118">
        <v>69</v>
      </c>
      <c r="H35" s="150">
        <f t="shared" si="0"/>
        <v>48.591549295774648</v>
      </c>
      <c r="I35" s="150">
        <v>67</v>
      </c>
      <c r="J35" s="41" t="s">
        <v>88</v>
      </c>
      <c r="K35" s="41">
        <f>L35-(2/1.42)</f>
        <v>43.661971830985919</v>
      </c>
      <c r="L35" s="42">
        <f>(G35-5)/1.42</f>
        <v>45.070422535211272</v>
      </c>
      <c r="M35" s="41">
        <f t="shared" si="12"/>
        <v>49.295774647887328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103096290</v>
      </c>
      <c r="T35" s="45">
        <f t="shared" si="4"/>
        <v>5100</v>
      </c>
      <c r="U35" s="46">
        <f t="shared" si="5"/>
        <v>122.4</v>
      </c>
      <c r="V35" s="46">
        <f t="shared" si="6"/>
        <v>5.0999999999999996</v>
      </c>
      <c r="W35" s="96">
        <v>2.8</v>
      </c>
      <c r="X35" s="96">
        <f t="shared" si="1"/>
        <v>2.8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17758918</v>
      </c>
      <c r="AJ35" s="45">
        <f t="shared" si="7"/>
        <v>1090</v>
      </c>
      <c r="AK35" s="48">
        <f t="shared" si="9"/>
        <v>213.72549019607845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43308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0</v>
      </c>
      <c r="G36" s="118">
        <v>69</v>
      </c>
      <c r="H36" s="150">
        <f t="shared" si="0"/>
        <v>48.591549295774648</v>
      </c>
      <c r="I36" s="150">
        <v>67</v>
      </c>
      <c r="J36" s="41" t="s">
        <v>88</v>
      </c>
      <c r="K36" s="41">
        <f t="shared" si="3"/>
        <v>43.661971830985919</v>
      </c>
      <c r="L36" s="42">
        <f>(G36-5)/1.42</f>
        <v>45.070422535211272</v>
      </c>
      <c r="M36" s="41">
        <f t="shared" si="12"/>
        <v>49.295774647887328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103101230</v>
      </c>
      <c r="T36" s="45">
        <f t="shared" si="4"/>
        <v>4940</v>
      </c>
      <c r="U36" s="46">
        <f t="shared" si="5"/>
        <v>118.56</v>
      </c>
      <c r="V36" s="46">
        <f t="shared" si="6"/>
        <v>4.9400000000000004</v>
      </c>
      <c r="W36" s="96">
        <v>4.5</v>
      </c>
      <c r="X36" s="96">
        <f t="shared" si="1"/>
        <v>4.5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17760035</v>
      </c>
      <c r="AJ36" s="45">
        <f t="shared" si="7"/>
        <v>1117</v>
      </c>
      <c r="AK36" s="48">
        <f t="shared" si="9"/>
        <v>226.11336032388661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125119</v>
      </c>
      <c r="U37" s="46">
        <f t="shared" si="5"/>
        <v>3002.8560000000002</v>
      </c>
      <c r="V37" s="46">
        <f t="shared" si="6"/>
        <v>125.119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27227</v>
      </c>
      <c r="AK37" s="61">
        <f>$AJ$37/$V37</f>
        <v>217.60883638775886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0.9900000000000001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264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209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184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266</v>
      </c>
      <c r="C52" s="184"/>
      <c r="D52" s="184"/>
      <c r="E52" s="184"/>
      <c r="F52" s="130"/>
      <c r="G52" s="130"/>
      <c r="H52" s="156"/>
      <c r="I52" s="156"/>
      <c r="J52" s="156"/>
      <c r="K52" s="156"/>
      <c r="L52" s="156"/>
      <c r="M52" s="156"/>
      <c r="N52" s="131"/>
      <c r="O52" s="131"/>
      <c r="P52" s="131"/>
      <c r="Q52" s="114"/>
      <c r="R52" s="104"/>
      <c r="S52" s="104"/>
      <c r="T52" s="104"/>
      <c r="U52" s="114"/>
      <c r="V52" s="114"/>
      <c r="W52" s="114"/>
      <c r="X52" s="94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49"/>
      <c r="F53" s="149"/>
      <c r="G53" s="149"/>
      <c r="H53" s="149"/>
      <c r="I53" s="149"/>
      <c r="J53" s="149"/>
      <c r="K53" s="162"/>
      <c r="L53" s="143"/>
      <c r="M53" s="105"/>
      <c r="N53" s="105"/>
      <c r="O53" s="105"/>
      <c r="P53" s="105"/>
      <c r="Q53" s="105"/>
      <c r="R53" s="105"/>
      <c r="S53" s="105"/>
      <c r="T53" s="105"/>
      <c r="U53" s="105"/>
      <c r="V53" s="147"/>
      <c r="W53" s="147"/>
      <c r="X53" s="148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66"/>
      <c r="D54" s="166"/>
      <c r="E54" s="115"/>
      <c r="F54" s="115"/>
      <c r="G54" s="115"/>
      <c r="H54" s="115"/>
      <c r="I54" s="149"/>
      <c r="J54" s="104"/>
      <c r="K54" s="104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47"/>
      <c r="W54" s="147"/>
      <c r="X54" s="148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66"/>
      <c r="D55" s="166"/>
      <c r="E55" s="149"/>
      <c r="F55" s="149"/>
      <c r="G55" s="149"/>
      <c r="H55" s="149"/>
      <c r="I55" s="149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7"/>
      <c r="W55" s="147"/>
      <c r="X55" s="148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66"/>
      <c r="D56" s="170"/>
      <c r="E56" s="170"/>
      <c r="F56" s="114"/>
      <c r="G56" s="114"/>
      <c r="H56" s="104"/>
      <c r="I56" s="10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267</v>
      </c>
      <c r="C57" s="149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15"/>
      <c r="D58" s="100"/>
      <c r="E58" s="100"/>
      <c r="F58" s="115"/>
      <c r="G58" s="115"/>
      <c r="H58" s="9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224</v>
      </c>
      <c r="C59" s="115"/>
      <c r="D59" s="162"/>
      <c r="E59" s="162"/>
      <c r="F59" s="162"/>
      <c r="G59" s="162"/>
      <c r="H59" s="162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49"/>
      <c r="C60" s="115"/>
      <c r="D60" s="100"/>
      <c r="E60" s="100"/>
      <c r="F60" s="115"/>
      <c r="G60" s="115"/>
      <c r="H60" s="92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15"/>
      <c r="D61" s="162"/>
      <c r="E61" s="162"/>
      <c r="F61" s="162"/>
      <c r="G61" s="162"/>
      <c r="H61" s="162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AV61" s="86"/>
      <c r="AW61" s="86"/>
      <c r="AX61" s="86"/>
      <c r="AY61" s="86"/>
      <c r="AZ61" s="86"/>
      <c r="BA61" s="86"/>
      <c r="BB61" s="86"/>
    </row>
    <row r="62" spans="1:54" x14ac:dyDescent="0.35">
      <c r="B62" s="158"/>
      <c r="C62" s="115"/>
      <c r="D62" s="162"/>
      <c r="E62" s="162"/>
      <c r="F62" s="162"/>
      <c r="G62" s="162"/>
      <c r="H62" s="162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AV62" s="86"/>
      <c r="AW62" s="86"/>
      <c r="AX62" s="86"/>
      <c r="AY62" s="86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AV63" s="86"/>
      <c r="AW63" s="86"/>
      <c r="AX63" s="86"/>
      <c r="AY63" s="86"/>
      <c r="AZ63" s="86"/>
      <c r="BA63" s="86"/>
      <c r="BB63" s="86"/>
    </row>
    <row r="64" spans="1:54" x14ac:dyDescent="0.35">
      <c r="Q64" s="12"/>
      <c r="R64" s="87"/>
      <c r="S64" s="87"/>
      <c r="T64" s="87"/>
      <c r="U64" s="87"/>
      <c r="AV64" s="86"/>
      <c r="AW64" s="86"/>
      <c r="AX64" s="86"/>
      <c r="AY64" s="86"/>
      <c r="AZ64" s="86"/>
      <c r="BA64" s="86"/>
      <c r="BB64" s="86"/>
    </row>
    <row r="65" spans="17:54" x14ac:dyDescent="0.35">
      <c r="Q65" s="12"/>
      <c r="R65" s="87"/>
      <c r="S65" s="87"/>
      <c r="T65" s="87"/>
      <c r="U65" s="87"/>
      <c r="V65" s="87"/>
      <c r="AV65" s="86"/>
      <c r="AW65" s="86"/>
      <c r="AX65" s="86"/>
      <c r="AY65" s="86"/>
      <c r="AZ65" s="86"/>
      <c r="BA65" s="86"/>
      <c r="BB65" s="86"/>
    </row>
    <row r="66" spans="17:54" x14ac:dyDescent="0.35">
      <c r="Q66" s="12"/>
      <c r="R66" s="87"/>
      <c r="S66" s="87"/>
      <c r="T66" s="87"/>
      <c r="U66" s="87"/>
      <c r="V66" s="87"/>
      <c r="AV66" s="86"/>
      <c r="AW66" s="86"/>
      <c r="AX66" s="86"/>
      <c r="AY66" s="86"/>
      <c r="AZ66" s="86"/>
      <c r="BA66" s="86"/>
      <c r="BB66" s="86"/>
    </row>
    <row r="67" spans="17:54" x14ac:dyDescent="0.35">
      <c r="Q67" s="12"/>
      <c r="R67" s="87"/>
      <c r="V67" s="87"/>
      <c r="AV67" s="86"/>
      <c r="AW67" s="86"/>
      <c r="AX67" s="86"/>
      <c r="AY67" s="86"/>
      <c r="AZ67" s="86"/>
      <c r="BA67" s="86"/>
      <c r="BB67" s="86"/>
    </row>
    <row r="68" spans="17:54" x14ac:dyDescent="0.35">
      <c r="Q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17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17:54" x14ac:dyDescent="0.35">
      <c r="Q70" s="12"/>
      <c r="R70" s="87"/>
      <c r="S70" s="87"/>
      <c r="T70" s="87"/>
      <c r="U70" s="87"/>
      <c r="V70" s="87"/>
      <c r="W70" s="87"/>
      <c r="AV70" s="86"/>
      <c r="AW70" s="86"/>
      <c r="AX70" s="86"/>
      <c r="AY70" s="86"/>
      <c r="AZ70" s="86"/>
      <c r="BA70" s="86"/>
      <c r="BB70" s="86"/>
    </row>
    <row r="71" spans="17:54" x14ac:dyDescent="0.35">
      <c r="Q71" s="12"/>
      <c r="R71" s="87"/>
      <c r="V71" s="87"/>
      <c r="W71" s="87"/>
      <c r="AV71" s="86"/>
      <c r="AW71" s="86"/>
      <c r="AX71" s="86"/>
      <c r="AY71" s="86"/>
      <c r="AZ71" s="86"/>
      <c r="BA71" s="86"/>
      <c r="BB71" s="86"/>
    </row>
    <row r="72" spans="17:54" x14ac:dyDescent="0.35">
      <c r="BB72" s="86"/>
    </row>
    <row r="83" spans="48:54" x14ac:dyDescent="0.35">
      <c r="AV83" s="86"/>
      <c r="AW83" s="86"/>
      <c r="AX83" s="86"/>
      <c r="AY83" s="86"/>
      <c r="AZ83" s="86"/>
      <c r="BA83" s="86"/>
    </row>
    <row r="84" spans="48:54" x14ac:dyDescent="0.35">
      <c r="BB84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0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3" name="Range2_2_12_1_3_1_2_1_1_1_1_2_1_1_1_1_1_1_1_1_1_1_1"/>
    <protectedRange sqref="F58:F63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56:H57" name="Range2_12_5_1_1_1_2_2_1_1_1_1_1_1_1_1_1_1_1_2_1_1_1_2_1_1_1_1_1_1_1_1_1_1_1_1_1_1_1_1_2_1_1_1_1_1_1_1_1_1_2_1_1_3_1_1_1_3_1_1_1_1_1_1_1_1_1_1_1_1_1_1_1_1_1_1_1_1_1_1_2_1_1_1_1_1_1_1_1_1_1_1_2_2_1_2_1_1_1_1_1_1_1_1_1_1_1_1_1"/>
    <protectedRange sqref="U53:V63" name="Range2_12_5_1_1_2_1_1_1_2_1_1_1_1_1_1_1_1_1_1_1_1_1"/>
    <protectedRange sqref="P53:T63" name="Range2_12_1_6_1_1_2_1_1_1_2_1_1_1_1_1_1_1_1_1_1_1_1_1"/>
    <protectedRange sqref="N53:O63" name="Range2_2_12_1_7_1_1_3_1_1_1_2_1_1_1_1_1_1_1_1_1_1_1_1_1"/>
    <protectedRange sqref="M53 L54:M63" name="Range2_2_12_1_4_1_1_1_1_1_1_1_1_1_1_1_1_1_1_1_2_1_1_1_2_1_1_1_1_1_1_1_1_1_1_1_1_1"/>
    <protectedRange sqref="K54:K63" name="Range2_2_12_1_7_1_1_2_2_1_2_2_1_1_1_2_1_1_1_1_1_1_1_1_1_1_1_1_1"/>
    <protectedRange sqref="J54:J55 I56:J63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4:W4" name="Range1_16_1_1_1_1_1_1_2_2_2_2_2_2_2_2_2_2_2_2_2_2_2_2_2_2_2_2_2_2_2_1_2_2_2_2_2_2_2_2_2_2_3_2_2_2_2_2_2_2_2_2_2_1_1_1_1_2_2_1_1_1_1_1_1_1_1_1_1_1_1_1_1_3_1_2_1_1_1_1_1_2_2_2_2_1_1_1_1_2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3:W3" name="Range1_16_1_1_1_1_1_1_2_2_2_2_2_2_2_2_2_2_2_2_2_2_2_2_2_2_2_2_2_2_2_1_2_2_2_2_2_2_2_2_2_2_3_2_2_2_2_2_2_2_2_2_2_1_1_1_1_2_2_1_1_1_1_1_1_1_1_1_1_1_1_1_1_3_1_2_1_1_1_1_1_1_2_1_1_1_1_1_1_1_1_1_1_1_1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84" priority="5" operator="containsText" text="N/A">
      <formula>NOT(ISERROR(SEARCH("N/A",Z13)))</formula>
    </cfRule>
    <cfRule type="cellIs" dxfId="83" priority="17" operator="equal">
      <formula>0</formula>
    </cfRule>
  </conditionalFormatting>
  <conditionalFormatting sqref="Z13:AG36">
    <cfRule type="cellIs" dxfId="82" priority="16" operator="greaterThanOrEqual">
      <formula>1185</formula>
    </cfRule>
  </conditionalFormatting>
  <conditionalFormatting sqref="Z13:AG36">
    <cfRule type="cellIs" dxfId="81" priority="15" operator="between">
      <formula>0.1</formula>
      <formula>1184</formula>
    </cfRule>
  </conditionalFormatting>
  <conditionalFormatting sqref="Z8:Z9 AT13:AT36 AL37:AQ37 AL13:AR36">
    <cfRule type="cellIs" dxfId="80" priority="14" operator="equal">
      <formula>0</formula>
    </cfRule>
  </conditionalFormatting>
  <conditionalFormatting sqref="Z8:Z9 AT13:AT36 AL37:AQ37 AL13:AR36">
    <cfRule type="cellIs" dxfId="79" priority="13" operator="greaterThan">
      <formula>1179</formula>
    </cfRule>
  </conditionalFormatting>
  <conditionalFormatting sqref="Z8:Z9 AT13:AT36 AL37:AQ37 AL13:AR36">
    <cfRule type="cellIs" dxfId="78" priority="12" operator="greaterThan">
      <formula>99</formula>
    </cfRule>
  </conditionalFormatting>
  <conditionalFormatting sqref="Z8:Z9 AT13:AT36 AL37:AQ37 AL13:AR36">
    <cfRule type="cellIs" dxfId="77" priority="11" operator="greaterThan">
      <formula>0.99</formula>
    </cfRule>
  </conditionalFormatting>
  <conditionalFormatting sqref="AD8:AD9">
    <cfRule type="cellIs" dxfId="76" priority="10" operator="equal">
      <formula>0</formula>
    </cfRule>
  </conditionalFormatting>
  <conditionalFormatting sqref="AD8:AD9">
    <cfRule type="cellIs" dxfId="75" priority="9" operator="greaterThan">
      <formula>1179</formula>
    </cfRule>
  </conditionalFormatting>
  <conditionalFormatting sqref="AD8:AD9">
    <cfRule type="cellIs" dxfId="74" priority="8" operator="greaterThan">
      <formula>99</formula>
    </cfRule>
  </conditionalFormatting>
  <conditionalFormatting sqref="AD8:AD9">
    <cfRule type="cellIs" dxfId="73" priority="7" operator="greaterThan">
      <formula>0.99</formula>
    </cfRule>
  </conditionalFormatting>
  <conditionalFormatting sqref="AK13:AK36">
    <cfRule type="cellIs" dxfId="72" priority="6" operator="greaterThan">
      <formula>$AK$8</formula>
    </cfRule>
  </conditionalFormatting>
  <conditionalFormatting sqref="AS13:AS36">
    <cfRule type="containsText" dxfId="71" priority="1" operator="containsText" text="N/A">
      <formula>NOT(ISERROR(SEARCH("N/A",AS13)))</formula>
    </cfRule>
    <cfRule type="cellIs" dxfId="70" priority="4" operator="equal">
      <formula>0</formula>
    </cfRule>
  </conditionalFormatting>
  <conditionalFormatting sqref="AS13:AS36">
    <cfRule type="cellIs" dxfId="69" priority="3" operator="greaterThanOrEqual">
      <formula>1185</formula>
    </cfRule>
  </conditionalFormatting>
  <conditionalFormatting sqref="AS13:AS36">
    <cfRule type="cellIs" dxfId="68" priority="2" operator="between">
      <formula>0.1</formula>
      <formula>1184</formula>
    </cfRule>
  </conditionalFormatting>
  <dataValidations count="4">
    <dataValidation type="list" allowBlank="1" showInputMessage="1" showErrorMessage="1" sqref="AY33:AZ33" xr:uid="{00000000-0002-0000-1A00-000000000000}">
      <formula1>$AY$26:$AY$30</formula1>
    </dataValidation>
    <dataValidation type="list" allowBlank="1" showInputMessage="1" showErrorMessage="1" sqref="AS8:AT9 P11:P12 N11:N12 D8:E9 Q8:V9" xr:uid="{00000000-0002-0000-1A00-000001000000}">
      <formula1>#REF!</formula1>
    </dataValidation>
    <dataValidation type="list" allowBlank="1" showInputMessage="1" showErrorMessage="1" sqref="J13:J36" xr:uid="{00000000-0002-0000-1A00-000002000000}">
      <formula1>$AY$11:$AY$21</formula1>
    </dataValidation>
    <dataValidation type="list" allowBlank="1" showInputMessage="1" showErrorMessage="1" sqref="R3:R5" xr:uid="{00000000-0002-0000-1A00-000003000000}">
      <formula1>$BB$11:$BB$42</formula1>
    </dataValidation>
  </dataValidations>
  <hyperlinks>
    <hyperlink ref="J10:J11" location="'1'!AH8" display="Plant Status" xr:uid="{00000000-0004-0000-1A00-000000000000}"/>
  </hyperlinks>
  <pageMargins left="0.7" right="0.7" top="0.75" bottom="0.75" header="0.3" footer="0.3"/>
  <pageSetup paperSize="9" orientation="portrait" horizontalDpi="429496729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7030A0"/>
  </sheetPr>
  <dimension ref="A2:BB84"/>
  <sheetViews>
    <sheetView zoomScaleNormal="100" workbookViewId="0">
      <selection activeCell="B57" sqref="B57:B59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161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150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138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69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43309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27158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1"/>
      <c r="K9" s="262"/>
      <c r="L9" s="263"/>
      <c r="M9" s="264"/>
      <c r="N9" s="29"/>
      <c r="O9" s="29"/>
      <c r="P9" s="29"/>
      <c r="Q9" s="121"/>
      <c r="R9" s="121"/>
      <c r="S9" s="121"/>
      <c r="T9" s="122"/>
      <c r="U9" s="123"/>
      <c r="V9" s="124"/>
      <c r="W9" s="262"/>
      <c r="X9" s="264"/>
      <c r="Y9" s="30"/>
      <c r="Z9" s="265"/>
      <c r="AA9" s="125"/>
      <c r="AB9" s="126"/>
      <c r="AC9" s="126"/>
      <c r="AD9" s="125"/>
      <c r="AE9" s="125"/>
      <c r="AF9" s="127"/>
      <c r="AG9" s="26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70" t="s">
        <v>51</v>
      </c>
      <c r="X10" s="270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68" t="s">
        <v>55</v>
      </c>
      <c r="AI10" s="268" t="s">
        <v>56</v>
      </c>
      <c r="AJ10" s="314" t="s">
        <v>57</v>
      </c>
      <c r="AK10" s="329" t="s">
        <v>58</v>
      </c>
      <c r="AL10" s="270" t="s">
        <v>59</v>
      </c>
      <c r="AM10" s="270" t="s">
        <v>60</v>
      </c>
      <c r="AN10" s="270" t="s">
        <v>61</v>
      </c>
      <c r="AO10" s="270" t="s">
        <v>62</v>
      </c>
      <c r="AP10" s="270" t="s">
        <v>63</v>
      </c>
      <c r="AQ10" s="270" t="s">
        <v>124</v>
      </c>
      <c r="AR10" s="270" t="s">
        <v>64</v>
      </c>
      <c r="AS10" s="270" t="s">
        <v>65</v>
      </c>
      <c r="AT10" s="312" t="s">
        <v>66</v>
      </c>
      <c r="AU10" s="270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0" t="s">
        <v>72</v>
      </c>
      <c r="C11" s="270" t="s">
        <v>73</v>
      </c>
      <c r="D11" s="270" t="s">
        <v>74</v>
      </c>
      <c r="E11" s="270" t="s">
        <v>75</v>
      </c>
      <c r="F11" s="270" t="s">
        <v>127</v>
      </c>
      <c r="G11" s="270" t="s">
        <v>74</v>
      </c>
      <c r="H11" s="270" t="s">
        <v>75</v>
      </c>
      <c r="I11" s="270" t="s">
        <v>127</v>
      </c>
      <c r="J11" s="309"/>
      <c r="K11" s="270" t="s">
        <v>75</v>
      </c>
      <c r="L11" s="270" t="s">
        <v>75</v>
      </c>
      <c r="M11" s="270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27'!S36</f>
        <v>103101230</v>
      </c>
      <c r="T11" s="322"/>
      <c r="U11" s="323"/>
      <c r="V11" s="324"/>
      <c r="W11" s="270" t="s">
        <v>75</v>
      </c>
      <c r="X11" s="270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27'!AI36</f>
        <v>17760035</v>
      </c>
      <c r="AJ11" s="314"/>
      <c r="AK11" s="330"/>
      <c r="AL11" s="270" t="s">
        <v>84</v>
      </c>
      <c r="AM11" s="270" t="s">
        <v>84</v>
      </c>
      <c r="AN11" s="270" t="s">
        <v>84</v>
      </c>
      <c r="AO11" s="270" t="s">
        <v>84</v>
      </c>
      <c r="AP11" s="270" t="s">
        <v>84</v>
      </c>
      <c r="AQ11" s="270" t="s">
        <v>84</v>
      </c>
      <c r="AR11" s="270" t="s">
        <v>84</v>
      </c>
      <c r="AS11" s="1"/>
      <c r="AT11" s="313"/>
      <c r="AU11" s="267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43309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69</v>
      </c>
      <c r="H13" s="150">
        <f t="shared" ref="H13:H36" si="0">G13/1.42</f>
        <v>48.591549295774648</v>
      </c>
      <c r="I13" s="150">
        <v>67</v>
      </c>
      <c r="J13" s="41" t="s">
        <v>88</v>
      </c>
      <c r="K13" s="41">
        <f>L13-(2/1.42)</f>
        <v>43.661971830985919</v>
      </c>
      <c r="L13" s="42">
        <f>(G13-5)/1.42</f>
        <v>45.070422535211272</v>
      </c>
      <c r="M13" s="41">
        <f>L13+(6/1.42)</f>
        <v>49.295774647887328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103105665</v>
      </c>
      <c r="T13" s="45">
        <f>IF(ISBLANK(S13),"-",S13-S11)</f>
        <v>4435</v>
      </c>
      <c r="U13" s="46">
        <f>T13*24/1000</f>
        <v>106.44</v>
      </c>
      <c r="V13" s="46">
        <f>T13/1000</f>
        <v>4.4349999999999996</v>
      </c>
      <c r="W13" s="96">
        <v>6.1</v>
      </c>
      <c r="X13" s="96">
        <f t="shared" ref="X13:X36" si="1">W13</f>
        <v>6.1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17761103</v>
      </c>
      <c r="AJ13" s="45">
        <f>IF(ISBLANK(AI13),"-",AI13-AI11)</f>
        <v>1068</v>
      </c>
      <c r="AK13" s="48">
        <f>AJ13/V13</f>
        <v>240.81172491544535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43309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6</v>
      </c>
      <c r="G14" s="118">
        <v>69</v>
      </c>
      <c r="H14" s="150">
        <f t="shared" si="0"/>
        <v>48.591549295774648</v>
      </c>
      <c r="I14" s="150">
        <v>67</v>
      </c>
      <c r="J14" s="41" t="s">
        <v>88</v>
      </c>
      <c r="K14" s="41">
        <f t="shared" ref="K14:K36" si="3">L14-(2/1.42)</f>
        <v>43.661971830985919</v>
      </c>
      <c r="L14" s="42">
        <f>(G14-5)/1.42</f>
        <v>45.070422535211272</v>
      </c>
      <c r="M14" s="41">
        <f>L14+(6/1.42)</f>
        <v>49.295774647887328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103110590</v>
      </c>
      <c r="T14" s="45">
        <f t="shared" ref="T14:T36" si="4">IF(ISBLANK(S14),"-",S14-S13)</f>
        <v>4925</v>
      </c>
      <c r="U14" s="46">
        <f t="shared" ref="U14:U37" si="5">T14*24/1000</f>
        <v>118.2</v>
      </c>
      <c r="V14" s="46">
        <f t="shared" ref="V14:V37" si="6">T14/1000</f>
        <v>4.9249999999999998</v>
      </c>
      <c r="W14" s="96">
        <v>7.6</v>
      </c>
      <c r="X14" s="96">
        <f t="shared" si="1"/>
        <v>7.6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17762200</v>
      </c>
      <c r="AJ14" s="45">
        <f t="shared" ref="AJ14:AJ36" si="7">IF(ISBLANK(AI14),"-",AI14-AI13)</f>
        <v>1097</v>
      </c>
      <c r="AK14" s="48">
        <f>AJ14/V14</f>
        <v>222.74111675126903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0.89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43309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70</v>
      </c>
      <c r="H15" s="150">
        <f t="shared" si="0"/>
        <v>49.295774647887328</v>
      </c>
      <c r="I15" s="150">
        <v>68</v>
      </c>
      <c r="J15" s="41" t="s">
        <v>88</v>
      </c>
      <c r="K15" s="41">
        <f t="shared" si="3"/>
        <v>44.366197183098592</v>
      </c>
      <c r="L15" s="42">
        <f>(G15-5)/1.42</f>
        <v>45.774647887323944</v>
      </c>
      <c r="M15" s="41">
        <f>L15+(6/1.42)</f>
        <v>50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103115420</v>
      </c>
      <c r="T15" s="45">
        <f>IF(ISBLANK(S15),"-",S15-S14)</f>
        <v>4830</v>
      </c>
      <c r="U15" s="46">
        <f t="shared" si="5"/>
        <v>115.92</v>
      </c>
      <c r="V15" s="46">
        <f t="shared" si="6"/>
        <v>4.83</v>
      </c>
      <c r="W15" s="96">
        <v>9</v>
      </c>
      <c r="X15" s="96">
        <f t="shared" si="1"/>
        <v>9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17763276</v>
      </c>
      <c r="AJ15" s="45">
        <f t="shared" si="7"/>
        <v>1076</v>
      </c>
      <c r="AK15" s="48">
        <f t="shared" ref="AK15:AK36" si="9">AJ15/V15</f>
        <v>222.77432712215321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43309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103120140</v>
      </c>
      <c r="T16" s="45">
        <f t="shared" si="4"/>
        <v>4720</v>
      </c>
      <c r="U16" s="46">
        <f t="shared" si="5"/>
        <v>113.28</v>
      </c>
      <c r="V16" s="46">
        <f t="shared" si="6"/>
        <v>4.72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17764328</v>
      </c>
      <c r="AJ16" s="45">
        <f t="shared" si="7"/>
        <v>1052</v>
      </c>
      <c r="AK16" s="48">
        <f t="shared" si="9"/>
        <v>222.88135593220341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43309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103124250</v>
      </c>
      <c r="T17" s="45">
        <f t="shared" si="4"/>
        <v>4110</v>
      </c>
      <c r="U17" s="46">
        <f t="shared" si="5"/>
        <v>98.64</v>
      </c>
      <c r="V17" s="46">
        <f t="shared" si="6"/>
        <v>4.1100000000000003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17765350</v>
      </c>
      <c r="AJ17" s="45">
        <f t="shared" si="7"/>
        <v>1022</v>
      </c>
      <c r="AK17" s="48">
        <f t="shared" si="9"/>
        <v>248.66180048661798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43309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9</v>
      </c>
      <c r="G18" s="118">
        <v>81</v>
      </c>
      <c r="H18" s="150">
        <f t="shared" si="0"/>
        <v>57.04225352112676</v>
      </c>
      <c r="I18" s="150">
        <v>78</v>
      </c>
      <c r="J18" s="41" t="s">
        <v>88</v>
      </c>
      <c r="K18" s="41">
        <f t="shared" si="3"/>
        <v>55.633802816901408</v>
      </c>
      <c r="L18" s="42">
        <f t="shared" ref="L18:L27" si="10">G18/1.42</f>
        <v>57.04225352112676</v>
      </c>
      <c r="M18" s="41">
        <f>L18+1.42</f>
        <v>58.462253521126762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103129098</v>
      </c>
      <c r="T18" s="45">
        <f t="shared" si="4"/>
        <v>4848</v>
      </c>
      <c r="U18" s="46">
        <f t="shared" si="5"/>
        <v>116.352</v>
      </c>
      <c r="V18" s="46">
        <f t="shared" si="6"/>
        <v>4.8479999999999999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1136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17766428</v>
      </c>
      <c r="AJ18" s="45">
        <f t="shared" si="7"/>
        <v>1078</v>
      </c>
      <c r="AK18" s="48">
        <f t="shared" si="9"/>
        <v>222.35973597359737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1.02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43309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9</v>
      </c>
      <c r="G19" s="118">
        <v>80</v>
      </c>
      <c r="H19" s="150">
        <f t="shared" si="0"/>
        <v>56.338028169014088</v>
      </c>
      <c r="I19" s="150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103134270</v>
      </c>
      <c r="T19" s="45">
        <f t="shared" si="4"/>
        <v>5172</v>
      </c>
      <c r="U19" s="46">
        <f t="shared" si="5"/>
        <v>124.128</v>
      </c>
      <c r="V19" s="46">
        <f t="shared" si="6"/>
        <v>5.1719999999999997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17767474</v>
      </c>
      <c r="AJ19" s="45">
        <f t="shared" si="7"/>
        <v>1046</v>
      </c>
      <c r="AK19" s="48">
        <f t="shared" si="9"/>
        <v>202.24284609435423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43309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8</v>
      </c>
      <c r="G20" s="118">
        <v>78</v>
      </c>
      <c r="H20" s="150">
        <f t="shared" si="0"/>
        <v>54.929577464788736</v>
      </c>
      <c r="I20" s="150">
        <v>76</v>
      </c>
      <c r="J20" s="41" t="s">
        <v>88</v>
      </c>
      <c r="K20" s="41">
        <f t="shared" si="3"/>
        <v>53.521126760563384</v>
      </c>
      <c r="L20" s="42">
        <f t="shared" si="10"/>
        <v>54.929577464788736</v>
      </c>
      <c r="M20" s="41">
        <f t="shared" ref="M20:M24" si="11">L20+1.42</f>
        <v>56.349577464788737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103139482</v>
      </c>
      <c r="T20" s="45">
        <f t="shared" si="4"/>
        <v>5212</v>
      </c>
      <c r="U20" s="46">
        <f>T20*24/1000</f>
        <v>125.08799999999999</v>
      </c>
      <c r="V20" s="46">
        <f t="shared" si="6"/>
        <v>5.2119999999999997</v>
      </c>
      <c r="W20" s="96">
        <v>9.1999999999999993</v>
      </c>
      <c r="X20" s="96">
        <f t="shared" si="1"/>
        <v>9.1999999999999993</v>
      </c>
      <c r="Y20" s="97" t="s">
        <v>168</v>
      </c>
      <c r="Z20" s="154">
        <v>0</v>
      </c>
      <c r="AA20" s="154">
        <v>1018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17768673</v>
      </c>
      <c r="AJ20" s="45">
        <f t="shared" si="7"/>
        <v>1199</v>
      </c>
      <c r="AK20" s="48">
        <f t="shared" si="9"/>
        <v>230.04604758250193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43309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7</v>
      </c>
      <c r="G21" s="118">
        <v>76</v>
      </c>
      <c r="H21" s="150">
        <f t="shared" si="0"/>
        <v>53.521126760563384</v>
      </c>
      <c r="I21" s="150">
        <v>75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103145176</v>
      </c>
      <c r="T21" s="45">
        <f t="shared" si="4"/>
        <v>5694</v>
      </c>
      <c r="U21" s="46">
        <f t="shared" si="5"/>
        <v>136.65600000000001</v>
      </c>
      <c r="V21" s="46">
        <f t="shared" si="6"/>
        <v>5.694</v>
      </c>
      <c r="W21" s="96">
        <v>8.6</v>
      </c>
      <c r="X21" s="96">
        <f t="shared" si="1"/>
        <v>8.6</v>
      </c>
      <c r="Y21" s="97" t="s">
        <v>168</v>
      </c>
      <c r="Z21" s="154">
        <v>0</v>
      </c>
      <c r="AA21" s="154">
        <v>1047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17769847</v>
      </c>
      <c r="AJ21" s="45">
        <f t="shared" si="7"/>
        <v>1174</v>
      </c>
      <c r="AK21" s="48">
        <f t="shared" si="9"/>
        <v>206.1819459079733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43309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6</v>
      </c>
      <c r="G22" s="118">
        <v>76</v>
      </c>
      <c r="H22" s="150">
        <f t="shared" si="0"/>
        <v>53.521126760563384</v>
      </c>
      <c r="I22" s="150">
        <v>75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103150660</v>
      </c>
      <c r="T22" s="45">
        <f t="shared" si="4"/>
        <v>5484</v>
      </c>
      <c r="U22" s="46">
        <f t="shared" si="5"/>
        <v>131.61600000000001</v>
      </c>
      <c r="V22" s="46">
        <f t="shared" si="6"/>
        <v>5.484</v>
      </c>
      <c r="W22" s="96">
        <v>7.9</v>
      </c>
      <c r="X22" s="96">
        <f t="shared" si="1"/>
        <v>7.9</v>
      </c>
      <c r="Y22" s="97" t="s">
        <v>168</v>
      </c>
      <c r="Z22" s="154">
        <v>0</v>
      </c>
      <c r="AA22" s="154">
        <v>1048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17771022</v>
      </c>
      <c r="AJ22" s="45">
        <f t="shared" si="7"/>
        <v>1175</v>
      </c>
      <c r="AK22" s="48">
        <f t="shared" si="9"/>
        <v>214.25966447848285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</v>
      </c>
      <c r="AV22" s="50" t="s">
        <v>126</v>
      </c>
      <c r="BB22" s="136" t="s">
        <v>156</v>
      </c>
    </row>
    <row r="23" spans="1:54" x14ac:dyDescent="0.35">
      <c r="A23" s="331">
        <v>43309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75</v>
      </c>
      <c r="H23" s="150">
        <f t="shared" si="0"/>
        <v>52.816901408450704</v>
      </c>
      <c r="I23" s="150">
        <v>73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103155799</v>
      </c>
      <c r="T23" s="45">
        <f t="shared" si="4"/>
        <v>5139</v>
      </c>
      <c r="U23" s="46">
        <f t="shared" si="5"/>
        <v>123.336</v>
      </c>
      <c r="V23" s="46">
        <f t="shared" si="6"/>
        <v>5.1390000000000002</v>
      </c>
      <c r="W23" s="96">
        <v>7.2</v>
      </c>
      <c r="X23" s="96">
        <f>W23</f>
        <v>7.2</v>
      </c>
      <c r="Y23" s="97" t="s">
        <v>168</v>
      </c>
      <c r="Z23" s="154">
        <v>0</v>
      </c>
      <c r="AA23" s="154">
        <v>1047</v>
      </c>
      <c r="AB23" s="154">
        <v>1188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17772235</v>
      </c>
      <c r="AJ23" s="45">
        <f t="shared" si="7"/>
        <v>1213</v>
      </c>
      <c r="AK23" s="48">
        <f t="shared" si="9"/>
        <v>236.03813971589801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43309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74</v>
      </c>
      <c r="H24" s="150">
        <f t="shared" si="0"/>
        <v>52.112676056338032</v>
      </c>
      <c r="I24" s="150">
        <v>72</v>
      </c>
      <c r="J24" s="41" t="s">
        <v>88</v>
      </c>
      <c r="K24" s="41">
        <f t="shared" si="3"/>
        <v>50.70422535211268</v>
      </c>
      <c r="L24" s="42">
        <f t="shared" si="10"/>
        <v>52.112676056338032</v>
      </c>
      <c r="M24" s="41">
        <f t="shared" si="11"/>
        <v>53.532676056338033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103160651</v>
      </c>
      <c r="T24" s="45">
        <f t="shared" si="4"/>
        <v>4852</v>
      </c>
      <c r="U24" s="46">
        <f>T24*24/1000</f>
        <v>116.44799999999999</v>
      </c>
      <c r="V24" s="46">
        <f t="shared" si="6"/>
        <v>4.8520000000000003</v>
      </c>
      <c r="W24" s="96">
        <v>6.5</v>
      </c>
      <c r="X24" s="96">
        <f t="shared" si="1"/>
        <v>6.5</v>
      </c>
      <c r="Y24" s="97" t="s">
        <v>168</v>
      </c>
      <c r="Z24" s="154">
        <v>0</v>
      </c>
      <c r="AA24" s="154">
        <v>1058</v>
      </c>
      <c r="AB24" s="154">
        <v>1186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17773418</v>
      </c>
      <c r="AJ24" s="45">
        <f t="shared" si="7"/>
        <v>1183</v>
      </c>
      <c r="AK24" s="48">
        <f t="shared" si="9"/>
        <v>243.8169826875515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43309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2</v>
      </c>
      <c r="G25" s="118">
        <v>74</v>
      </c>
      <c r="H25" s="150">
        <f t="shared" si="0"/>
        <v>52.112676056338032</v>
      </c>
      <c r="I25" s="150">
        <v>72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103165636</v>
      </c>
      <c r="T25" s="45">
        <f t="shared" si="4"/>
        <v>4985</v>
      </c>
      <c r="U25" s="46">
        <f>T25*24/1000</f>
        <v>119.64</v>
      </c>
      <c r="V25" s="46">
        <f t="shared" si="6"/>
        <v>4.9850000000000003</v>
      </c>
      <c r="W25" s="96">
        <v>5.8</v>
      </c>
      <c r="X25" s="96">
        <f t="shared" si="1"/>
        <v>5.8</v>
      </c>
      <c r="Y25" s="97" t="s">
        <v>168</v>
      </c>
      <c r="Z25" s="154">
        <v>0</v>
      </c>
      <c r="AA25" s="154">
        <v>1057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17774621</v>
      </c>
      <c r="AJ25" s="45">
        <f t="shared" si="7"/>
        <v>1203</v>
      </c>
      <c r="AK25" s="48">
        <f t="shared" si="9"/>
        <v>241.32397191574722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43309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2</v>
      </c>
      <c r="G26" s="118">
        <v>75</v>
      </c>
      <c r="H26" s="150">
        <f t="shared" si="0"/>
        <v>52.816901408450704</v>
      </c>
      <c r="I26" s="150">
        <v>73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103170955</v>
      </c>
      <c r="T26" s="45">
        <f t="shared" si="4"/>
        <v>5319</v>
      </c>
      <c r="U26" s="46">
        <f t="shared" si="5"/>
        <v>127.65600000000001</v>
      </c>
      <c r="V26" s="46">
        <f t="shared" si="6"/>
        <v>5.319</v>
      </c>
      <c r="W26" s="96">
        <v>5</v>
      </c>
      <c r="X26" s="96">
        <f t="shared" si="1"/>
        <v>5</v>
      </c>
      <c r="Y26" s="97" t="s">
        <v>168</v>
      </c>
      <c r="Z26" s="154">
        <v>0</v>
      </c>
      <c r="AA26" s="154">
        <v>1057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17775829</v>
      </c>
      <c r="AJ26" s="45">
        <f t="shared" si="7"/>
        <v>1208</v>
      </c>
      <c r="AK26" s="48">
        <f t="shared" si="9"/>
        <v>227.11035909005452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v>0</v>
      </c>
      <c r="AU26" s="119">
        <v>1.05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43309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1</v>
      </c>
      <c r="G27" s="118">
        <v>74</v>
      </c>
      <c r="H27" s="150">
        <f t="shared" si="0"/>
        <v>52.112676056338032</v>
      </c>
      <c r="I27" s="150">
        <v>72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103176198</v>
      </c>
      <c r="T27" s="45">
        <f t="shared" si="4"/>
        <v>5243</v>
      </c>
      <c r="U27" s="46">
        <f t="shared" si="5"/>
        <v>125.83199999999999</v>
      </c>
      <c r="V27" s="46">
        <f t="shared" si="6"/>
        <v>5.2430000000000003</v>
      </c>
      <c r="W27" s="96">
        <v>4.4000000000000004</v>
      </c>
      <c r="X27" s="96">
        <f t="shared" si="1"/>
        <v>4.4000000000000004</v>
      </c>
      <c r="Y27" s="97" t="s">
        <v>168</v>
      </c>
      <c r="Z27" s="154">
        <v>0</v>
      </c>
      <c r="AA27" s="154">
        <v>1026</v>
      </c>
      <c r="AB27" s="154">
        <v>1188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17776982</v>
      </c>
      <c r="AJ27" s="45">
        <f t="shared" si="7"/>
        <v>1153</v>
      </c>
      <c r="AK27" s="48">
        <f t="shared" si="9"/>
        <v>219.91226397100894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43309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0</v>
      </c>
      <c r="G28" s="118">
        <v>73</v>
      </c>
      <c r="H28" s="150">
        <f t="shared" si="0"/>
        <v>51.408450704225352</v>
      </c>
      <c r="I28" s="150">
        <v>71</v>
      </c>
      <c r="J28" s="41" t="s">
        <v>88</v>
      </c>
      <c r="K28" s="41">
        <f t="shared" si="3"/>
        <v>47.887323943661976</v>
      </c>
      <c r="L28" s="42">
        <f>(G28-3)/1.42</f>
        <v>49.295774647887328</v>
      </c>
      <c r="M28" s="41">
        <f t="shared" si="12"/>
        <v>53.521126760563384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103181335</v>
      </c>
      <c r="T28" s="45">
        <f t="shared" si="4"/>
        <v>5137</v>
      </c>
      <c r="U28" s="46">
        <f t="shared" si="5"/>
        <v>123.288</v>
      </c>
      <c r="V28" s="46">
        <f t="shared" si="6"/>
        <v>5.1369999999999996</v>
      </c>
      <c r="W28" s="96">
        <v>3.8</v>
      </c>
      <c r="X28" s="96">
        <f t="shared" si="1"/>
        <v>3.8</v>
      </c>
      <c r="Y28" s="97" t="s">
        <v>168</v>
      </c>
      <c r="Z28" s="154">
        <v>0</v>
      </c>
      <c r="AA28" s="154">
        <v>1036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17778209</v>
      </c>
      <c r="AJ28" s="45">
        <f>IF(ISBLANK(AI28),"-",AI28-AI27)</f>
        <v>1227</v>
      </c>
      <c r="AK28" s="48">
        <f t="shared" si="9"/>
        <v>238.85536305236522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43309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-1</v>
      </c>
      <c r="G29" s="118">
        <v>73</v>
      </c>
      <c r="H29" s="150">
        <f t="shared" si="0"/>
        <v>51.408450704225352</v>
      </c>
      <c r="I29" s="150">
        <v>71</v>
      </c>
      <c r="J29" s="41" t="s">
        <v>88</v>
      </c>
      <c r="K29" s="41">
        <f t="shared" si="3"/>
        <v>47.887323943661976</v>
      </c>
      <c r="L29" s="42">
        <f t="shared" ref="L29:L34" si="13">(G29-3)/1.42</f>
        <v>49.295774647887328</v>
      </c>
      <c r="M29" s="41">
        <f t="shared" si="12"/>
        <v>53.521126760563384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103186245</v>
      </c>
      <c r="T29" s="45">
        <f t="shared" si="4"/>
        <v>4910</v>
      </c>
      <c r="U29" s="46">
        <f t="shared" si="5"/>
        <v>117.84</v>
      </c>
      <c r="V29" s="46">
        <f t="shared" si="6"/>
        <v>4.91</v>
      </c>
      <c r="W29" s="96">
        <v>3.2</v>
      </c>
      <c r="X29" s="96">
        <f t="shared" si="1"/>
        <v>3.2</v>
      </c>
      <c r="Y29" s="97" t="s">
        <v>168</v>
      </c>
      <c r="Z29" s="154">
        <v>0</v>
      </c>
      <c r="AA29" s="154">
        <v>1047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17779329</v>
      </c>
      <c r="AJ29" s="45">
        <f t="shared" si="7"/>
        <v>1120</v>
      </c>
      <c r="AK29" s="48">
        <f>AJ28/V29</f>
        <v>249.89816700610999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43309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-1</v>
      </c>
      <c r="G30" s="118">
        <v>73</v>
      </c>
      <c r="H30" s="150">
        <f t="shared" si="0"/>
        <v>51.408450704225352</v>
      </c>
      <c r="I30" s="150">
        <v>71</v>
      </c>
      <c r="J30" s="41" t="s">
        <v>88</v>
      </c>
      <c r="K30" s="41">
        <f t="shared" si="3"/>
        <v>47.887323943661976</v>
      </c>
      <c r="L30" s="42">
        <f t="shared" si="13"/>
        <v>49.295774647887328</v>
      </c>
      <c r="M30" s="41">
        <f t="shared" si="12"/>
        <v>53.521126760563384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103191568</v>
      </c>
      <c r="T30" s="45">
        <f t="shared" si="4"/>
        <v>5323</v>
      </c>
      <c r="U30" s="46">
        <f t="shared" si="5"/>
        <v>127.752</v>
      </c>
      <c r="V30" s="46">
        <f t="shared" si="6"/>
        <v>5.3230000000000004</v>
      </c>
      <c r="W30" s="96">
        <v>2.6</v>
      </c>
      <c r="X30" s="96">
        <f t="shared" si="1"/>
        <v>2.6</v>
      </c>
      <c r="Y30" s="97" t="s">
        <v>168</v>
      </c>
      <c r="Z30" s="154">
        <v>0</v>
      </c>
      <c r="AA30" s="154">
        <v>1046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17780491</v>
      </c>
      <c r="AJ30" s="45">
        <f t="shared" si="7"/>
        <v>1162</v>
      </c>
      <c r="AK30" s="48">
        <f>AJ29/V30</f>
        <v>210.4076648506481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1.1000000000000001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43309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-2</v>
      </c>
      <c r="G31" s="118">
        <v>74</v>
      </c>
      <c r="H31" s="150">
        <f t="shared" si="0"/>
        <v>52.112676056338032</v>
      </c>
      <c r="I31" s="150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103197259</v>
      </c>
      <c r="T31" s="45">
        <f t="shared" si="4"/>
        <v>5691</v>
      </c>
      <c r="U31" s="46">
        <f t="shared" si="5"/>
        <v>136.584</v>
      </c>
      <c r="V31" s="46">
        <f t="shared" si="6"/>
        <v>5.6909999999999998</v>
      </c>
      <c r="W31" s="96">
        <v>2.1</v>
      </c>
      <c r="X31" s="96">
        <f t="shared" si="1"/>
        <v>2.1</v>
      </c>
      <c r="Y31" s="97" t="s">
        <v>168</v>
      </c>
      <c r="Z31" s="154">
        <v>0</v>
      </c>
      <c r="AA31" s="154">
        <v>1047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17781663</v>
      </c>
      <c r="AJ31" s="45">
        <f t="shared" si="7"/>
        <v>1172</v>
      </c>
      <c r="AK31" s="48">
        <f t="shared" si="9"/>
        <v>205.93920224916536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43309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-3</v>
      </c>
      <c r="G32" s="118">
        <v>74</v>
      </c>
      <c r="H32" s="150">
        <f t="shared" si="0"/>
        <v>52.112676056338032</v>
      </c>
      <c r="I32" s="150">
        <v>72</v>
      </c>
      <c r="J32" s="41" t="s">
        <v>88</v>
      </c>
      <c r="K32" s="41">
        <f t="shared" si="3"/>
        <v>48.591549295774648</v>
      </c>
      <c r="L32" s="42">
        <f t="shared" si="13"/>
        <v>50</v>
      </c>
      <c r="M32" s="41">
        <f t="shared" si="12"/>
        <v>54.225352112676056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103202739</v>
      </c>
      <c r="T32" s="45">
        <f t="shared" si="4"/>
        <v>5480</v>
      </c>
      <c r="U32" s="46">
        <f t="shared" si="5"/>
        <v>131.52000000000001</v>
      </c>
      <c r="V32" s="46">
        <f t="shared" si="6"/>
        <v>5.48</v>
      </c>
      <c r="W32" s="96">
        <v>1.5</v>
      </c>
      <c r="X32" s="96">
        <f t="shared" si="1"/>
        <v>1.5</v>
      </c>
      <c r="Y32" s="97" t="s">
        <v>168</v>
      </c>
      <c r="Z32" s="154">
        <v>0</v>
      </c>
      <c r="AA32" s="154">
        <v>1046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17782816</v>
      </c>
      <c r="AJ32" s="45">
        <f t="shared" si="7"/>
        <v>1153</v>
      </c>
      <c r="AK32" s="48">
        <f t="shared" si="9"/>
        <v>210.40145985401458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43309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-3</v>
      </c>
      <c r="G33" s="118">
        <v>71</v>
      </c>
      <c r="H33" s="150">
        <f t="shared" si="0"/>
        <v>50</v>
      </c>
      <c r="I33" s="150">
        <v>70</v>
      </c>
      <c r="J33" s="41" t="s">
        <v>88</v>
      </c>
      <c r="K33" s="41">
        <f t="shared" si="3"/>
        <v>46.478873239436624</v>
      </c>
      <c r="L33" s="42">
        <f t="shared" si="13"/>
        <v>47.887323943661976</v>
      </c>
      <c r="M33" s="41">
        <f t="shared" si="12"/>
        <v>52.112676056338032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103207886</v>
      </c>
      <c r="T33" s="45">
        <f t="shared" si="4"/>
        <v>5147</v>
      </c>
      <c r="U33" s="46">
        <f t="shared" si="5"/>
        <v>123.52800000000001</v>
      </c>
      <c r="V33" s="46">
        <f t="shared" si="6"/>
        <v>5.1470000000000002</v>
      </c>
      <c r="W33" s="96">
        <v>1.5</v>
      </c>
      <c r="X33" s="96">
        <f t="shared" si="1"/>
        <v>1.5</v>
      </c>
      <c r="Y33" s="97" t="s">
        <v>139</v>
      </c>
      <c r="Z33" s="154">
        <v>0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17783915</v>
      </c>
      <c r="AJ33" s="45">
        <f t="shared" si="7"/>
        <v>1099</v>
      </c>
      <c r="AK33" s="48">
        <f t="shared" si="9"/>
        <v>213.52244025646007</v>
      </c>
      <c r="AL33" s="151">
        <v>0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43309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-2</v>
      </c>
      <c r="G34" s="118">
        <v>73</v>
      </c>
      <c r="H34" s="150">
        <f t="shared" si="0"/>
        <v>51.408450704225352</v>
      </c>
      <c r="I34" s="150">
        <v>73</v>
      </c>
      <c r="J34" s="41" t="s">
        <v>88</v>
      </c>
      <c r="K34" s="41">
        <f t="shared" si="3"/>
        <v>47.887323943661976</v>
      </c>
      <c r="L34" s="42">
        <f t="shared" si="13"/>
        <v>49.295774647887328</v>
      </c>
      <c r="M34" s="41">
        <f t="shared" si="12"/>
        <v>53.521126760563384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103213025</v>
      </c>
      <c r="T34" s="45">
        <f t="shared" si="4"/>
        <v>5139</v>
      </c>
      <c r="U34" s="46">
        <f t="shared" si="5"/>
        <v>123.336</v>
      </c>
      <c r="V34" s="46">
        <f t="shared" si="6"/>
        <v>5.1390000000000002</v>
      </c>
      <c r="W34" s="96">
        <v>1.5</v>
      </c>
      <c r="X34" s="96">
        <f t="shared" si="1"/>
        <v>1.5</v>
      </c>
      <c r="Y34" s="97" t="s">
        <v>139</v>
      </c>
      <c r="Z34" s="154">
        <v>0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17784985</v>
      </c>
      <c r="AJ34" s="45">
        <f t="shared" si="7"/>
        <v>1070</v>
      </c>
      <c r="AK34" s="48">
        <f t="shared" si="9"/>
        <v>208.21171434131153</v>
      </c>
      <c r="AL34" s="151">
        <v>0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1.01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43309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1</v>
      </c>
      <c r="G35" s="118">
        <v>72</v>
      </c>
      <c r="H35" s="150">
        <f t="shared" si="0"/>
        <v>50.70422535211268</v>
      </c>
      <c r="I35" s="150">
        <v>71</v>
      </c>
      <c r="J35" s="41" t="s">
        <v>88</v>
      </c>
      <c r="K35" s="41">
        <f>L35-(2/1.42)</f>
        <v>45.774647887323944</v>
      </c>
      <c r="L35" s="42">
        <f>(G35-5)/1.42</f>
        <v>47.183098591549296</v>
      </c>
      <c r="M35" s="41">
        <f t="shared" si="12"/>
        <v>51.408450704225352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103218143</v>
      </c>
      <c r="T35" s="45">
        <f t="shared" si="4"/>
        <v>5118</v>
      </c>
      <c r="U35" s="46">
        <f t="shared" si="5"/>
        <v>122.83199999999999</v>
      </c>
      <c r="V35" s="46">
        <f t="shared" si="6"/>
        <v>5.1180000000000003</v>
      </c>
      <c r="W35" s="96">
        <v>2.2000000000000002</v>
      </c>
      <c r="X35" s="96">
        <f t="shared" si="1"/>
        <v>2.2000000000000002</v>
      </c>
      <c r="Y35" s="97" t="s">
        <v>139</v>
      </c>
      <c r="Z35" s="154">
        <v>0</v>
      </c>
      <c r="AA35" s="154">
        <v>0</v>
      </c>
      <c r="AB35" s="154">
        <v>1185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17786085</v>
      </c>
      <c r="AJ35" s="45">
        <f t="shared" si="7"/>
        <v>1100</v>
      </c>
      <c r="AK35" s="48">
        <f t="shared" si="9"/>
        <v>214.92770613520906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0.3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43309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2</v>
      </c>
      <c r="G36" s="118">
        <v>73</v>
      </c>
      <c r="H36" s="150">
        <f t="shared" si="0"/>
        <v>51.408450704225352</v>
      </c>
      <c r="I36" s="150">
        <v>72</v>
      </c>
      <c r="J36" s="41" t="s">
        <v>88</v>
      </c>
      <c r="K36" s="41">
        <f t="shared" si="3"/>
        <v>46.478873239436624</v>
      </c>
      <c r="L36" s="42">
        <f>(G36-5)/1.42</f>
        <v>47.887323943661976</v>
      </c>
      <c r="M36" s="41">
        <f t="shared" si="12"/>
        <v>52.112676056338032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103223230</v>
      </c>
      <c r="T36" s="45">
        <f t="shared" si="4"/>
        <v>5087</v>
      </c>
      <c r="U36" s="46">
        <f t="shared" si="5"/>
        <v>122.08799999999999</v>
      </c>
      <c r="V36" s="46">
        <f t="shared" si="6"/>
        <v>5.0869999999999997</v>
      </c>
      <c r="W36" s="96">
        <v>3.2</v>
      </c>
      <c r="X36" s="96">
        <f t="shared" si="1"/>
        <v>3.2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17787193</v>
      </c>
      <c r="AJ36" s="45">
        <f t="shared" si="7"/>
        <v>1108</v>
      </c>
      <c r="AK36" s="48">
        <f t="shared" si="9"/>
        <v>217.81010418714371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0.3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122000</v>
      </c>
      <c r="U37" s="46">
        <f t="shared" si="5"/>
        <v>2928</v>
      </c>
      <c r="V37" s="46">
        <f t="shared" si="6"/>
        <v>122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27158</v>
      </c>
      <c r="AK37" s="61">
        <f>$AJ$37/$V37</f>
        <v>222.60655737704917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0.99500000000000011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214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209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226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268</v>
      </c>
      <c r="C52" s="184"/>
      <c r="D52" s="184"/>
      <c r="E52" s="184"/>
      <c r="F52" s="130"/>
      <c r="G52" s="130"/>
      <c r="H52" s="156"/>
      <c r="I52" s="156"/>
      <c r="J52" s="156"/>
      <c r="K52" s="156"/>
      <c r="L52" s="156"/>
      <c r="M52" s="156"/>
      <c r="N52" s="131"/>
      <c r="O52" s="131"/>
      <c r="P52" s="131"/>
      <c r="Q52" s="114"/>
      <c r="R52" s="104"/>
      <c r="S52" s="104"/>
      <c r="T52" s="104"/>
      <c r="U52" s="114"/>
      <c r="V52" s="114"/>
      <c r="W52" s="114"/>
      <c r="X52" s="94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49"/>
      <c r="F53" s="149"/>
      <c r="G53" s="149"/>
      <c r="H53" s="149"/>
      <c r="I53" s="149"/>
      <c r="J53" s="149"/>
      <c r="K53" s="162"/>
      <c r="L53" s="143"/>
      <c r="M53" s="105"/>
      <c r="N53" s="105"/>
      <c r="O53" s="105"/>
      <c r="P53" s="105"/>
      <c r="Q53" s="105"/>
      <c r="R53" s="105"/>
      <c r="S53" s="105"/>
      <c r="T53" s="105"/>
      <c r="U53" s="105"/>
      <c r="V53" s="147"/>
      <c r="W53" s="147"/>
      <c r="X53" s="148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15" t="s">
        <v>272</v>
      </c>
      <c r="C54" s="166"/>
      <c r="D54" s="166"/>
      <c r="E54" s="115"/>
      <c r="F54" s="115"/>
      <c r="G54" s="115"/>
      <c r="H54" s="115"/>
      <c r="I54" s="149"/>
      <c r="J54" s="104"/>
      <c r="K54" s="104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47"/>
      <c r="W54" s="147"/>
      <c r="X54" s="148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83" t="s">
        <v>172</v>
      </c>
      <c r="C55" s="166"/>
      <c r="D55" s="166"/>
      <c r="E55" s="149"/>
      <c r="F55" s="149"/>
      <c r="G55" s="149"/>
      <c r="H55" s="149"/>
      <c r="I55" s="149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7"/>
      <c r="W55" s="147"/>
      <c r="X55" s="148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173</v>
      </c>
      <c r="C56" s="166"/>
      <c r="D56" s="170"/>
      <c r="E56" s="170"/>
      <c r="F56" s="114"/>
      <c r="G56" s="114"/>
      <c r="H56" s="104"/>
      <c r="I56" s="10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174</v>
      </c>
      <c r="C57" s="149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15" t="s">
        <v>269</v>
      </c>
      <c r="C58" s="115"/>
      <c r="D58" s="100"/>
      <c r="E58" s="100"/>
      <c r="F58" s="115"/>
      <c r="G58" s="115"/>
      <c r="H58" s="9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209" t="s">
        <v>176</v>
      </c>
      <c r="C59" s="115"/>
      <c r="D59" s="162"/>
      <c r="E59" s="162"/>
      <c r="F59" s="162"/>
      <c r="G59" s="162"/>
      <c r="H59" s="162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 t="s">
        <v>224</v>
      </c>
      <c r="C60" s="115"/>
      <c r="D60" s="100"/>
      <c r="E60" s="100"/>
      <c r="F60" s="115"/>
      <c r="G60" s="115"/>
      <c r="H60" s="92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15"/>
      <c r="D61" s="162"/>
      <c r="E61" s="162"/>
      <c r="F61" s="162"/>
      <c r="G61" s="162"/>
      <c r="H61" s="162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AV61" s="86"/>
      <c r="AW61" s="86"/>
      <c r="AX61" s="86"/>
      <c r="AY61" s="86"/>
      <c r="AZ61" s="86"/>
      <c r="BA61" s="86"/>
      <c r="BB61" s="86"/>
    </row>
    <row r="62" spans="1:54" x14ac:dyDescent="0.35">
      <c r="B62" s="158"/>
      <c r="C62" s="115"/>
      <c r="D62" s="162"/>
      <c r="E62" s="162"/>
      <c r="F62" s="162"/>
      <c r="G62" s="162"/>
      <c r="H62" s="162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AV62" s="86"/>
      <c r="AW62" s="86"/>
      <c r="AX62" s="86"/>
      <c r="AY62" s="86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AV63" s="86"/>
      <c r="AW63" s="86"/>
      <c r="AX63" s="86"/>
      <c r="AY63" s="86"/>
      <c r="AZ63" s="86"/>
      <c r="BA63" s="86"/>
      <c r="BB63" s="86"/>
    </row>
    <row r="64" spans="1:54" x14ac:dyDescent="0.35">
      <c r="Q64" s="12"/>
      <c r="R64" s="87"/>
      <c r="S64" s="87"/>
      <c r="T64" s="87"/>
      <c r="U64" s="87"/>
      <c r="AV64" s="86"/>
      <c r="AW64" s="86"/>
      <c r="AX64" s="86"/>
      <c r="AY64" s="86"/>
      <c r="AZ64" s="86"/>
      <c r="BA64" s="86"/>
      <c r="BB64" s="86"/>
    </row>
    <row r="65" spans="17:54" x14ac:dyDescent="0.35">
      <c r="Q65" s="12"/>
      <c r="R65" s="87"/>
      <c r="S65" s="87"/>
      <c r="T65" s="87"/>
      <c r="U65" s="87"/>
      <c r="V65" s="87"/>
      <c r="AV65" s="86"/>
      <c r="AW65" s="86"/>
      <c r="AX65" s="86"/>
      <c r="AY65" s="86"/>
      <c r="AZ65" s="86"/>
      <c r="BA65" s="86"/>
      <c r="BB65" s="86"/>
    </row>
    <row r="66" spans="17:54" x14ac:dyDescent="0.35">
      <c r="Q66" s="12"/>
      <c r="R66" s="87"/>
      <c r="S66" s="87"/>
      <c r="T66" s="87"/>
      <c r="U66" s="87"/>
      <c r="V66" s="87"/>
      <c r="AV66" s="86"/>
      <c r="AW66" s="86"/>
      <c r="AX66" s="86"/>
      <c r="AY66" s="86"/>
      <c r="AZ66" s="86"/>
      <c r="BA66" s="86"/>
      <c r="BB66" s="86"/>
    </row>
    <row r="67" spans="17:54" x14ac:dyDescent="0.35">
      <c r="Q67" s="12"/>
      <c r="R67" s="87"/>
      <c r="V67" s="87"/>
      <c r="AV67" s="86"/>
      <c r="AW67" s="86"/>
      <c r="AX67" s="86"/>
      <c r="AY67" s="86"/>
      <c r="AZ67" s="86"/>
      <c r="BA67" s="86"/>
      <c r="BB67" s="86"/>
    </row>
    <row r="68" spans="17:54" x14ac:dyDescent="0.35">
      <c r="Q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17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17:54" x14ac:dyDescent="0.35">
      <c r="Q70" s="12"/>
      <c r="R70" s="87"/>
      <c r="S70" s="87"/>
      <c r="T70" s="87"/>
      <c r="U70" s="87"/>
      <c r="V70" s="87"/>
      <c r="W70" s="87"/>
      <c r="AV70" s="86"/>
      <c r="AW70" s="86"/>
      <c r="AX70" s="86"/>
      <c r="AY70" s="86"/>
      <c r="AZ70" s="86"/>
      <c r="BA70" s="86"/>
      <c r="BB70" s="86"/>
    </row>
    <row r="71" spans="17:54" x14ac:dyDescent="0.35">
      <c r="Q71" s="12"/>
      <c r="R71" s="87"/>
      <c r="V71" s="87"/>
      <c r="W71" s="87"/>
      <c r="AV71" s="86"/>
      <c r="AW71" s="86"/>
      <c r="AX71" s="86"/>
      <c r="AY71" s="86"/>
      <c r="AZ71" s="86"/>
      <c r="BA71" s="86"/>
      <c r="BB71" s="86"/>
    </row>
    <row r="72" spans="17:54" x14ac:dyDescent="0.35">
      <c r="BB72" s="86"/>
    </row>
    <row r="83" spans="48:54" x14ac:dyDescent="0.35">
      <c r="AV83" s="86"/>
      <c r="AW83" s="86"/>
      <c r="AX83" s="86"/>
      <c r="AY83" s="86"/>
      <c r="AZ83" s="86"/>
      <c r="BA83" s="86"/>
    </row>
    <row r="84" spans="48:54" x14ac:dyDescent="0.35">
      <c r="BB84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0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3" name="Range2_2_12_1_3_1_2_1_1_1_1_2_1_1_1_1_1_1_1_1_1_1_1"/>
    <protectedRange sqref="F58:F63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56:H57" name="Range2_12_5_1_1_1_2_2_1_1_1_1_1_1_1_1_1_1_1_2_1_1_1_2_1_1_1_1_1_1_1_1_1_1_1_1_1_1_1_1_2_1_1_1_1_1_1_1_1_1_2_1_1_3_1_1_1_3_1_1_1_1_1_1_1_1_1_1_1_1_1_1_1_1_1_1_1_1_1_1_2_1_1_1_1_1_1_1_1_1_1_1_2_2_1_2_1_1_1_1_1_1_1_1_1_1_1_1_1"/>
    <protectedRange sqref="U53:V63" name="Range2_12_5_1_1_2_1_1_1_2_1_1_1_1_1_1_1_1_1_1_1_1_1"/>
    <protectedRange sqref="P53:T63" name="Range2_12_1_6_1_1_2_1_1_1_2_1_1_1_1_1_1_1_1_1_1_1_1_1"/>
    <protectedRange sqref="N53:O63" name="Range2_2_12_1_7_1_1_3_1_1_1_2_1_1_1_1_1_1_1_1_1_1_1_1_1"/>
    <protectedRange sqref="M53 L54:M63" name="Range2_2_12_1_4_1_1_1_1_1_1_1_1_1_1_1_1_1_1_1_2_1_1_1_2_1_1_1_1_1_1_1_1_1_1_1_1_1"/>
    <protectedRange sqref="K54:K63" name="Range2_2_12_1_7_1_1_2_2_1_2_2_1_1_1_2_1_1_1_1_1_1_1_1_1_1_1_1_1"/>
    <protectedRange sqref="J54:J55 I56:J63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4:W4" name="Range1_16_1_1_1_1_1_1_2_2_2_2_2_2_2_2_2_2_2_2_2_2_2_2_2_2_2_2_2_2_2_1_2_2_2_2_2_2_2_2_2_2_3_2_2_2_2_2_2_2_2_2_2_1_1_1_1_2_2_1_1_1_1_1_1_1_1_1_1_1_1_1_1_3_1_2_1_1_1_1_1_2_2_2_2_1_1_1_1_2_1_1"/>
    <protectedRange sqref="R3:W3" name="Range1_16_1_1_1_1_1_1_2_2_2_2_2_2_2_2_2_2_2_2_2_2_2_2_2_2_2_2_2_2_2_1_2_2_2_2_2_2_2_2_2_2_3_2_2_2_2_2_2_2_2_2_2_1_1_1_1_2_2_1_1_1_1_1_1_1_1_1_1_1_1_1_1_3_1_2_1_1_1_1_1_1_2_1_1_1_1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5"/>
    <protectedRange sqref="B54" name="Range2_12_5_1_1_1_2_1_1_1_1_1_1_1_1_1_1_1_2_1_1_1_1_1_1_1_1_1_1_1_1_1_1_1_1_1_1_1_1_1_1_2_1_1_1_1_1_1_1_1_1_1_1_2_1_1_1_1_2_1_1_1_1_1_1_1_1_1_1_1_2_1_1_1_1_1_1_1_1_1_1_1_1_1_1_3_1_1_1_1_2_1_1_1_1_1_1_1_2_1_1_1_1_1_1_1_1_1_1_1_1_1_1_1_1_1_1_1_1_1_1_1_1__7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67" priority="5" operator="containsText" text="N/A">
      <formula>NOT(ISERROR(SEARCH("N/A",Z13)))</formula>
    </cfRule>
    <cfRule type="cellIs" dxfId="66" priority="17" operator="equal">
      <formula>0</formula>
    </cfRule>
  </conditionalFormatting>
  <conditionalFormatting sqref="Z13:AG36">
    <cfRule type="cellIs" dxfId="65" priority="16" operator="greaterThanOrEqual">
      <formula>1185</formula>
    </cfRule>
  </conditionalFormatting>
  <conditionalFormatting sqref="Z13:AG36">
    <cfRule type="cellIs" dxfId="64" priority="15" operator="between">
      <formula>0.1</formula>
      <formula>1184</formula>
    </cfRule>
  </conditionalFormatting>
  <conditionalFormatting sqref="Z8:Z9 AT13:AT36 AL37:AQ37 AL13:AR36">
    <cfRule type="cellIs" dxfId="63" priority="14" operator="equal">
      <formula>0</formula>
    </cfRule>
  </conditionalFormatting>
  <conditionalFormatting sqref="Z8:Z9 AT13:AT36 AL37:AQ37 AL13:AR36">
    <cfRule type="cellIs" dxfId="62" priority="13" operator="greaterThan">
      <formula>1179</formula>
    </cfRule>
  </conditionalFormatting>
  <conditionalFormatting sqref="Z8:Z9 AT13:AT36 AL37:AQ37 AL13:AR36">
    <cfRule type="cellIs" dxfId="61" priority="12" operator="greaterThan">
      <formula>99</formula>
    </cfRule>
  </conditionalFormatting>
  <conditionalFormatting sqref="Z8:Z9 AT13:AT36 AL37:AQ37 AL13:AR36">
    <cfRule type="cellIs" dxfId="60" priority="11" operator="greaterThan">
      <formula>0.99</formula>
    </cfRule>
  </conditionalFormatting>
  <conditionalFormatting sqref="AD8:AD9">
    <cfRule type="cellIs" dxfId="59" priority="10" operator="equal">
      <formula>0</formula>
    </cfRule>
  </conditionalFormatting>
  <conditionalFormatting sqref="AD8:AD9">
    <cfRule type="cellIs" dxfId="58" priority="9" operator="greaterThan">
      <formula>1179</formula>
    </cfRule>
  </conditionalFormatting>
  <conditionalFormatting sqref="AD8:AD9">
    <cfRule type="cellIs" dxfId="57" priority="8" operator="greaterThan">
      <formula>99</formula>
    </cfRule>
  </conditionalFormatting>
  <conditionalFormatting sqref="AD8:AD9">
    <cfRule type="cellIs" dxfId="56" priority="7" operator="greaterThan">
      <formula>0.99</formula>
    </cfRule>
  </conditionalFormatting>
  <conditionalFormatting sqref="AK13:AK36">
    <cfRule type="cellIs" dxfId="55" priority="6" operator="greaterThan">
      <formula>$AK$8</formula>
    </cfRule>
  </conditionalFormatting>
  <conditionalFormatting sqref="AS13:AS36">
    <cfRule type="containsText" dxfId="54" priority="1" operator="containsText" text="N/A">
      <formula>NOT(ISERROR(SEARCH("N/A",AS13)))</formula>
    </cfRule>
    <cfRule type="cellIs" dxfId="53" priority="4" operator="equal">
      <formula>0</formula>
    </cfRule>
  </conditionalFormatting>
  <conditionalFormatting sqref="AS13:AS36">
    <cfRule type="cellIs" dxfId="52" priority="3" operator="greaterThanOrEqual">
      <formula>1185</formula>
    </cfRule>
  </conditionalFormatting>
  <conditionalFormatting sqref="AS13:AS36">
    <cfRule type="cellIs" dxfId="51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B00-000000000000}">
      <formula1>$BB$11:$BB$42</formula1>
    </dataValidation>
    <dataValidation type="list" allowBlank="1" showInputMessage="1" showErrorMessage="1" sqref="J13:J36" xr:uid="{00000000-0002-0000-1B00-000001000000}">
      <formula1>$AY$11:$AY$21</formula1>
    </dataValidation>
    <dataValidation type="list" allowBlank="1" showInputMessage="1" showErrorMessage="1" sqref="AS8:AT9 P11:P12 N11:N12 D8:E9 Q8:V9" xr:uid="{00000000-0002-0000-1B00-000002000000}">
      <formula1>#REF!</formula1>
    </dataValidation>
    <dataValidation type="list" allowBlank="1" showInputMessage="1" showErrorMessage="1" sqref="AY33:AZ33" xr:uid="{00000000-0002-0000-1B00-000003000000}">
      <formula1>$AY$26:$AY$30</formula1>
    </dataValidation>
  </dataValidations>
  <hyperlinks>
    <hyperlink ref="J10:J11" location="'1'!AH8" display="Plant Status" xr:uid="{00000000-0004-0000-1B00-000000000000}"/>
  </hyperlinks>
  <pageMargins left="0.7" right="0.7" top="0.75" bottom="0.75" header="0.3" footer="0.3"/>
  <pageSetup paperSize="9" orientation="portrait" horizontalDpi="4294967293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7030A0"/>
  </sheetPr>
  <dimension ref="A2:BB84"/>
  <sheetViews>
    <sheetView topLeftCell="A37" zoomScaleNormal="100" workbookViewId="0">
      <selection activeCell="B56" sqref="B56:B58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150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145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69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43310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27382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1"/>
      <c r="K9" s="262"/>
      <c r="L9" s="263"/>
      <c r="M9" s="264"/>
      <c r="N9" s="29"/>
      <c r="O9" s="29"/>
      <c r="P9" s="29"/>
      <c r="Q9" s="121"/>
      <c r="R9" s="121"/>
      <c r="S9" s="121"/>
      <c r="T9" s="122"/>
      <c r="U9" s="123"/>
      <c r="V9" s="124"/>
      <c r="W9" s="262"/>
      <c r="X9" s="264"/>
      <c r="Y9" s="30"/>
      <c r="Z9" s="265"/>
      <c r="AA9" s="125"/>
      <c r="AB9" s="126"/>
      <c r="AC9" s="126"/>
      <c r="AD9" s="125"/>
      <c r="AE9" s="125"/>
      <c r="AF9" s="127"/>
      <c r="AG9" s="26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70" t="s">
        <v>51</v>
      </c>
      <c r="X10" s="270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68" t="s">
        <v>55</v>
      </c>
      <c r="AI10" s="268" t="s">
        <v>56</v>
      </c>
      <c r="AJ10" s="314" t="s">
        <v>57</v>
      </c>
      <c r="AK10" s="329" t="s">
        <v>58</v>
      </c>
      <c r="AL10" s="270" t="s">
        <v>59</v>
      </c>
      <c r="AM10" s="270" t="s">
        <v>60</v>
      </c>
      <c r="AN10" s="270" t="s">
        <v>61</v>
      </c>
      <c r="AO10" s="270" t="s">
        <v>62</v>
      </c>
      <c r="AP10" s="270" t="s">
        <v>63</v>
      </c>
      <c r="AQ10" s="270" t="s">
        <v>124</v>
      </c>
      <c r="AR10" s="270" t="s">
        <v>64</v>
      </c>
      <c r="AS10" s="270" t="s">
        <v>65</v>
      </c>
      <c r="AT10" s="312" t="s">
        <v>66</v>
      </c>
      <c r="AU10" s="270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0" t="s">
        <v>72</v>
      </c>
      <c r="C11" s="270" t="s">
        <v>73</v>
      </c>
      <c r="D11" s="270" t="s">
        <v>74</v>
      </c>
      <c r="E11" s="270" t="s">
        <v>75</v>
      </c>
      <c r="F11" s="270" t="s">
        <v>127</v>
      </c>
      <c r="G11" s="270" t="s">
        <v>74</v>
      </c>
      <c r="H11" s="270" t="s">
        <v>75</v>
      </c>
      <c r="I11" s="270" t="s">
        <v>127</v>
      </c>
      <c r="J11" s="309"/>
      <c r="K11" s="270" t="s">
        <v>75</v>
      </c>
      <c r="L11" s="270" t="s">
        <v>75</v>
      </c>
      <c r="M11" s="270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28'!S36</f>
        <v>103223230</v>
      </c>
      <c r="T11" s="322"/>
      <c r="U11" s="323"/>
      <c r="V11" s="324"/>
      <c r="W11" s="270" t="s">
        <v>75</v>
      </c>
      <c r="X11" s="270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28'!AI36</f>
        <v>17787193</v>
      </c>
      <c r="AJ11" s="314"/>
      <c r="AK11" s="330"/>
      <c r="AL11" s="270" t="s">
        <v>84</v>
      </c>
      <c r="AM11" s="270" t="s">
        <v>84</v>
      </c>
      <c r="AN11" s="270" t="s">
        <v>84</v>
      </c>
      <c r="AO11" s="270" t="s">
        <v>84</v>
      </c>
      <c r="AP11" s="270" t="s">
        <v>84</v>
      </c>
      <c r="AQ11" s="270" t="s">
        <v>84</v>
      </c>
      <c r="AR11" s="270" t="s">
        <v>84</v>
      </c>
      <c r="AS11" s="1"/>
      <c r="AT11" s="313"/>
      <c r="AU11" s="267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43310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3</v>
      </c>
      <c r="G13" s="118">
        <v>70</v>
      </c>
      <c r="H13" s="150">
        <f t="shared" ref="H13:H36" si="0">G13/1.42</f>
        <v>49.295774647887328</v>
      </c>
      <c r="I13" s="150">
        <v>73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103228270</v>
      </c>
      <c r="T13" s="45">
        <f>IF(ISBLANK(S13),"-",S13-S11)</f>
        <v>5040</v>
      </c>
      <c r="U13" s="46">
        <f>T13*24/1000</f>
        <v>120.96</v>
      </c>
      <c r="V13" s="46">
        <f>T13/1000</f>
        <v>5.04</v>
      </c>
      <c r="W13" s="96">
        <v>4.7</v>
      </c>
      <c r="X13" s="96">
        <f t="shared" ref="X13:X36" si="1">W13</f>
        <v>4.7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17788309</v>
      </c>
      <c r="AJ13" s="45">
        <f>IF(ISBLANK(AI13),"-",AI13-AI11)</f>
        <v>1116</v>
      </c>
      <c r="AK13" s="48">
        <f>AJ13/V13</f>
        <v>221.42857142857142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43310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70</v>
      </c>
      <c r="H14" s="150">
        <f t="shared" si="0"/>
        <v>49.295774647887328</v>
      </c>
      <c r="I14" s="150">
        <v>73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103233038</v>
      </c>
      <c r="T14" s="45">
        <f t="shared" ref="T14:T36" si="4">IF(ISBLANK(S14),"-",S14-S13)</f>
        <v>4768</v>
      </c>
      <c r="U14" s="46">
        <f t="shared" ref="U14:U37" si="5">T14*24/1000</f>
        <v>114.432</v>
      </c>
      <c r="V14" s="46">
        <f t="shared" ref="V14:V37" si="6">T14/1000</f>
        <v>4.7679999999999998</v>
      </c>
      <c r="W14" s="96">
        <v>6.2</v>
      </c>
      <c r="X14" s="96">
        <f t="shared" si="1"/>
        <v>6.2</v>
      </c>
      <c r="Y14" s="97" t="s">
        <v>139</v>
      </c>
      <c r="Z14" s="154">
        <v>0</v>
      </c>
      <c r="AA14" s="154">
        <v>0</v>
      </c>
      <c r="AB14" s="154">
        <v>1188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17789428</v>
      </c>
      <c r="AJ14" s="45">
        <f t="shared" ref="AJ14:AJ36" si="7">IF(ISBLANK(AI14),"-",AI14-AI13)</f>
        <v>1119</v>
      </c>
      <c r="AK14" s="48">
        <f>AJ14/V14</f>
        <v>234.68959731543626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0.95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43310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6</v>
      </c>
      <c r="G15" s="118">
        <v>72</v>
      </c>
      <c r="H15" s="150">
        <f t="shared" si="0"/>
        <v>50.70422535211268</v>
      </c>
      <c r="I15" s="150">
        <v>74</v>
      </c>
      <c r="J15" s="41" t="s">
        <v>88</v>
      </c>
      <c r="K15" s="41">
        <f t="shared" si="3"/>
        <v>45.774647887323944</v>
      </c>
      <c r="L15" s="42">
        <f>(G15-5)/1.42</f>
        <v>47.183098591549296</v>
      </c>
      <c r="M15" s="41">
        <f>L15+(6/1.42)</f>
        <v>51.408450704225352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103237853</v>
      </c>
      <c r="T15" s="45">
        <f>IF(ISBLANK(S15),"-",S15-S14)</f>
        <v>4815</v>
      </c>
      <c r="U15" s="46">
        <f t="shared" si="5"/>
        <v>115.56</v>
      </c>
      <c r="V15" s="46">
        <f t="shared" si="6"/>
        <v>4.8150000000000004</v>
      </c>
      <c r="W15" s="96">
        <v>7.7</v>
      </c>
      <c r="X15" s="96">
        <f t="shared" si="1"/>
        <v>7.7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17790549</v>
      </c>
      <c r="AJ15" s="45">
        <f t="shared" si="7"/>
        <v>1121</v>
      </c>
      <c r="AK15" s="48">
        <f t="shared" ref="AK15:AK36" si="9">AJ15/V15</f>
        <v>232.81412253374867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43310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7</v>
      </c>
      <c r="G16" s="118">
        <v>72</v>
      </c>
      <c r="H16" s="150">
        <f t="shared" si="0"/>
        <v>50.70422535211268</v>
      </c>
      <c r="I16" s="150">
        <v>74</v>
      </c>
      <c r="J16" s="41" t="s">
        <v>88</v>
      </c>
      <c r="K16" s="41">
        <f t="shared" si="3"/>
        <v>45.774647887323944</v>
      </c>
      <c r="L16" s="42">
        <f>(G16-5)/1.42</f>
        <v>47.183098591549296</v>
      </c>
      <c r="M16" s="41">
        <f>L16+(6/1.42)</f>
        <v>51.408450704225352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103242578</v>
      </c>
      <c r="T16" s="45">
        <f t="shared" si="4"/>
        <v>4725</v>
      </c>
      <c r="U16" s="46">
        <f t="shared" si="5"/>
        <v>113.4</v>
      </c>
      <c r="V16" s="46">
        <f t="shared" si="6"/>
        <v>4.7249999999999996</v>
      </c>
      <c r="W16" s="96">
        <v>9.1999999999999993</v>
      </c>
      <c r="X16" s="96">
        <f t="shared" si="1"/>
        <v>9.1999999999999993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17791660</v>
      </c>
      <c r="AJ16" s="45">
        <f t="shared" si="7"/>
        <v>1111</v>
      </c>
      <c r="AK16" s="48">
        <f t="shared" si="9"/>
        <v>235.13227513227514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43310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103247217</v>
      </c>
      <c r="T17" s="45">
        <f t="shared" si="4"/>
        <v>4639</v>
      </c>
      <c r="U17" s="46">
        <f t="shared" si="5"/>
        <v>111.336</v>
      </c>
      <c r="V17" s="46">
        <f t="shared" si="6"/>
        <v>4.6390000000000002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17792720</v>
      </c>
      <c r="AJ17" s="45">
        <f t="shared" si="7"/>
        <v>1060</v>
      </c>
      <c r="AK17" s="48">
        <f t="shared" si="9"/>
        <v>228.49752101746066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43310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9</v>
      </c>
      <c r="G18" s="118">
        <v>82</v>
      </c>
      <c r="H18" s="150">
        <f t="shared" si="0"/>
        <v>57.74647887323944</v>
      </c>
      <c r="I18" s="150">
        <v>80</v>
      </c>
      <c r="J18" s="41" t="s">
        <v>88</v>
      </c>
      <c r="K18" s="41">
        <f t="shared" si="3"/>
        <v>56.338028169014088</v>
      </c>
      <c r="L18" s="42">
        <f t="shared" ref="L18:L27" si="10">G18/1.42</f>
        <v>57.74647887323944</v>
      </c>
      <c r="M18" s="41">
        <f>L18+1.42</f>
        <v>59.166478873239441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103251854</v>
      </c>
      <c r="T18" s="45">
        <f t="shared" si="4"/>
        <v>4637</v>
      </c>
      <c r="U18" s="46">
        <f t="shared" si="5"/>
        <v>111.288</v>
      </c>
      <c r="V18" s="46">
        <f t="shared" si="6"/>
        <v>4.6369999999999996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1157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17793830</v>
      </c>
      <c r="AJ18" s="45">
        <f t="shared" si="7"/>
        <v>1110</v>
      </c>
      <c r="AK18" s="48">
        <f t="shared" si="9"/>
        <v>239.37890877722668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1.01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43310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9</v>
      </c>
      <c r="G19" s="118">
        <v>80</v>
      </c>
      <c r="H19" s="150">
        <f t="shared" si="0"/>
        <v>56.338028169014088</v>
      </c>
      <c r="I19" s="150">
        <v>78</v>
      </c>
      <c r="J19" s="41" t="s">
        <v>88</v>
      </c>
      <c r="K19" s="41">
        <f t="shared" si="3"/>
        <v>54.929577464788736</v>
      </c>
      <c r="L19" s="42">
        <f t="shared" si="10"/>
        <v>56.338028169014088</v>
      </c>
      <c r="M19" s="41">
        <f>L19+1.42</f>
        <v>57.758028169014089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103256587</v>
      </c>
      <c r="T19" s="45">
        <f t="shared" si="4"/>
        <v>4733</v>
      </c>
      <c r="U19" s="46">
        <f t="shared" si="5"/>
        <v>113.592</v>
      </c>
      <c r="V19" s="46">
        <f t="shared" si="6"/>
        <v>4.7329999999999997</v>
      </c>
      <c r="W19" s="96">
        <v>9.5</v>
      </c>
      <c r="X19" s="96">
        <f t="shared" si="1"/>
        <v>9.5</v>
      </c>
      <c r="Y19" s="97" t="s">
        <v>139</v>
      </c>
      <c r="Z19" s="154">
        <v>0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17794858</v>
      </c>
      <c r="AJ19" s="45">
        <f t="shared" si="7"/>
        <v>1028</v>
      </c>
      <c r="AK19" s="48">
        <f t="shared" si="9"/>
        <v>217.19839425311642</v>
      </c>
      <c r="AL19" s="151">
        <v>0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43310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8</v>
      </c>
      <c r="G20" s="118">
        <v>79</v>
      </c>
      <c r="H20" s="150">
        <f t="shared" si="0"/>
        <v>55.633802816901408</v>
      </c>
      <c r="I20" s="150">
        <v>77</v>
      </c>
      <c r="J20" s="41" t="s">
        <v>88</v>
      </c>
      <c r="K20" s="41">
        <f t="shared" si="3"/>
        <v>54.225352112676056</v>
      </c>
      <c r="L20" s="42">
        <f t="shared" si="10"/>
        <v>55.633802816901408</v>
      </c>
      <c r="M20" s="41">
        <f t="shared" ref="M20:M24" si="11">L20+1.42</f>
        <v>57.05380281690141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103261645</v>
      </c>
      <c r="T20" s="45">
        <f t="shared" si="4"/>
        <v>5058</v>
      </c>
      <c r="U20" s="46">
        <f>T20*24/1000</f>
        <v>121.392</v>
      </c>
      <c r="V20" s="46">
        <f t="shared" si="6"/>
        <v>5.0579999999999998</v>
      </c>
      <c r="W20" s="96">
        <v>9.5</v>
      </c>
      <c r="X20" s="96">
        <f t="shared" si="1"/>
        <v>9.5</v>
      </c>
      <c r="Y20" s="97" t="s">
        <v>139</v>
      </c>
      <c r="Z20" s="154">
        <v>0</v>
      </c>
      <c r="AA20" s="154">
        <v>0</v>
      </c>
      <c r="AB20" s="154">
        <v>1186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17795960</v>
      </c>
      <c r="AJ20" s="45">
        <f t="shared" si="7"/>
        <v>1102</v>
      </c>
      <c r="AK20" s="48">
        <f t="shared" si="9"/>
        <v>217.87267694741004</v>
      </c>
      <c r="AL20" s="151">
        <v>0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43310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8</v>
      </c>
      <c r="G21" s="118">
        <v>77</v>
      </c>
      <c r="H21" s="150">
        <f t="shared" si="0"/>
        <v>54.225352112676056</v>
      </c>
      <c r="I21" s="150">
        <v>75</v>
      </c>
      <c r="J21" s="41" t="s">
        <v>88</v>
      </c>
      <c r="K21" s="41">
        <f t="shared" si="3"/>
        <v>52.816901408450704</v>
      </c>
      <c r="L21" s="42">
        <f t="shared" si="10"/>
        <v>54.225352112676056</v>
      </c>
      <c r="M21" s="41">
        <f t="shared" si="11"/>
        <v>55.645352112676058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103267248</v>
      </c>
      <c r="T21" s="45">
        <f t="shared" si="4"/>
        <v>5603</v>
      </c>
      <c r="U21" s="46">
        <f t="shared" si="5"/>
        <v>134.47200000000001</v>
      </c>
      <c r="V21" s="46">
        <f t="shared" si="6"/>
        <v>5.6029999999999998</v>
      </c>
      <c r="W21" s="96">
        <v>9</v>
      </c>
      <c r="X21" s="96">
        <f t="shared" si="1"/>
        <v>9</v>
      </c>
      <c r="Y21" s="97" t="s">
        <v>168</v>
      </c>
      <c r="Z21" s="154">
        <v>1037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17797149</v>
      </c>
      <c r="AJ21" s="45">
        <f t="shared" si="7"/>
        <v>1189</v>
      </c>
      <c r="AK21" s="48">
        <f t="shared" si="9"/>
        <v>212.20774585043728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43310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6</v>
      </c>
      <c r="G22" s="118">
        <v>76</v>
      </c>
      <c r="H22" s="150">
        <f t="shared" si="0"/>
        <v>53.521126760563384</v>
      </c>
      <c r="I22" s="150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103271943</v>
      </c>
      <c r="T22" s="45">
        <f t="shared" si="4"/>
        <v>4695</v>
      </c>
      <c r="U22" s="46">
        <f t="shared" si="5"/>
        <v>112.68</v>
      </c>
      <c r="V22" s="46">
        <f t="shared" si="6"/>
        <v>4.6950000000000003</v>
      </c>
      <c r="W22" s="96">
        <v>8.3000000000000007</v>
      </c>
      <c r="X22" s="96">
        <f t="shared" si="1"/>
        <v>8.3000000000000007</v>
      </c>
      <c r="Y22" s="97" t="s">
        <v>168</v>
      </c>
      <c r="Z22" s="154">
        <v>1047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17798370</v>
      </c>
      <c r="AJ22" s="45">
        <f t="shared" si="7"/>
        <v>1221</v>
      </c>
      <c r="AK22" s="48">
        <f t="shared" si="9"/>
        <v>260.06389776357827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0.98</v>
      </c>
      <c r="AV22" s="50" t="s">
        <v>126</v>
      </c>
      <c r="BB22" s="136" t="s">
        <v>156</v>
      </c>
    </row>
    <row r="23" spans="1:54" x14ac:dyDescent="0.35">
      <c r="A23" s="331">
        <v>43310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5</v>
      </c>
      <c r="G23" s="118">
        <v>76</v>
      </c>
      <c r="H23" s="150">
        <f t="shared" si="0"/>
        <v>53.521126760563384</v>
      </c>
      <c r="I23" s="150">
        <v>74</v>
      </c>
      <c r="J23" s="41" t="s">
        <v>88</v>
      </c>
      <c r="K23" s="41">
        <f t="shared" si="3"/>
        <v>52.112676056338032</v>
      </c>
      <c r="L23" s="42">
        <f t="shared" si="10"/>
        <v>53.521126760563384</v>
      </c>
      <c r="M23" s="41">
        <f t="shared" si="11"/>
        <v>54.941126760563385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103276571</v>
      </c>
      <c r="T23" s="45">
        <f t="shared" si="4"/>
        <v>4628</v>
      </c>
      <c r="U23" s="46">
        <f t="shared" si="5"/>
        <v>111.072</v>
      </c>
      <c r="V23" s="46">
        <f t="shared" si="6"/>
        <v>4.6280000000000001</v>
      </c>
      <c r="W23" s="96">
        <v>7.6</v>
      </c>
      <c r="X23" s="96">
        <f>W23</f>
        <v>7.6</v>
      </c>
      <c r="Y23" s="97" t="s">
        <v>168</v>
      </c>
      <c r="Z23" s="154">
        <v>1048</v>
      </c>
      <c r="AA23" s="154">
        <v>0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17799562</v>
      </c>
      <c r="AJ23" s="45">
        <f t="shared" si="7"/>
        <v>1192</v>
      </c>
      <c r="AK23" s="48">
        <f t="shared" si="9"/>
        <v>257.56266205704407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43310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4</v>
      </c>
      <c r="G24" s="118">
        <v>75</v>
      </c>
      <c r="H24" s="150">
        <f t="shared" si="0"/>
        <v>52.816901408450704</v>
      </c>
      <c r="I24" s="150">
        <v>73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103281060</v>
      </c>
      <c r="T24" s="45">
        <f t="shared" si="4"/>
        <v>4489</v>
      </c>
      <c r="U24" s="46">
        <f>T24*24/1000</f>
        <v>107.736</v>
      </c>
      <c r="V24" s="46">
        <f t="shared" si="6"/>
        <v>4.4889999999999999</v>
      </c>
      <c r="W24" s="96">
        <v>6.8</v>
      </c>
      <c r="X24" s="96">
        <f t="shared" si="1"/>
        <v>6.8</v>
      </c>
      <c r="Y24" s="97" t="s">
        <v>168</v>
      </c>
      <c r="Z24" s="154">
        <v>1047</v>
      </c>
      <c r="AA24" s="154">
        <v>0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17800773</v>
      </c>
      <c r="AJ24" s="45">
        <f t="shared" si="7"/>
        <v>1211</v>
      </c>
      <c r="AK24" s="48">
        <f t="shared" si="9"/>
        <v>269.77055023390511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43310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2</v>
      </c>
      <c r="G25" s="118">
        <v>74</v>
      </c>
      <c r="H25" s="150">
        <f t="shared" si="0"/>
        <v>52.112676056338032</v>
      </c>
      <c r="I25" s="150">
        <v>72</v>
      </c>
      <c r="J25" s="41" t="s">
        <v>88</v>
      </c>
      <c r="K25" s="41">
        <f t="shared" si="3"/>
        <v>50.70422535211268</v>
      </c>
      <c r="L25" s="42">
        <f t="shared" si="10"/>
        <v>52.112676056338032</v>
      </c>
      <c r="M25" s="41">
        <f>L25+(6/1.42)</f>
        <v>56.338028169014088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103285615</v>
      </c>
      <c r="T25" s="45">
        <f t="shared" si="4"/>
        <v>4555</v>
      </c>
      <c r="U25" s="46">
        <f>T25*24/1000</f>
        <v>109.32</v>
      </c>
      <c r="V25" s="46">
        <f t="shared" si="6"/>
        <v>4.5549999999999997</v>
      </c>
      <c r="W25" s="96">
        <v>6.2</v>
      </c>
      <c r="X25" s="96">
        <f t="shared" si="1"/>
        <v>6.2</v>
      </c>
      <c r="Y25" s="97" t="s">
        <v>168</v>
      </c>
      <c r="Z25" s="154">
        <v>1047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17801966</v>
      </c>
      <c r="AJ25" s="45">
        <f t="shared" si="7"/>
        <v>1193</v>
      </c>
      <c r="AK25" s="48">
        <f t="shared" si="9"/>
        <v>261.90998902305159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43310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1</v>
      </c>
      <c r="G26" s="118">
        <v>74</v>
      </c>
      <c r="H26" s="150">
        <f t="shared" si="0"/>
        <v>52.112676056338032</v>
      </c>
      <c r="I26" s="150">
        <v>72</v>
      </c>
      <c r="J26" s="41" t="s">
        <v>88</v>
      </c>
      <c r="K26" s="41">
        <f t="shared" si="3"/>
        <v>50.70422535211268</v>
      </c>
      <c r="L26" s="42">
        <f t="shared" si="10"/>
        <v>52.112676056338032</v>
      </c>
      <c r="M26" s="41">
        <f t="shared" ref="M26:M36" si="12">L26+(6/1.42)</f>
        <v>56.338028169014088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103290138</v>
      </c>
      <c r="T26" s="45">
        <f t="shared" si="4"/>
        <v>4523</v>
      </c>
      <c r="U26" s="46">
        <f t="shared" si="5"/>
        <v>108.55200000000001</v>
      </c>
      <c r="V26" s="46">
        <f t="shared" si="6"/>
        <v>4.5229999999999997</v>
      </c>
      <c r="W26" s="96">
        <v>5.5</v>
      </c>
      <c r="X26" s="96">
        <f t="shared" si="1"/>
        <v>5.5</v>
      </c>
      <c r="Y26" s="97" t="s">
        <v>168</v>
      </c>
      <c r="Z26" s="154">
        <v>1047</v>
      </c>
      <c r="AA26" s="154">
        <v>0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17803130</v>
      </c>
      <c r="AJ26" s="45">
        <f t="shared" si="7"/>
        <v>1164</v>
      </c>
      <c r="AK26" s="48">
        <f t="shared" si="9"/>
        <v>257.35131549856294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v>0</v>
      </c>
      <c r="AU26" s="119">
        <v>1.03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43310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0</v>
      </c>
      <c r="G27" s="118">
        <v>74</v>
      </c>
      <c r="H27" s="150">
        <f t="shared" si="0"/>
        <v>52.112676056338032</v>
      </c>
      <c r="I27" s="150">
        <v>72</v>
      </c>
      <c r="J27" s="41" t="s">
        <v>88</v>
      </c>
      <c r="K27" s="41">
        <f t="shared" si="3"/>
        <v>50.70422535211268</v>
      </c>
      <c r="L27" s="42">
        <f t="shared" si="10"/>
        <v>52.112676056338032</v>
      </c>
      <c r="M27" s="41">
        <f t="shared" si="12"/>
        <v>56.338028169014088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103295075</v>
      </c>
      <c r="T27" s="45">
        <f t="shared" si="4"/>
        <v>4937</v>
      </c>
      <c r="U27" s="46">
        <f t="shared" si="5"/>
        <v>118.488</v>
      </c>
      <c r="V27" s="46">
        <f t="shared" si="6"/>
        <v>4.9370000000000003</v>
      </c>
      <c r="W27" s="96">
        <v>4.8</v>
      </c>
      <c r="X27" s="96">
        <f t="shared" si="1"/>
        <v>4.8</v>
      </c>
      <c r="Y27" s="97" t="s">
        <v>168</v>
      </c>
      <c r="Z27" s="154">
        <v>1047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17804322</v>
      </c>
      <c r="AJ27" s="45">
        <f t="shared" si="7"/>
        <v>1192</v>
      </c>
      <c r="AK27" s="48">
        <f t="shared" si="9"/>
        <v>241.44217135912496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43310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-1</v>
      </c>
      <c r="G28" s="118">
        <v>74</v>
      </c>
      <c r="H28" s="150">
        <f t="shared" si="0"/>
        <v>52.112676056338032</v>
      </c>
      <c r="I28" s="150">
        <v>72</v>
      </c>
      <c r="J28" s="41" t="s">
        <v>88</v>
      </c>
      <c r="K28" s="41">
        <f t="shared" si="3"/>
        <v>48.591549295774648</v>
      </c>
      <c r="L28" s="42">
        <f>(G28-3)/1.42</f>
        <v>50</v>
      </c>
      <c r="M28" s="41">
        <f t="shared" si="12"/>
        <v>54.225352112676056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103300090</v>
      </c>
      <c r="T28" s="45">
        <f t="shared" si="4"/>
        <v>5015</v>
      </c>
      <c r="U28" s="46">
        <f t="shared" si="5"/>
        <v>120.36</v>
      </c>
      <c r="V28" s="46">
        <f t="shared" si="6"/>
        <v>5.0149999999999997</v>
      </c>
      <c r="W28" s="96">
        <v>4.2</v>
      </c>
      <c r="X28" s="96">
        <f t="shared" si="1"/>
        <v>4.2</v>
      </c>
      <c r="Y28" s="97" t="s">
        <v>168</v>
      </c>
      <c r="Z28" s="154">
        <v>1046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17805499</v>
      </c>
      <c r="AJ28" s="45">
        <f>IF(ISBLANK(AI28),"-",AI28-AI27)</f>
        <v>1177</v>
      </c>
      <c r="AK28" s="48">
        <f t="shared" si="9"/>
        <v>234.69591226321037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43310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-2</v>
      </c>
      <c r="G29" s="118">
        <v>75</v>
      </c>
      <c r="H29" s="150">
        <f t="shared" si="0"/>
        <v>52.816901408450704</v>
      </c>
      <c r="I29" s="150">
        <v>73</v>
      </c>
      <c r="J29" s="41" t="s">
        <v>88</v>
      </c>
      <c r="K29" s="41">
        <f t="shared" si="3"/>
        <v>49.295774647887328</v>
      </c>
      <c r="L29" s="42">
        <f t="shared" ref="L29:L34" si="13">(G29-3)/1.42</f>
        <v>50.70422535211268</v>
      </c>
      <c r="M29" s="41">
        <f t="shared" si="12"/>
        <v>54.929577464788736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103305149</v>
      </c>
      <c r="T29" s="45">
        <f t="shared" si="4"/>
        <v>5059</v>
      </c>
      <c r="U29" s="46">
        <f t="shared" si="5"/>
        <v>121.416</v>
      </c>
      <c r="V29" s="46">
        <f t="shared" si="6"/>
        <v>5.0590000000000002</v>
      </c>
      <c r="W29" s="96">
        <v>3.5</v>
      </c>
      <c r="X29" s="96">
        <f t="shared" si="1"/>
        <v>3.5</v>
      </c>
      <c r="Y29" s="97" t="s">
        <v>168</v>
      </c>
      <c r="Z29" s="154">
        <v>1046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17806671</v>
      </c>
      <c r="AJ29" s="45">
        <f t="shared" si="7"/>
        <v>1172</v>
      </c>
      <c r="AK29" s="48">
        <f>AJ28/V29</f>
        <v>232.65467483692427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43310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-5</v>
      </c>
      <c r="G30" s="118">
        <v>74</v>
      </c>
      <c r="H30" s="150">
        <f t="shared" si="0"/>
        <v>52.112676056338032</v>
      </c>
      <c r="I30" s="150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103310089</v>
      </c>
      <c r="T30" s="45">
        <f t="shared" si="4"/>
        <v>4940</v>
      </c>
      <c r="U30" s="46">
        <f t="shared" si="5"/>
        <v>118.56</v>
      </c>
      <c r="V30" s="46">
        <f t="shared" si="6"/>
        <v>4.9400000000000004</v>
      </c>
      <c r="W30" s="96">
        <v>3</v>
      </c>
      <c r="X30" s="96">
        <f t="shared" si="1"/>
        <v>3</v>
      </c>
      <c r="Y30" s="97" t="s">
        <v>168</v>
      </c>
      <c r="Z30" s="154">
        <v>1047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17807802</v>
      </c>
      <c r="AJ30" s="45">
        <f t="shared" si="7"/>
        <v>1131</v>
      </c>
      <c r="AK30" s="48">
        <f>AJ29/V30</f>
        <v>237.24696356275302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0.84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43310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-5</v>
      </c>
      <c r="G31" s="118">
        <v>74</v>
      </c>
      <c r="H31" s="150">
        <f t="shared" si="0"/>
        <v>52.112676056338032</v>
      </c>
      <c r="I31" s="150">
        <v>72</v>
      </c>
      <c r="J31" s="41" t="s">
        <v>88</v>
      </c>
      <c r="K31" s="41">
        <f t="shared" si="3"/>
        <v>48.591549295774648</v>
      </c>
      <c r="L31" s="42">
        <f t="shared" si="13"/>
        <v>50</v>
      </c>
      <c r="M31" s="41">
        <f t="shared" si="12"/>
        <v>54.225352112676056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103315444</v>
      </c>
      <c r="T31" s="45">
        <f t="shared" si="4"/>
        <v>5355</v>
      </c>
      <c r="U31" s="46">
        <f t="shared" si="5"/>
        <v>128.52000000000001</v>
      </c>
      <c r="V31" s="46">
        <f t="shared" si="6"/>
        <v>5.3550000000000004</v>
      </c>
      <c r="W31" s="96">
        <v>2.7</v>
      </c>
      <c r="X31" s="96">
        <f t="shared" si="1"/>
        <v>2.7</v>
      </c>
      <c r="Y31" s="97" t="s">
        <v>168</v>
      </c>
      <c r="Z31" s="154">
        <v>1045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17808984</v>
      </c>
      <c r="AJ31" s="45">
        <f t="shared" si="7"/>
        <v>1182</v>
      </c>
      <c r="AK31" s="48">
        <f t="shared" si="9"/>
        <v>220.72829131652659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43310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-5</v>
      </c>
      <c r="G32" s="118">
        <v>72</v>
      </c>
      <c r="H32" s="150">
        <f t="shared" si="0"/>
        <v>50.70422535211268</v>
      </c>
      <c r="I32" s="150">
        <v>70</v>
      </c>
      <c r="J32" s="41" t="s">
        <v>88</v>
      </c>
      <c r="K32" s="41">
        <f t="shared" si="3"/>
        <v>47.183098591549296</v>
      </c>
      <c r="L32" s="42">
        <f t="shared" si="13"/>
        <v>48.591549295774648</v>
      </c>
      <c r="M32" s="41">
        <f t="shared" si="12"/>
        <v>52.816901408450704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103320420</v>
      </c>
      <c r="T32" s="45">
        <f t="shared" si="4"/>
        <v>4976</v>
      </c>
      <c r="U32" s="46">
        <f t="shared" si="5"/>
        <v>119.42400000000001</v>
      </c>
      <c r="V32" s="46">
        <f t="shared" si="6"/>
        <v>4.976</v>
      </c>
      <c r="W32" s="96">
        <v>2.2999999999999998</v>
      </c>
      <c r="X32" s="96">
        <f t="shared" si="1"/>
        <v>2.2999999999999998</v>
      </c>
      <c r="Y32" s="97" t="s">
        <v>168</v>
      </c>
      <c r="Z32" s="154">
        <v>1018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17810120</v>
      </c>
      <c r="AJ32" s="45">
        <f t="shared" si="7"/>
        <v>1136</v>
      </c>
      <c r="AK32" s="48">
        <f t="shared" si="9"/>
        <v>228.29581993569133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43310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-5</v>
      </c>
      <c r="G33" s="118">
        <v>73</v>
      </c>
      <c r="H33" s="150">
        <f t="shared" si="0"/>
        <v>51.408450704225352</v>
      </c>
      <c r="I33" s="150">
        <v>71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103325620</v>
      </c>
      <c r="T33" s="45">
        <f t="shared" si="4"/>
        <v>5200</v>
      </c>
      <c r="U33" s="46">
        <f t="shared" si="5"/>
        <v>124.8</v>
      </c>
      <c r="V33" s="46">
        <f t="shared" si="6"/>
        <v>5.2</v>
      </c>
      <c r="W33" s="96">
        <v>1.9</v>
      </c>
      <c r="X33" s="96">
        <f t="shared" si="1"/>
        <v>1.9</v>
      </c>
      <c r="Y33" s="97" t="s">
        <v>168</v>
      </c>
      <c r="Z33" s="154">
        <v>1016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17811273</v>
      </c>
      <c r="AJ33" s="45">
        <f t="shared" si="7"/>
        <v>1153</v>
      </c>
      <c r="AK33" s="48">
        <f t="shared" si="9"/>
        <v>221.73076923076923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43310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-5</v>
      </c>
      <c r="G34" s="118">
        <v>75</v>
      </c>
      <c r="H34" s="150">
        <f t="shared" si="0"/>
        <v>52.816901408450704</v>
      </c>
      <c r="I34" s="150">
        <v>73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103330911</v>
      </c>
      <c r="T34" s="45">
        <f t="shared" si="4"/>
        <v>5291</v>
      </c>
      <c r="U34" s="46">
        <f t="shared" si="5"/>
        <v>126.98399999999999</v>
      </c>
      <c r="V34" s="46">
        <f t="shared" si="6"/>
        <v>5.2910000000000004</v>
      </c>
      <c r="W34" s="96">
        <v>1.7</v>
      </c>
      <c r="X34" s="96">
        <f t="shared" si="1"/>
        <v>1.7</v>
      </c>
      <c r="Y34" s="97" t="s">
        <v>168</v>
      </c>
      <c r="Z34" s="154">
        <v>1016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17812415</v>
      </c>
      <c r="AJ34" s="45">
        <f t="shared" si="7"/>
        <v>1142</v>
      </c>
      <c r="AK34" s="48">
        <f t="shared" si="9"/>
        <v>215.83821583821583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1.05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43310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-5</v>
      </c>
      <c r="G35" s="118">
        <v>68</v>
      </c>
      <c r="H35" s="150">
        <f t="shared" si="0"/>
        <v>47.887323943661976</v>
      </c>
      <c r="I35" s="150">
        <v>66</v>
      </c>
      <c r="J35" s="41" t="s">
        <v>88</v>
      </c>
      <c r="K35" s="41">
        <f>L35-(2/1.42)</f>
        <v>42.95774647887324</v>
      </c>
      <c r="L35" s="42">
        <f>(G35-5)/1.42</f>
        <v>44.366197183098592</v>
      </c>
      <c r="M35" s="41">
        <f t="shared" si="12"/>
        <v>48.591549295774648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103335366</v>
      </c>
      <c r="T35" s="45">
        <f t="shared" si="4"/>
        <v>4455</v>
      </c>
      <c r="U35" s="46">
        <f t="shared" si="5"/>
        <v>106.92</v>
      </c>
      <c r="V35" s="46">
        <f t="shared" si="6"/>
        <v>4.4550000000000001</v>
      </c>
      <c r="W35" s="96">
        <v>2.7</v>
      </c>
      <c r="X35" s="96">
        <f t="shared" si="1"/>
        <v>2.7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17813482</v>
      </c>
      <c r="AJ35" s="45">
        <f t="shared" si="7"/>
        <v>1067</v>
      </c>
      <c r="AK35" s="48">
        <f t="shared" si="9"/>
        <v>239.50617283950618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43310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1</v>
      </c>
      <c r="G36" s="118">
        <v>68</v>
      </c>
      <c r="H36" s="150">
        <f t="shared" si="0"/>
        <v>47.887323943661976</v>
      </c>
      <c r="I36" s="150">
        <v>66</v>
      </c>
      <c r="J36" s="41" t="s">
        <v>88</v>
      </c>
      <c r="K36" s="41">
        <f t="shared" si="3"/>
        <v>42.95774647887324</v>
      </c>
      <c r="L36" s="42">
        <f>(G36-5)/1.42</f>
        <v>44.366197183098592</v>
      </c>
      <c r="M36" s="41">
        <f t="shared" si="12"/>
        <v>48.591549295774648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103339710</v>
      </c>
      <c r="T36" s="45">
        <f t="shared" si="4"/>
        <v>4344</v>
      </c>
      <c r="U36" s="46">
        <f t="shared" si="5"/>
        <v>104.256</v>
      </c>
      <c r="V36" s="46">
        <f t="shared" si="6"/>
        <v>4.3440000000000003</v>
      </c>
      <c r="W36" s="96">
        <v>4.4000000000000004</v>
      </c>
      <c r="X36" s="96">
        <f t="shared" si="1"/>
        <v>4.4000000000000004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17814575</v>
      </c>
      <c r="AJ36" s="45">
        <f t="shared" si="7"/>
        <v>1093</v>
      </c>
      <c r="AK36" s="48">
        <f t="shared" si="9"/>
        <v>251.61141804788213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116480</v>
      </c>
      <c r="U37" s="46">
        <f t="shared" si="5"/>
        <v>2795.52</v>
      </c>
      <c r="V37" s="46">
        <f t="shared" si="6"/>
        <v>116.48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27382</v>
      </c>
      <c r="AK37" s="61">
        <f>$AJ$37/$V37</f>
        <v>235.0789835164835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0.97666666666666657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211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209" t="s">
        <v>166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229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270</v>
      </c>
      <c r="C52" s="184"/>
      <c r="D52" s="184"/>
      <c r="E52" s="184"/>
      <c r="F52" s="130"/>
      <c r="G52" s="130"/>
      <c r="H52" s="156"/>
      <c r="I52" s="156"/>
      <c r="J52" s="156"/>
      <c r="K52" s="156"/>
      <c r="L52" s="156"/>
      <c r="M52" s="156"/>
      <c r="N52" s="131"/>
      <c r="O52" s="131"/>
      <c r="P52" s="131"/>
      <c r="Q52" s="114"/>
      <c r="R52" s="104"/>
      <c r="S52" s="104"/>
      <c r="T52" s="104"/>
      <c r="U52" s="114"/>
      <c r="V52" s="114"/>
      <c r="W52" s="114"/>
      <c r="X52" s="94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49"/>
      <c r="F53" s="149"/>
      <c r="G53" s="149"/>
      <c r="H53" s="149"/>
      <c r="I53" s="149"/>
      <c r="J53" s="149"/>
      <c r="K53" s="162"/>
      <c r="L53" s="143"/>
      <c r="M53" s="105"/>
      <c r="N53" s="105"/>
      <c r="O53" s="105"/>
      <c r="P53" s="105"/>
      <c r="Q53" s="105"/>
      <c r="R53" s="105"/>
      <c r="S53" s="105"/>
      <c r="T53" s="105"/>
      <c r="U53" s="105"/>
      <c r="V53" s="147"/>
      <c r="W53" s="147"/>
      <c r="X53" s="148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66"/>
      <c r="D54" s="166"/>
      <c r="E54" s="115"/>
      <c r="F54" s="115"/>
      <c r="G54" s="115"/>
      <c r="H54" s="115"/>
      <c r="I54" s="149"/>
      <c r="J54" s="104"/>
      <c r="K54" s="104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47"/>
      <c r="W54" s="147"/>
      <c r="X54" s="148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66"/>
      <c r="D55" s="166"/>
      <c r="E55" s="149"/>
      <c r="F55" s="149"/>
      <c r="G55" s="149"/>
      <c r="H55" s="149"/>
      <c r="I55" s="149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7"/>
      <c r="W55" s="147"/>
      <c r="X55" s="148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66"/>
      <c r="D56" s="170"/>
      <c r="E56" s="170"/>
      <c r="F56" s="114"/>
      <c r="G56" s="114"/>
      <c r="H56" s="104"/>
      <c r="I56" s="10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271</v>
      </c>
      <c r="C57" s="149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15"/>
      <c r="D58" s="100"/>
      <c r="E58" s="100"/>
      <c r="F58" s="115"/>
      <c r="G58" s="115"/>
      <c r="H58" s="9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224</v>
      </c>
      <c r="C59" s="115"/>
      <c r="D59" s="162"/>
      <c r="E59" s="162"/>
      <c r="F59" s="162"/>
      <c r="G59" s="162"/>
      <c r="H59" s="162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/>
      <c r="C60" s="115"/>
      <c r="D60" s="100"/>
      <c r="E60" s="100"/>
      <c r="F60" s="115"/>
      <c r="G60" s="115"/>
      <c r="H60" s="92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15"/>
      <c r="D61" s="162"/>
      <c r="E61" s="162"/>
      <c r="F61" s="162"/>
      <c r="G61" s="162"/>
      <c r="H61" s="162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AV61" s="86"/>
      <c r="AW61" s="86"/>
      <c r="AX61" s="86"/>
      <c r="AY61" s="86"/>
      <c r="AZ61" s="86"/>
      <c r="BA61" s="86"/>
      <c r="BB61" s="86"/>
    </row>
    <row r="62" spans="1:54" x14ac:dyDescent="0.35">
      <c r="B62" s="158"/>
      <c r="C62" s="115"/>
      <c r="D62" s="162"/>
      <c r="E62" s="162"/>
      <c r="F62" s="162"/>
      <c r="G62" s="162"/>
      <c r="H62" s="162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AV62" s="86"/>
      <c r="AW62" s="86"/>
      <c r="AX62" s="86"/>
      <c r="AY62" s="86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AV63" s="86"/>
      <c r="AW63" s="86"/>
      <c r="AX63" s="86"/>
      <c r="AY63" s="86"/>
      <c r="AZ63" s="86"/>
      <c r="BA63" s="86"/>
      <c r="BB63" s="86"/>
    </row>
    <row r="64" spans="1:54" x14ac:dyDescent="0.35">
      <c r="Q64" s="12"/>
      <c r="R64" s="87"/>
      <c r="S64" s="87"/>
      <c r="T64" s="87"/>
      <c r="U64" s="87"/>
      <c r="AV64" s="86"/>
      <c r="AW64" s="86"/>
      <c r="AX64" s="86"/>
      <c r="AY64" s="86"/>
      <c r="AZ64" s="86"/>
      <c r="BA64" s="86"/>
      <c r="BB64" s="86"/>
    </row>
    <row r="65" spans="17:54" x14ac:dyDescent="0.35">
      <c r="Q65" s="12"/>
      <c r="R65" s="87"/>
      <c r="S65" s="87"/>
      <c r="T65" s="87"/>
      <c r="U65" s="87"/>
      <c r="V65" s="87"/>
      <c r="AV65" s="86"/>
      <c r="AW65" s="86"/>
      <c r="AX65" s="86"/>
      <c r="AY65" s="86"/>
      <c r="AZ65" s="86"/>
      <c r="BA65" s="86"/>
      <c r="BB65" s="86"/>
    </row>
    <row r="66" spans="17:54" x14ac:dyDescent="0.35">
      <c r="Q66" s="12"/>
      <c r="R66" s="87"/>
      <c r="S66" s="87"/>
      <c r="T66" s="87"/>
      <c r="U66" s="87"/>
      <c r="V66" s="87"/>
      <c r="AV66" s="86"/>
      <c r="AW66" s="86"/>
      <c r="AX66" s="86"/>
      <c r="AY66" s="86"/>
      <c r="AZ66" s="86"/>
      <c r="BA66" s="86"/>
      <c r="BB66" s="86"/>
    </row>
    <row r="67" spans="17:54" x14ac:dyDescent="0.35">
      <c r="Q67" s="12"/>
      <c r="R67" s="87"/>
      <c r="V67" s="87"/>
      <c r="AV67" s="86"/>
      <c r="AW67" s="86"/>
      <c r="AX67" s="86"/>
      <c r="AY67" s="86"/>
      <c r="AZ67" s="86"/>
      <c r="BA67" s="86"/>
      <c r="BB67" s="86"/>
    </row>
    <row r="68" spans="17:54" x14ac:dyDescent="0.35">
      <c r="Q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17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17:54" x14ac:dyDescent="0.35">
      <c r="Q70" s="12"/>
      <c r="R70" s="87"/>
      <c r="S70" s="87"/>
      <c r="T70" s="87"/>
      <c r="U70" s="87"/>
      <c r="V70" s="87"/>
      <c r="W70" s="87"/>
      <c r="AV70" s="86"/>
      <c r="AW70" s="86"/>
      <c r="AX70" s="86"/>
      <c r="AY70" s="86"/>
      <c r="AZ70" s="86"/>
      <c r="BA70" s="86"/>
      <c r="BB70" s="86"/>
    </row>
    <row r="71" spans="17:54" x14ac:dyDescent="0.35">
      <c r="Q71" s="12"/>
      <c r="R71" s="87"/>
      <c r="V71" s="87"/>
      <c r="W71" s="87"/>
      <c r="AV71" s="86"/>
      <c r="AW71" s="86"/>
      <c r="AX71" s="86"/>
      <c r="AY71" s="86"/>
      <c r="AZ71" s="86"/>
      <c r="BA71" s="86"/>
      <c r="BB71" s="86"/>
    </row>
    <row r="72" spans="17:54" x14ac:dyDescent="0.35">
      <c r="BB72" s="86"/>
    </row>
    <row r="83" spans="48:54" x14ac:dyDescent="0.35">
      <c r="AV83" s="86"/>
      <c r="AW83" s="86"/>
      <c r="AX83" s="86"/>
      <c r="AY83" s="86"/>
      <c r="AZ83" s="86"/>
      <c r="BA83" s="86"/>
    </row>
    <row r="84" spans="48:54" x14ac:dyDescent="0.35">
      <c r="BB84" s="86"/>
    </row>
  </sheetData>
  <protectedRanges>
    <protectedRange sqref="AH11:AH12 AF8:AF9 AH8:AH9 AL8:AU9 P34:P36 P11:P25 N26:P33 N11:N12 U37:V37 T13:V36 E13:F36 AF13:AH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0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3" name="Range2_2_12_1_3_1_2_1_1_1_1_2_1_1_1_1_1_1_1_1_1_1_1"/>
    <protectedRange sqref="F58:F63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56:H57" name="Range2_12_5_1_1_1_2_2_1_1_1_1_1_1_1_1_1_1_1_2_1_1_1_2_1_1_1_1_1_1_1_1_1_1_1_1_1_1_1_1_2_1_1_1_1_1_1_1_1_1_2_1_1_3_1_1_1_3_1_1_1_1_1_1_1_1_1_1_1_1_1_1_1_1_1_1_1_1_1_1_2_1_1_1_1_1_1_1_1_1_1_1_2_2_1_2_1_1_1_1_1_1_1_1_1_1_1_1_1"/>
    <protectedRange sqref="U53:V63" name="Range2_12_5_1_1_2_1_1_1_2_1_1_1_1_1_1_1_1_1_1_1_1_1"/>
    <protectedRange sqref="P53:T63" name="Range2_12_1_6_1_1_2_1_1_1_2_1_1_1_1_1_1_1_1_1_1_1_1_1"/>
    <protectedRange sqref="N53:O63" name="Range2_2_12_1_7_1_1_3_1_1_1_2_1_1_1_1_1_1_1_1_1_1_1_1_1"/>
    <protectedRange sqref="M53 L54:M63" name="Range2_2_12_1_4_1_1_1_1_1_1_1_1_1_1_1_1_1_1_1_2_1_1_1_2_1_1_1_1_1_1_1_1_1_1_1_1_1"/>
    <protectedRange sqref="K54:K63" name="Range2_2_12_1_7_1_1_2_2_1_2_2_1_1_1_2_1_1_1_1_1_1_1_1_1_1_1_1_1"/>
    <protectedRange sqref="J54:J55 I56:J63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4:W4" name="Range1_16_1_1_1_1_1_1_2_2_2_2_2_2_2_2_2_2_2_2_2_2_2_2_2_2_2_2_2_2_2_1_2_2_2_2_2_2_2_2_2_2_3_2_2_2_2_2_2_2_2_2_2_1_1_1_1_2_2_1_1_1_1_1_1_1_1_1_1_1_1_1_1_3_1_2_1_1_1_1_1_2_2_2_2_1_1_1_1_2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R3:W3" name="Range1_16_1_1_1_1_1_1_2_2_2_2_2_2_2_2_2_2_2_2_2_2_2_2_2_2_2_2_2_2_2_1_2_2_2_2_2_2_2_2_2_2_3_2_2_2_2_2_2_2_2_2_2_1_1_1_1_2_2_1_1_1_1_1_1_1_1_1_1_1_1_1_1_3_1_2_1_1_1_1_1_1_2_1_1_1_1_1_1_1_1_1_1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50" priority="5" operator="containsText" text="N/A">
      <formula>NOT(ISERROR(SEARCH("N/A",Z13)))</formula>
    </cfRule>
    <cfRule type="cellIs" dxfId="49" priority="17" operator="equal">
      <formula>0</formula>
    </cfRule>
  </conditionalFormatting>
  <conditionalFormatting sqref="Z13:AG36">
    <cfRule type="cellIs" dxfId="48" priority="16" operator="greaterThanOrEqual">
      <formula>1185</formula>
    </cfRule>
  </conditionalFormatting>
  <conditionalFormatting sqref="Z13:AG36">
    <cfRule type="cellIs" dxfId="47" priority="15" operator="between">
      <formula>0.1</formula>
      <formula>1184</formula>
    </cfRule>
  </conditionalFormatting>
  <conditionalFormatting sqref="Z8:Z9 AT13:AT36 AL37:AQ37 AL13:AR36">
    <cfRule type="cellIs" dxfId="46" priority="14" operator="equal">
      <formula>0</formula>
    </cfRule>
  </conditionalFormatting>
  <conditionalFormatting sqref="Z8:Z9 AT13:AT36 AL37:AQ37 AL13:AR36">
    <cfRule type="cellIs" dxfId="45" priority="13" operator="greaterThan">
      <formula>1179</formula>
    </cfRule>
  </conditionalFormatting>
  <conditionalFormatting sqref="Z8:Z9 AT13:AT36 AL37:AQ37 AL13:AR36">
    <cfRule type="cellIs" dxfId="44" priority="12" operator="greaterThan">
      <formula>99</formula>
    </cfRule>
  </conditionalFormatting>
  <conditionalFormatting sqref="Z8:Z9 AT13:AT36 AL37:AQ37 AL13:AR36">
    <cfRule type="cellIs" dxfId="43" priority="11" operator="greaterThan">
      <formula>0.99</formula>
    </cfRule>
  </conditionalFormatting>
  <conditionalFormatting sqref="AD8:AD9">
    <cfRule type="cellIs" dxfId="42" priority="10" operator="equal">
      <formula>0</formula>
    </cfRule>
  </conditionalFormatting>
  <conditionalFormatting sqref="AD8:AD9">
    <cfRule type="cellIs" dxfId="41" priority="9" operator="greaterThan">
      <formula>1179</formula>
    </cfRule>
  </conditionalFormatting>
  <conditionalFormatting sqref="AD8:AD9">
    <cfRule type="cellIs" dxfId="40" priority="8" operator="greaterThan">
      <formula>99</formula>
    </cfRule>
  </conditionalFormatting>
  <conditionalFormatting sqref="AD8:AD9">
    <cfRule type="cellIs" dxfId="39" priority="7" operator="greaterThan">
      <formula>0.99</formula>
    </cfRule>
  </conditionalFormatting>
  <conditionalFormatting sqref="AK13:AK36">
    <cfRule type="cellIs" dxfId="38" priority="6" operator="greaterThan">
      <formula>$AK$8</formula>
    </cfRule>
  </conditionalFormatting>
  <conditionalFormatting sqref="AS13:AS36">
    <cfRule type="containsText" dxfId="37" priority="1" operator="containsText" text="N/A">
      <formula>NOT(ISERROR(SEARCH("N/A",AS13)))</formula>
    </cfRule>
    <cfRule type="cellIs" dxfId="36" priority="4" operator="equal">
      <formula>0</formula>
    </cfRule>
  </conditionalFormatting>
  <conditionalFormatting sqref="AS13:AS36">
    <cfRule type="cellIs" dxfId="35" priority="3" operator="greaterThanOrEqual">
      <formula>1185</formula>
    </cfRule>
  </conditionalFormatting>
  <conditionalFormatting sqref="AS13:AS36">
    <cfRule type="cellIs" dxfId="34" priority="2" operator="between">
      <formula>0.1</formula>
      <formula>1184</formula>
    </cfRule>
  </conditionalFormatting>
  <dataValidations count="4">
    <dataValidation type="list" allowBlank="1" showInputMessage="1" showErrorMessage="1" sqref="AY33:AZ33" xr:uid="{00000000-0002-0000-1C00-000000000000}">
      <formula1>$AY$26:$AY$30</formula1>
    </dataValidation>
    <dataValidation type="list" allowBlank="1" showInputMessage="1" showErrorMessage="1" sqref="AS8:AT9 P11:P12 N11:N12 D8:E9 Q8:V9" xr:uid="{00000000-0002-0000-1C00-000001000000}">
      <formula1>#REF!</formula1>
    </dataValidation>
    <dataValidation type="list" allowBlank="1" showInputMessage="1" showErrorMessage="1" sqref="J13:J36" xr:uid="{00000000-0002-0000-1C00-000002000000}">
      <formula1>$AY$11:$AY$21</formula1>
    </dataValidation>
    <dataValidation type="list" allowBlank="1" showInputMessage="1" showErrorMessage="1" sqref="R3:R5" xr:uid="{00000000-0002-0000-1C00-000003000000}">
      <formula1>$BB$11:$BB$42</formula1>
    </dataValidation>
  </dataValidations>
  <hyperlinks>
    <hyperlink ref="J10:J11" location="'1'!AH8" display="Plant Status" xr:uid="{00000000-0004-0000-1C00-000000000000}"/>
  </hyperlinks>
  <pageMargins left="0.7" right="0.7" top="0.75" bottom="0.75" header="0.3" footer="0.3"/>
  <pageSetup paperSize="9" orientation="portrait" horizontalDpi="4294967293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7030A0"/>
  </sheetPr>
  <dimension ref="A2:BB84"/>
  <sheetViews>
    <sheetView topLeftCell="A37" zoomScaleNormal="100" workbookViewId="0">
      <selection activeCell="B56" sqref="B56"/>
    </sheetView>
  </sheetViews>
  <sheetFormatPr defaultColWidth="9.1796875" defaultRowHeight="14.5" x14ac:dyDescent="0.35"/>
  <cols>
    <col min="1" max="1" width="5.7265625" style="86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hidden="1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143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143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69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43311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27332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1"/>
      <c r="K9" s="262"/>
      <c r="L9" s="263"/>
      <c r="M9" s="264"/>
      <c r="N9" s="29"/>
      <c r="O9" s="29"/>
      <c r="P9" s="29"/>
      <c r="Q9" s="121"/>
      <c r="R9" s="121"/>
      <c r="S9" s="121"/>
      <c r="T9" s="122"/>
      <c r="U9" s="123"/>
      <c r="V9" s="124"/>
      <c r="W9" s="262"/>
      <c r="X9" s="264"/>
      <c r="Y9" s="30"/>
      <c r="Z9" s="265"/>
      <c r="AA9" s="125"/>
      <c r="AB9" s="126"/>
      <c r="AC9" s="126"/>
      <c r="AD9" s="125"/>
      <c r="AE9" s="125"/>
      <c r="AF9" s="127"/>
      <c r="AG9" s="26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70" t="s">
        <v>51</v>
      </c>
      <c r="X10" s="270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68" t="s">
        <v>55</v>
      </c>
      <c r="AI10" s="268" t="s">
        <v>56</v>
      </c>
      <c r="AJ10" s="314" t="s">
        <v>57</v>
      </c>
      <c r="AK10" s="329" t="s">
        <v>58</v>
      </c>
      <c r="AL10" s="270" t="s">
        <v>59</v>
      </c>
      <c r="AM10" s="270" t="s">
        <v>60</v>
      </c>
      <c r="AN10" s="270" t="s">
        <v>61</v>
      </c>
      <c r="AO10" s="270" t="s">
        <v>62</v>
      </c>
      <c r="AP10" s="270" t="s">
        <v>63</v>
      </c>
      <c r="AQ10" s="270" t="s">
        <v>124</v>
      </c>
      <c r="AR10" s="270" t="s">
        <v>64</v>
      </c>
      <c r="AS10" s="270" t="s">
        <v>65</v>
      </c>
      <c r="AT10" s="312" t="s">
        <v>66</v>
      </c>
      <c r="AU10" s="270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0" t="s">
        <v>72</v>
      </c>
      <c r="C11" s="270" t="s">
        <v>73</v>
      </c>
      <c r="D11" s="270" t="s">
        <v>74</v>
      </c>
      <c r="E11" s="270" t="s">
        <v>75</v>
      </c>
      <c r="F11" s="270" t="s">
        <v>127</v>
      </c>
      <c r="G11" s="270" t="s">
        <v>74</v>
      </c>
      <c r="H11" s="270" t="s">
        <v>75</v>
      </c>
      <c r="I11" s="270" t="s">
        <v>127</v>
      </c>
      <c r="J11" s="309"/>
      <c r="K11" s="270" t="s">
        <v>75</v>
      </c>
      <c r="L11" s="270" t="s">
        <v>75</v>
      </c>
      <c r="M11" s="270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29'!S36</f>
        <v>103339710</v>
      </c>
      <c r="T11" s="322"/>
      <c r="U11" s="323"/>
      <c r="V11" s="324"/>
      <c r="W11" s="270" t="s">
        <v>75</v>
      </c>
      <c r="X11" s="270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29'!AI36</f>
        <v>17814575</v>
      </c>
      <c r="AJ11" s="314"/>
      <c r="AK11" s="330"/>
      <c r="AL11" s="270" t="s">
        <v>84</v>
      </c>
      <c r="AM11" s="270" t="s">
        <v>84</v>
      </c>
      <c r="AN11" s="270" t="s">
        <v>84</v>
      </c>
      <c r="AO11" s="270" t="s">
        <v>84</v>
      </c>
      <c r="AP11" s="270" t="s">
        <v>84</v>
      </c>
      <c r="AQ11" s="270" t="s">
        <v>84</v>
      </c>
      <c r="AR11" s="270" t="s">
        <v>84</v>
      </c>
      <c r="AS11" s="1"/>
      <c r="AT11" s="313"/>
      <c r="AU11" s="267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43311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70</v>
      </c>
      <c r="H13" s="150">
        <f t="shared" ref="H13:H36" si="0">G13/1.42</f>
        <v>49.295774647887328</v>
      </c>
      <c r="I13" s="150">
        <v>68</v>
      </c>
      <c r="J13" s="41" t="s">
        <v>88</v>
      </c>
      <c r="K13" s="41">
        <f>L13-(2/1.42)</f>
        <v>44.366197183098592</v>
      </c>
      <c r="L13" s="42">
        <f>(G13-5)/1.42</f>
        <v>45.774647887323944</v>
      </c>
      <c r="M13" s="41">
        <f>L13+(6/1.42)</f>
        <v>50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103344750</v>
      </c>
      <c r="T13" s="45">
        <f>IF(ISBLANK(S13),"-",S13-S11)</f>
        <v>5040</v>
      </c>
      <c r="U13" s="46">
        <f>T13*24/1000</f>
        <v>120.96</v>
      </c>
      <c r="V13" s="46">
        <f>T13/1000</f>
        <v>5.04</v>
      </c>
      <c r="W13" s="96">
        <v>6</v>
      </c>
      <c r="X13" s="96">
        <f t="shared" ref="X13:X36" si="1">W13</f>
        <v>6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17815772</v>
      </c>
      <c r="AJ13" s="45">
        <f>IF(ISBLANK(AI13),"-",AI13-AI11)</f>
        <v>1197</v>
      </c>
      <c r="AK13" s="48">
        <f>AJ13/V13</f>
        <v>237.5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43311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70</v>
      </c>
      <c r="H14" s="150">
        <f t="shared" si="0"/>
        <v>49.295774647887328</v>
      </c>
      <c r="I14" s="150">
        <v>68</v>
      </c>
      <c r="J14" s="41" t="s">
        <v>88</v>
      </c>
      <c r="K14" s="41">
        <f t="shared" ref="K14:K36" si="3">L14-(2/1.42)</f>
        <v>44.366197183098592</v>
      </c>
      <c r="L14" s="42">
        <f>(G14-5)/1.42</f>
        <v>45.774647887323944</v>
      </c>
      <c r="M14" s="41">
        <f>L14+(6/1.42)</f>
        <v>50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103349310</v>
      </c>
      <c r="T14" s="45">
        <f t="shared" ref="T14:T36" si="4">IF(ISBLANK(S14),"-",S14-S13)</f>
        <v>4560</v>
      </c>
      <c r="U14" s="46">
        <f t="shared" ref="U14:U37" si="5">T14*24/1000</f>
        <v>109.44</v>
      </c>
      <c r="V14" s="46">
        <f t="shared" ref="V14:V37" si="6">T14/1000</f>
        <v>4.5599999999999996</v>
      </c>
      <c r="W14" s="96">
        <v>7.4</v>
      </c>
      <c r="X14" s="96">
        <f t="shared" si="1"/>
        <v>7.4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17816797</v>
      </c>
      <c r="AJ14" s="45">
        <f t="shared" ref="AJ14:AJ36" si="7">IF(ISBLANK(AI14),"-",AI14-AI13)</f>
        <v>1025</v>
      </c>
      <c r="AK14" s="48">
        <f>AJ14/V14</f>
        <v>224.78070175438597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0.9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43311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70</v>
      </c>
      <c r="H15" s="150">
        <f t="shared" si="0"/>
        <v>49.295774647887328</v>
      </c>
      <c r="I15" s="150">
        <v>68</v>
      </c>
      <c r="J15" s="41" t="s">
        <v>88</v>
      </c>
      <c r="K15" s="41">
        <f t="shared" si="3"/>
        <v>44.366197183098592</v>
      </c>
      <c r="L15" s="42">
        <f>(G15-5)/1.42</f>
        <v>45.774647887323944</v>
      </c>
      <c r="M15" s="41">
        <f>L15+(6/1.42)</f>
        <v>50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103353932</v>
      </c>
      <c r="T15" s="45">
        <f>IF(ISBLANK(S15),"-",S15-S14)</f>
        <v>4622</v>
      </c>
      <c r="U15" s="46">
        <f t="shared" si="5"/>
        <v>110.928</v>
      </c>
      <c r="V15" s="46">
        <f t="shared" si="6"/>
        <v>4.6219999999999999</v>
      </c>
      <c r="W15" s="96">
        <v>9</v>
      </c>
      <c r="X15" s="96">
        <f t="shared" si="1"/>
        <v>9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17817910</v>
      </c>
      <c r="AJ15" s="45">
        <f t="shared" si="7"/>
        <v>1113</v>
      </c>
      <c r="AK15" s="48">
        <f t="shared" ref="AK15:AK36" si="9">AJ15/V15</f>
        <v>240.80484638684553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43311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83</v>
      </c>
      <c r="H16" s="150">
        <f t="shared" si="0"/>
        <v>58.450704225352112</v>
      </c>
      <c r="I16" s="150">
        <v>80</v>
      </c>
      <c r="J16" s="41" t="s">
        <v>88</v>
      </c>
      <c r="K16" s="41">
        <f t="shared" si="3"/>
        <v>53.521126760563384</v>
      </c>
      <c r="L16" s="42">
        <f>(G16-5)/1.42</f>
        <v>54.929577464788736</v>
      </c>
      <c r="M16" s="41">
        <f>L16+(6/1.42)</f>
        <v>59.154929577464792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103358710</v>
      </c>
      <c r="T16" s="45">
        <f t="shared" si="4"/>
        <v>4778</v>
      </c>
      <c r="U16" s="46">
        <f t="shared" si="5"/>
        <v>114.672</v>
      </c>
      <c r="V16" s="46">
        <f t="shared" si="6"/>
        <v>4.7779999999999996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1127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17818958</v>
      </c>
      <c r="AJ16" s="45">
        <f t="shared" si="7"/>
        <v>1048</v>
      </c>
      <c r="AK16" s="48">
        <f t="shared" si="9"/>
        <v>219.33863541230642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43311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83</v>
      </c>
      <c r="H17" s="150">
        <f t="shared" si="0"/>
        <v>58.450704225352112</v>
      </c>
      <c r="I17" s="150">
        <v>80</v>
      </c>
      <c r="J17" s="41" t="s">
        <v>88</v>
      </c>
      <c r="K17" s="41">
        <f t="shared" si="3"/>
        <v>53.521126760563384</v>
      </c>
      <c r="L17" s="42">
        <f>(G17-5)/1.42</f>
        <v>54.929577464788736</v>
      </c>
      <c r="M17" s="41">
        <f>L17+(6/1.42)</f>
        <v>59.154929577464792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103363480</v>
      </c>
      <c r="T17" s="45">
        <f t="shared" si="4"/>
        <v>4770</v>
      </c>
      <c r="U17" s="46">
        <f t="shared" si="5"/>
        <v>114.48</v>
      </c>
      <c r="V17" s="46">
        <f t="shared" si="6"/>
        <v>4.7699999999999996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1147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17819999</v>
      </c>
      <c r="AJ17" s="45">
        <f t="shared" si="7"/>
        <v>1041</v>
      </c>
      <c r="AK17" s="48">
        <f t="shared" si="9"/>
        <v>218.23899371069183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43311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76</v>
      </c>
      <c r="H18" s="150">
        <f t="shared" si="0"/>
        <v>53.521126760563384</v>
      </c>
      <c r="I18" s="150">
        <v>74</v>
      </c>
      <c r="J18" s="41" t="s">
        <v>88</v>
      </c>
      <c r="K18" s="41">
        <f t="shared" si="3"/>
        <v>52.112676056338032</v>
      </c>
      <c r="L18" s="42">
        <f t="shared" ref="L18:L27" si="10">G18/1.42</f>
        <v>53.521126760563384</v>
      </c>
      <c r="M18" s="41">
        <f>L18+1.42</f>
        <v>54.941126760563385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103368635</v>
      </c>
      <c r="T18" s="45">
        <f t="shared" si="4"/>
        <v>5155</v>
      </c>
      <c r="U18" s="46">
        <f t="shared" si="5"/>
        <v>123.72</v>
      </c>
      <c r="V18" s="46">
        <f t="shared" si="6"/>
        <v>5.1550000000000002</v>
      </c>
      <c r="W18" s="96">
        <v>9.5</v>
      </c>
      <c r="X18" s="96">
        <f t="shared" si="1"/>
        <v>9.5</v>
      </c>
      <c r="Y18" s="97" t="s">
        <v>265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17821092</v>
      </c>
      <c r="AJ18" s="45">
        <f t="shared" si="7"/>
        <v>1093</v>
      </c>
      <c r="AK18" s="48">
        <f t="shared" si="9"/>
        <v>212.02715809893306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1.02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43311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77</v>
      </c>
      <c r="H19" s="150">
        <f t="shared" si="0"/>
        <v>54.225352112676056</v>
      </c>
      <c r="I19" s="150">
        <v>75</v>
      </c>
      <c r="J19" s="41" t="s">
        <v>88</v>
      </c>
      <c r="K19" s="41">
        <f t="shared" si="3"/>
        <v>52.816901408450704</v>
      </c>
      <c r="L19" s="42">
        <f t="shared" si="10"/>
        <v>54.225352112676056</v>
      </c>
      <c r="M19" s="41">
        <f>L19+1.42</f>
        <v>55.645352112676058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103374296</v>
      </c>
      <c r="T19" s="45">
        <f t="shared" si="4"/>
        <v>5661</v>
      </c>
      <c r="U19" s="46">
        <f t="shared" si="5"/>
        <v>135.864</v>
      </c>
      <c r="V19" s="46">
        <f t="shared" si="6"/>
        <v>5.6609999999999996</v>
      </c>
      <c r="W19" s="96">
        <v>9.1</v>
      </c>
      <c r="X19" s="96">
        <f t="shared" si="1"/>
        <v>9.1</v>
      </c>
      <c r="Y19" s="97" t="s">
        <v>168</v>
      </c>
      <c r="Z19" s="154">
        <v>0</v>
      </c>
      <c r="AA19" s="154">
        <v>1047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17822266</v>
      </c>
      <c r="AJ19" s="45">
        <f t="shared" si="7"/>
        <v>1174</v>
      </c>
      <c r="AK19" s="48">
        <f t="shared" si="9"/>
        <v>207.383854442678</v>
      </c>
      <c r="AL19" s="151">
        <v>0</v>
      </c>
      <c r="AM19" s="151">
        <v>1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43311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7</v>
      </c>
      <c r="G20" s="118">
        <v>77</v>
      </c>
      <c r="H20" s="150">
        <f t="shared" si="0"/>
        <v>54.225352112676056</v>
      </c>
      <c r="I20" s="150">
        <v>75</v>
      </c>
      <c r="J20" s="41" t="s">
        <v>88</v>
      </c>
      <c r="K20" s="41">
        <f t="shared" si="3"/>
        <v>52.816901408450704</v>
      </c>
      <c r="L20" s="42">
        <f t="shared" si="10"/>
        <v>54.225352112676056</v>
      </c>
      <c r="M20" s="41">
        <f t="shared" ref="M20:M24" si="11">L20+1.42</f>
        <v>55.645352112676058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103379659</v>
      </c>
      <c r="T20" s="45">
        <f t="shared" si="4"/>
        <v>5363</v>
      </c>
      <c r="U20" s="46">
        <f>T20*24/1000</f>
        <v>128.71199999999999</v>
      </c>
      <c r="V20" s="46">
        <f t="shared" si="6"/>
        <v>5.3630000000000004</v>
      </c>
      <c r="W20" s="96">
        <v>8.4</v>
      </c>
      <c r="X20" s="96">
        <f t="shared" si="1"/>
        <v>8.4</v>
      </c>
      <c r="Y20" s="97" t="s">
        <v>168</v>
      </c>
      <c r="Z20" s="154">
        <v>0</v>
      </c>
      <c r="AA20" s="154">
        <v>1048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17823456</v>
      </c>
      <c r="AJ20" s="45">
        <f t="shared" si="7"/>
        <v>1190</v>
      </c>
      <c r="AK20" s="48">
        <f t="shared" si="9"/>
        <v>221.89073279880662</v>
      </c>
      <c r="AL20" s="151">
        <v>0</v>
      </c>
      <c r="AM20" s="151">
        <v>1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43311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6</v>
      </c>
      <c r="G21" s="118">
        <v>76</v>
      </c>
      <c r="H21" s="150">
        <f t="shared" si="0"/>
        <v>53.521126760563384</v>
      </c>
      <c r="I21" s="150">
        <v>74</v>
      </c>
      <c r="J21" s="41" t="s">
        <v>88</v>
      </c>
      <c r="K21" s="41">
        <f t="shared" si="3"/>
        <v>52.112676056338032</v>
      </c>
      <c r="L21" s="42">
        <f t="shared" si="10"/>
        <v>53.521126760563384</v>
      </c>
      <c r="M21" s="41">
        <f t="shared" si="11"/>
        <v>54.941126760563385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103384505</v>
      </c>
      <c r="T21" s="45">
        <f t="shared" si="4"/>
        <v>4846</v>
      </c>
      <c r="U21" s="46">
        <f t="shared" si="5"/>
        <v>116.304</v>
      </c>
      <c r="V21" s="46">
        <f t="shared" si="6"/>
        <v>4.8460000000000001</v>
      </c>
      <c r="W21" s="96">
        <v>7.7</v>
      </c>
      <c r="X21" s="96">
        <f t="shared" si="1"/>
        <v>7.7</v>
      </c>
      <c r="Y21" s="97" t="s">
        <v>168</v>
      </c>
      <c r="Z21" s="154">
        <v>0</v>
      </c>
      <c r="AA21" s="154">
        <v>1047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17824638</v>
      </c>
      <c r="AJ21" s="45">
        <f t="shared" si="7"/>
        <v>1182</v>
      </c>
      <c r="AK21" s="48">
        <f t="shared" si="9"/>
        <v>243.91250515889394</v>
      </c>
      <c r="AL21" s="151">
        <v>0</v>
      </c>
      <c r="AM21" s="151">
        <v>1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43311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5</v>
      </c>
      <c r="G22" s="118">
        <v>76</v>
      </c>
      <c r="H22" s="150">
        <f t="shared" si="0"/>
        <v>53.521126760563384</v>
      </c>
      <c r="I22" s="150">
        <v>74</v>
      </c>
      <c r="J22" s="41" t="s">
        <v>88</v>
      </c>
      <c r="K22" s="41">
        <f t="shared" si="3"/>
        <v>52.112676056338032</v>
      </c>
      <c r="L22" s="42">
        <f t="shared" si="10"/>
        <v>53.521126760563384</v>
      </c>
      <c r="M22" s="41">
        <f t="shared" si="11"/>
        <v>54.941126760563385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103389025</v>
      </c>
      <c r="T22" s="45">
        <f t="shared" si="4"/>
        <v>4520</v>
      </c>
      <c r="U22" s="46">
        <f t="shared" si="5"/>
        <v>108.48</v>
      </c>
      <c r="V22" s="46">
        <f t="shared" si="6"/>
        <v>4.5199999999999996</v>
      </c>
      <c r="W22" s="96">
        <v>7</v>
      </c>
      <c r="X22" s="96">
        <f t="shared" si="1"/>
        <v>7</v>
      </c>
      <c r="Y22" s="97" t="s">
        <v>168</v>
      </c>
      <c r="Z22" s="154">
        <v>0</v>
      </c>
      <c r="AA22" s="154">
        <v>1047</v>
      </c>
      <c r="AB22" s="154">
        <v>1188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17825827</v>
      </c>
      <c r="AJ22" s="45">
        <f t="shared" si="7"/>
        <v>1189</v>
      </c>
      <c r="AK22" s="48">
        <f t="shared" si="9"/>
        <v>263.05309734513276</v>
      </c>
      <c r="AL22" s="151">
        <v>0</v>
      </c>
      <c r="AM22" s="151">
        <v>1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0.85</v>
      </c>
      <c r="AV22" s="50" t="s">
        <v>126</v>
      </c>
      <c r="BB22" s="136" t="s">
        <v>156</v>
      </c>
    </row>
    <row r="23" spans="1:54" x14ac:dyDescent="0.35">
      <c r="A23" s="331">
        <v>43311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4</v>
      </c>
      <c r="G23" s="118">
        <v>74</v>
      </c>
      <c r="H23" s="150">
        <f t="shared" si="0"/>
        <v>52.112676056338032</v>
      </c>
      <c r="I23" s="150">
        <v>72</v>
      </c>
      <c r="J23" s="41" t="s">
        <v>88</v>
      </c>
      <c r="K23" s="41">
        <f t="shared" si="3"/>
        <v>50.70422535211268</v>
      </c>
      <c r="L23" s="42">
        <f t="shared" si="10"/>
        <v>52.112676056338032</v>
      </c>
      <c r="M23" s="41">
        <f t="shared" si="11"/>
        <v>53.532676056338033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103393635</v>
      </c>
      <c r="T23" s="45">
        <f t="shared" si="4"/>
        <v>4610</v>
      </c>
      <c r="U23" s="46">
        <f t="shared" si="5"/>
        <v>110.64</v>
      </c>
      <c r="V23" s="46">
        <f t="shared" si="6"/>
        <v>4.6100000000000003</v>
      </c>
      <c r="W23" s="96">
        <v>6.3</v>
      </c>
      <c r="X23" s="96">
        <f>W23</f>
        <v>6.3</v>
      </c>
      <c r="Y23" s="97" t="s">
        <v>168</v>
      </c>
      <c r="Z23" s="154">
        <v>0</v>
      </c>
      <c r="AA23" s="154">
        <v>1037</v>
      </c>
      <c r="AB23" s="154">
        <v>1187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17827028</v>
      </c>
      <c r="AJ23" s="45">
        <f t="shared" si="7"/>
        <v>1201</v>
      </c>
      <c r="AK23" s="48">
        <f t="shared" si="9"/>
        <v>260.52060737527114</v>
      </c>
      <c r="AL23" s="151">
        <v>0</v>
      </c>
      <c r="AM23" s="151">
        <v>1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43311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3</v>
      </c>
      <c r="G24" s="118">
        <v>74</v>
      </c>
      <c r="H24" s="150">
        <f t="shared" si="0"/>
        <v>52.112676056338032</v>
      </c>
      <c r="I24" s="150">
        <v>72</v>
      </c>
      <c r="J24" s="41" t="s">
        <v>88</v>
      </c>
      <c r="K24" s="41">
        <f t="shared" si="3"/>
        <v>50.70422535211268</v>
      </c>
      <c r="L24" s="42">
        <f t="shared" si="10"/>
        <v>52.112676056338032</v>
      </c>
      <c r="M24" s="41">
        <f t="shared" si="11"/>
        <v>53.532676056338033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103397932</v>
      </c>
      <c r="T24" s="45">
        <f t="shared" si="4"/>
        <v>4297</v>
      </c>
      <c r="U24" s="46">
        <f>T24*24/1000</f>
        <v>103.128</v>
      </c>
      <c r="V24" s="46">
        <f t="shared" si="6"/>
        <v>4.2969999999999997</v>
      </c>
      <c r="W24" s="96">
        <v>5.6</v>
      </c>
      <c r="X24" s="96">
        <f t="shared" si="1"/>
        <v>5.6</v>
      </c>
      <c r="Y24" s="97" t="s">
        <v>168</v>
      </c>
      <c r="Z24" s="154">
        <v>0</v>
      </c>
      <c r="AA24" s="154">
        <v>1047</v>
      </c>
      <c r="AB24" s="154">
        <v>1187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17828201</v>
      </c>
      <c r="AJ24" s="45">
        <f t="shared" si="7"/>
        <v>1173</v>
      </c>
      <c r="AK24" s="48">
        <f t="shared" si="9"/>
        <v>272.98114963928322</v>
      </c>
      <c r="AL24" s="151">
        <v>0</v>
      </c>
      <c r="AM24" s="151">
        <v>1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43311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1</v>
      </c>
      <c r="G25" s="118">
        <v>73</v>
      </c>
      <c r="H25" s="150">
        <f t="shared" si="0"/>
        <v>51.408450704225352</v>
      </c>
      <c r="I25" s="150">
        <v>71</v>
      </c>
      <c r="J25" s="41" t="s">
        <v>88</v>
      </c>
      <c r="K25" s="41">
        <f t="shared" si="3"/>
        <v>50</v>
      </c>
      <c r="L25" s="42">
        <f t="shared" si="10"/>
        <v>51.408450704225352</v>
      </c>
      <c r="M25" s="41">
        <f>L25+(6/1.42)</f>
        <v>55.633802816901408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103402358</v>
      </c>
      <c r="T25" s="45">
        <f t="shared" si="4"/>
        <v>4426</v>
      </c>
      <c r="U25" s="46">
        <f>T25*24/1000</f>
        <v>106.224</v>
      </c>
      <c r="V25" s="46">
        <f t="shared" si="6"/>
        <v>4.4260000000000002</v>
      </c>
      <c r="W25" s="96">
        <v>4.9000000000000004</v>
      </c>
      <c r="X25" s="96">
        <f t="shared" si="1"/>
        <v>4.9000000000000004</v>
      </c>
      <c r="Y25" s="97" t="s">
        <v>168</v>
      </c>
      <c r="Z25" s="154">
        <v>0</v>
      </c>
      <c r="AA25" s="154">
        <v>1026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17829394</v>
      </c>
      <c r="AJ25" s="45">
        <f t="shared" si="7"/>
        <v>1193</v>
      </c>
      <c r="AK25" s="48">
        <f t="shared" si="9"/>
        <v>269.54360596475374</v>
      </c>
      <c r="AL25" s="151">
        <v>0</v>
      </c>
      <c r="AM25" s="151">
        <v>1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43311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0</v>
      </c>
      <c r="G26" s="118">
        <v>73</v>
      </c>
      <c r="H26" s="150">
        <f t="shared" si="0"/>
        <v>51.408450704225352</v>
      </c>
      <c r="I26" s="150">
        <v>71</v>
      </c>
      <c r="J26" s="41" t="s">
        <v>88</v>
      </c>
      <c r="K26" s="41">
        <f t="shared" si="3"/>
        <v>50</v>
      </c>
      <c r="L26" s="42">
        <f t="shared" si="10"/>
        <v>51.408450704225352</v>
      </c>
      <c r="M26" s="41">
        <f t="shared" ref="M26:M36" si="12">L26+(6/1.42)</f>
        <v>55.633802816901408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103406898</v>
      </c>
      <c r="T26" s="45">
        <f t="shared" si="4"/>
        <v>4540</v>
      </c>
      <c r="U26" s="46">
        <f t="shared" si="5"/>
        <v>108.96</v>
      </c>
      <c r="V26" s="46">
        <f t="shared" si="6"/>
        <v>4.54</v>
      </c>
      <c r="W26" s="96">
        <v>4.4000000000000004</v>
      </c>
      <c r="X26" s="96">
        <f t="shared" si="1"/>
        <v>4.4000000000000004</v>
      </c>
      <c r="Y26" s="97" t="s">
        <v>168</v>
      </c>
      <c r="Z26" s="154">
        <v>0</v>
      </c>
      <c r="AA26" s="154">
        <v>1025</v>
      </c>
      <c r="AB26" s="154">
        <v>1187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17830579</v>
      </c>
      <c r="AJ26" s="45">
        <f t="shared" si="7"/>
        <v>1185</v>
      </c>
      <c r="AK26" s="48">
        <f t="shared" si="9"/>
        <v>261.01321585903082</v>
      </c>
      <c r="AL26" s="151">
        <v>0</v>
      </c>
      <c r="AM26" s="151">
        <v>1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v>0</v>
      </c>
      <c r="AU26" s="119">
        <v>0.86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43311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-1</v>
      </c>
      <c r="G27" s="118">
        <v>75</v>
      </c>
      <c r="H27" s="150">
        <f t="shared" si="0"/>
        <v>52.816901408450704</v>
      </c>
      <c r="I27" s="150">
        <v>73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103411630</v>
      </c>
      <c r="T27" s="45">
        <f t="shared" si="4"/>
        <v>4732</v>
      </c>
      <c r="U27" s="46">
        <f t="shared" si="5"/>
        <v>113.568</v>
      </c>
      <c r="V27" s="46">
        <f t="shared" si="6"/>
        <v>4.7320000000000002</v>
      </c>
      <c r="W27" s="96">
        <v>3.8</v>
      </c>
      <c r="X27" s="96">
        <f t="shared" si="1"/>
        <v>3.8</v>
      </c>
      <c r="Y27" s="97" t="s">
        <v>168</v>
      </c>
      <c r="Z27" s="154">
        <v>0</v>
      </c>
      <c r="AA27" s="154">
        <v>1005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17831746</v>
      </c>
      <c r="AJ27" s="45">
        <f t="shared" si="7"/>
        <v>1167</v>
      </c>
      <c r="AK27" s="48">
        <f t="shared" si="9"/>
        <v>246.61876584953507</v>
      </c>
      <c r="AL27" s="151">
        <v>0</v>
      </c>
      <c r="AM27" s="151">
        <v>1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43311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-2</v>
      </c>
      <c r="G28" s="118">
        <v>76</v>
      </c>
      <c r="H28" s="150">
        <f t="shared" si="0"/>
        <v>53.521126760563384</v>
      </c>
      <c r="I28" s="150">
        <v>74</v>
      </c>
      <c r="J28" s="41" t="s">
        <v>88</v>
      </c>
      <c r="K28" s="41">
        <f t="shared" si="3"/>
        <v>50</v>
      </c>
      <c r="L28" s="42">
        <f>(G28-3)/1.42</f>
        <v>51.408450704225352</v>
      </c>
      <c r="M28" s="41">
        <f t="shared" si="12"/>
        <v>55.633802816901408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103416240</v>
      </c>
      <c r="T28" s="45">
        <f t="shared" si="4"/>
        <v>4610</v>
      </c>
      <c r="U28" s="46">
        <f t="shared" si="5"/>
        <v>110.64</v>
      </c>
      <c r="V28" s="46">
        <f t="shared" si="6"/>
        <v>4.6100000000000003</v>
      </c>
      <c r="W28" s="96">
        <v>3.5</v>
      </c>
      <c r="X28" s="96">
        <f t="shared" si="1"/>
        <v>3.5</v>
      </c>
      <c r="Y28" s="97" t="s">
        <v>168</v>
      </c>
      <c r="Z28" s="154">
        <v>0</v>
      </c>
      <c r="AA28" s="154">
        <v>1006</v>
      </c>
      <c r="AB28" s="154">
        <v>1186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17832883</v>
      </c>
      <c r="AJ28" s="45">
        <f>IF(ISBLANK(AI28),"-",AI28-AI27)</f>
        <v>1137</v>
      </c>
      <c r="AK28" s="48">
        <f t="shared" si="9"/>
        <v>246.63774403470714</v>
      </c>
      <c r="AL28" s="151">
        <v>0</v>
      </c>
      <c r="AM28" s="151">
        <v>1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43311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-2</v>
      </c>
      <c r="G29" s="118">
        <v>74</v>
      </c>
      <c r="H29" s="150">
        <f t="shared" si="0"/>
        <v>52.112676056338032</v>
      </c>
      <c r="I29" s="150">
        <v>72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103421245</v>
      </c>
      <c r="T29" s="45">
        <f t="shared" si="4"/>
        <v>5005</v>
      </c>
      <c r="U29" s="46">
        <f t="shared" si="5"/>
        <v>120.12</v>
      </c>
      <c r="V29" s="46">
        <f t="shared" si="6"/>
        <v>5.0049999999999999</v>
      </c>
      <c r="W29" s="96">
        <v>3.2</v>
      </c>
      <c r="X29" s="96">
        <f t="shared" si="1"/>
        <v>3.2</v>
      </c>
      <c r="Y29" s="97" t="s">
        <v>168</v>
      </c>
      <c r="Z29" s="154">
        <v>0</v>
      </c>
      <c r="AA29" s="154">
        <v>1005</v>
      </c>
      <c r="AB29" s="154">
        <v>1186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17834054</v>
      </c>
      <c r="AJ29" s="45">
        <f t="shared" si="7"/>
        <v>1171</v>
      </c>
      <c r="AK29" s="48">
        <f>AJ28/V29</f>
        <v>227.17282717282717</v>
      </c>
      <c r="AL29" s="151">
        <v>0</v>
      </c>
      <c r="AM29" s="151">
        <v>1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43311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-5</v>
      </c>
      <c r="G30" s="118">
        <v>74</v>
      </c>
      <c r="H30" s="150">
        <f t="shared" si="0"/>
        <v>52.112676056338032</v>
      </c>
      <c r="I30" s="150">
        <v>72</v>
      </c>
      <c r="J30" s="41" t="s">
        <v>88</v>
      </c>
      <c r="K30" s="41">
        <f t="shared" si="3"/>
        <v>48.591549295774648</v>
      </c>
      <c r="L30" s="42">
        <f t="shared" si="13"/>
        <v>50</v>
      </c>
      <c r="M30" s="41">
        <f t="shared" si="12"/>
        <v>54.225352112676056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103424090</v>
      </c>
      <c r="T30" s="45">
        <f t="shared" si="4"/>
        <v>2845</v>
      </c>
      <c r="U30" s="46">
        <f t="shared" si="5"/>
        <v>68.28</v>
      </c>
      <c r="V30" s="46">
        <f t="shared" si="6"/>
        <v>2.8450000000000002</v>
      </c>
      <c r="W30" s="96">
        <v>2.8</v>
      </c>
      <c r="X30" s="96">
        <f t="shared" si="1"/>
        <v>2.8</v>
      </c>
      <c r="Y30" s="97" t="s">
        <v>168</v>
      </c>
      <c r="Z30" s="154">
        <v>0</v>
      </c>
      <c r="AA30" s="154">
        <v>1015</v>
      </c>
      <c r="AB30" s="154">
        <v>1185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17835214</v>
      </c>
      <c r="AJ30" s="45">
        <f t="shared" si="7"/>
        <v>1160</v>
      </c>
      <c r="AK30" s="48">
        <f>AJ29/V30</f>
        <v>411.59929701230226</v>
      </c>
      <c r="AL30" s="151">
        <v>0</v>
      </c>
      <c r="AM30" s="151">
        <v>1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1.01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43311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-5</v>
      </c>
      <c r="G31" s="118">
        <v>73</v>
      </c>
      <c r="H31" s="150">
        <f t="shared" si="0"/>
        <v>51.408450704225352</v>
      </c>
      <c r="I31" s="150">
        <v>71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103430875</v>
      </c>
      <c r="T31" s="45">
        <f t="shared" si="4"/>
        <v>6785</v>
      </c>
      <c r="U31" s="46">
        <f t="shared" si="5"/>
        <v>162.84</v>
      </c>
      <c r="V31" s="46">
        <f t="shared" si="6"/>
        <v>6.7850000000000001</v>
      </c>
      <c r="W31" s="96">
        <v>2.5</v>
      </c>
      <c r="X31" s="96">
        <f t="shared" si="1"/>
        <v>2.5</v>
      </c>
      <c r="Y31" s="97" t="s">
        <v>168</v>
      </c>
      <c r="Z31" s="154">
        <v>0</v>
      </c>
      <c r="AA31" s="154">
        <v>1006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17836368</v>
      </c>
      <c r="AJ31" s="45">
        <f t="shared" si="7"/>
        <v>1154</v>
      </c>
      <c r="AK31" s="48">
        <f t="shared" si="9"/>
        <v>170.08106116433308</v>
      </c>
      <c r="AL31" s="151">
        <v>0</v>
      </c>
      <c r="AM31" s="151">
        <v>1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43311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-5</v>
      </c>
      <c r="G32" s="118">
        <v>73</v>
      </c>
      <c r="H32" s="150">
        <f t="shared" si="0"/>
        <v>51.408450704225352</v>
      </c>
      <c r="I32" s="150">
        <v>71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103435355</v>
      </c>
      <c r="T32" s="45">
        <f t="shared" si="4"/>
        <v>4480</v>
      </c>
      <c r="U32" s="46">
        <f t="shared" si="5"/>
        <v>107.52</v>
      </c>
      <c r="V32" s="46">
        <f t="shared" si="6"/>
        <v>4.4800000000000004</v>
      </c>
      <c r="W32" s="96">
        <v>2.2000000000000002</v>
      </c>
      <c r="X32" s="96">
        <f t="shared" si="1"/>
        <v>2.2000000000000002</v>
      </c>
      <c r="Y32" s="97" t="s">
        <v>168</v>
      </c>
      <c r="Z32" s="154">
        <v>0</v>
      </c>
      <c r="AA32" s="154">
        <v>1005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17837495</v>
      </c>
      <c r="AJ32" s="45">
        <f t="shared" si="7"/>
        <v>1127</v>
      </c>
      <c r="AK32" s="48">
        <f t="shared" si="9"/>
        <v>251.56249999999997</v>
      </c>
      <c r="AL32" s="151">
        <v>0</v>
      </c>
      <c r="AM32" s="151">
        <v>1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43311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-5</v>
      </c>
      <c r="G33" s="118">
        <v>73</v>
      </c>
      <c r="H33" s="150">
        <f t="shared" si="0"/>
        <v>51.408450704225352</v>
      </c>
      <c r="I33" s="150">
        <v>71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103440165</v>
      </c>
      <c r="T33" s="45">
        <f t="shared" si="4"/>
        <v>4810</v>
      </c>
      <c r="U33" s="46">
        <f t="shared" si="5"/>
        <v>115.44</v>
      </c>
      <c r="V33" s="46">
        <f t="shared" si="6"/>
        <v>4.8099999999999996</v>
      </c>
      <c r="W33" s="96">
        <v>1.9</v>
      </c>
      <c r="X33" s="96">
        <f t="shared" si="1"/>
        <v>1.9</v>
      </c>
      <c r="Y33" s="97" t="s">
        <v>168</v>
      </c>
      <c r="Z33" s="154">
        <v>0</v>
      </c>
      <c r="AA33" s="154">
        <v>1004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17838637</v>
      </c>
      <c r="AJ33" s="45">
        <f t="shared" si="7"/>
        <v>1142</v>
      </c>
      <c r="AK33" s="48">
        <f t="shared" si="9"/>
        <v>237.42203742203745</v>
      </c>
      <c r="AL33" s="151">
        <v>0</v>
      </c>
      <c r="AM33" s="151">
        <v>1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43311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-5</v>
      </c>
      <c r="G34" s="118">
        <v>73</v>
      </c>
      <c r="H34" s="150">
        <f t="shared" si="0"/>
        <v>51.408450704225352</v>
      </c>
      <c r="I34" s="150">
        <v>71</v>
      </c>
      <c r="J34" s="41" t="s">
        <v>88</v>
      </c>
      <c r="K34" s="41">
        <f t="shared" si="3"/>
        <v>47.887323943661976</v>
      </c>
      <c r="L34" s="42">
        <f t="shared" si="13"/>
        <v>49.295774647887328</v>
      </c>
      <c r="M34" s="41">
        <f t="shared" si="12"/>
        <v>53.521126760563384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103444770</v>
      </c>
      <c r="T34" s="45">
        <f t="shared" si="4"/>
        <v>4605</v>
      </c>
      <c r="U34" s="46">
        <f t="shared" si="5"/>
        <v>110.52</v>
      </c>
      <c r="V34" s="46">
        <f t="shared" si="6"/>
        <v>4.6050000000000004</v>
      </c>
      <c r="W34" s="96">
        <v>1.5</v>
      </c>
      <c r="X34" s="96">
        <f t="shared" si="1"/>
        <v>1.5</v>
      </c>
      <c r="Y34" s="97" t="s">
        <v>168</v>
      </c>
      <c r="Z34" s="154">
        <v>0</v>
      </c>
      <c r="AA34" s="154">
        <v>1005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17839740</v>
      </c>
      <c r="AJ34" s="45">
        <f t="shared" si="7"/>
        <v>1103</v>
      </c>
      <c r="AK34" s="48">
        <f t="shared" si="9"/>
        <v>239.52225841476653</v>
      </c>
      <c r="AL34" s="151">
        <v>0</v>
      </c>
      <c r="AM34" s="151">
        <v>1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0.88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43311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-5</v>
      </c>
      <c r="G35" s="118">
        <v>63</v>
      </c>
      <c r="H35" s="150">
        <f t="shared" si="0"/>
        <v>44.366197183098592</v>
      </c>
      <c r="I35" s="150">
        <v>61</v>
      </c>
      <c r="J35" s="41" t="s">
        <v>88</v>
      </c>
      <c r="K35" s="41">
        <f>L35-(2/1.42)</f>
        <v>39.436619718309863</v>
      </c>
      <c r="L35" s="42">
        <f>(G35-5)/1.42</f>
        <v>40.845070422535215</v>
      </c>
      <c r="M35" s="41">
        <f t="shared" si="12"/>
        <v>45.070422535211272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103449180</v>
      </c>
      <c r="T35" s="45">
        <f t="shared" si="4"/>
        <v>4410</v>
      </c>
      <c r="U35" s="46">
        <f t="shared" si="5"/>
        <v>105.84</v>
      </c>
      <c r="V35" s="46">
        <f t="shared" si="6"/>
        <v>4.41</v>
      </c>
      <c r="W35" s="96">
        <v>2.6</v>
      </c>
      <c r="X35" s="96">
        <f t="shared" si="1"/>
        <v>2.6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17840838</v>
      </c>
      <c r="AJ35" s="45">
        <f t="shared" si="7"/>
        <v>1098</v>
      </c>
      <c r="AK35" s="48">
        <f t="shared" si="9"/>
        <v>248.9795918367347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43311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0</v>
      </c>
      <c r="G36" s="118">
        <v>65</v>
      </c>
      <c r="H36" s="150">
        <f t="shared" si="0"/>
        <v>45.774647887323944</v>
      </c>
      <c r="I36" s="150">
        <v>63</v>
      </c>
      <c r="J36" s="41" t="s">
        <v>88</v>
      </c>
      <c r="K36" s="41">
        <f t="shared" si="3"/>
        <v>40.845070422535215</v>
      </c>
      <c r="L36" s="42">
        <f>(G36-5)/1.42</f>
        <v>42.253521126760567</v>
      </c>
      <c r="M36" s="41">
        <f t="shared" si="12"/>
        <v>46.478873239436624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103453690</v>
      </c>
      <c r="T36" s="45">
        <f t="shared" si="4"/>
        <v>4510</v>
      </c>
      <c r="U36" s="46">
        <f t="shared" si="5"/>
        <v>108.24</v>
      </c>
      <c r="V36" s="46">
        <f t="shared" si="6"/>
        <v>4.51</v>
      </c>
      <c r="W36" s="96">
        <v>4.5999999999999996</v>
      </c>
      <c r="X36" s="96">
        <f t="shared" si="1"/>
        <v>4.5999999999999996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17841907</v>
      </c>
      <c r="AJ36" s="45">
        <f t="shared" si="7"/>
        <v>1069</v>
      </c>
      <c r="AK36" s="48">
        <f t="shared" si="9"/>
        <v>237.02882483370288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113980</v>
      </c>
      <c r="U37" s="46">
        <f t="shared" si="5"/>
        <v>2735.52</v>
      </c>
      <c r="V37" s="46">
        <f t="shared" si="6"/>
        <v>113.98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27332</v>
      </c>
      <c r="AK37" s="61">
        <f>$AJ$37/$V37</f>
        <v>239.796455518512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0.91999999999999993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234" t="s">
        <v>273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32" t="s">
        <v>163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67" t="s">
        <v>274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32" t="s">
        <v>164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115" t="s">
        <v>179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209" t="s">
        <v>166</v>
      </c>
      <c r="C52" s="184"/>
      <c r="D52" s="184"/>
      <c r="E52" s="184"/>
      <c r="F52" s="130"/>
      <c r="G52" s="130"/>
      <c r="H52" s="156"/>
      <c r="I52" s="156"/>
      <c r="J52" s="156"/>
      <c r="K52" s="156"/>
      <c r="L52" s="156"/>
      <c r="M52" s="156"/>
      <c r="N52" s="131"/>
      <c r="O52" s="131"/>
      <c r="P52" s="131"/>
      <c r="Q52" s="114"/>
      <c r="R52" s="104"/>
      <c r="S52" s="104"/>
      <c r="T52" s="104"/>
      <c r="U52" s="114"/>
      <c r="V52" s="114"/>
      <c r="W52" s="114"/>
      <c r="X52" s="94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275</v>
      </c>
      <c r="C53" s="166"/>
      <c r="D53" s="166"/>
      <c r="E53" s="149"/>
      <c r="F53" s="149"/>
      <c r="G53" s="149"/>
      <c r="H53" s="149"/>
      <c r="I53" s="149"/>
      <c r="J53" s="149"/>
      <c r="K53" s="162"/>
      <c r="L53" s="143"/>
      <c r="M53" s="105"/>
      <c r="N53" s="105"/>
      <c r="O53" s="105"/>
      <c r="P53" s="105"/>
      <c r="Q53" s="105"/>
      <c r="R53" s="105"/>
      <c r="S53" s="105"/>
      <c r="T53" s="105"/>
      <c r="U53" s="105"/>
      <c r="V53" s="147"/>
      <c r="W53" s="147"/>
      <c r="X53" s="148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32" t="s">
        <v>171</v>
      </c>
      <c r="C54" s="166"/>
      <c r="D54" s="166"/>
      <c r="E54" s="115"/>
      <c r="F54" s="115"/>
      <c r="G54" s="115"/>
      <c r="H54" s="115"/>
      <c r="I54" s="149"/>
      <c r="J54" s="104"/>
      <c r="K54" s="104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47"/>
      <c r="W54" s="147"/>
      <c r="X54" s="148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83" t="s">
        <v>172</v>
      </c>
      <c r="C55" s="166"/>
      <c r="D55" s="166"/>
      <c r="E55" s="149"/>
      <c r="F55" s="149"/>
      <c r="G55" s="149"/>
      <c r="H55" s="149"/>
      <c r="I55" s="149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7"/>
      <c r="W55" s="147"/>
      <c r="X55" s="148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173</v>
      </c>
      <c r="C56" s="166"/>
      <c r="D56" s="170"/>
      <c r="E56" s="170"/>
      <c r="F56" s="114"/>
      <c r="G56" s="114"/>
      <c r="H56" s="104"/>
      <c r="I56" s="10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32" t="s">
        <v>174</v>
      </c>
      <c r="C57" s="149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115" t="s">
        <v>276</v>
      </c>
      <c r="C58" s="115"/>
      <c r="D58" s="100"/>
      <c r="E58" s="100"/>
      <c r="F58" s="115"/>
      <c r="G58" s="115"/>
      <c r="H58" s="9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209" t="s">
        <v>176</v>
      </c>
      <c r="C59" s="115"/>
      <c r="D59" s="162"/>
      <c r="E59" s="162"/>
      <c r="F59" s="162"/>
      <c r="G59" s="162"/>
      <c r="H59" s="162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 t="s">
        <v>224</v>
      </c>
      <c r="C60" s="115"/>
      <c r="D60" s="100"/>
      <c r="E60" s="100"/>
      <c r="F60" s="115"/>
      <c r="G60" s="115"/>
      <c r="H60" s="92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15"/>
      <c r="D61" s="162"/>
      <c r="E61" s="162"/>
      <c r="F61" s="162"/>
      <c r="G61" s="162"/>
      <c r="H61" s="162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AV61" s="86"/>
      <c r="AW61" s="86"/>
      <c r="AX61" s="86"/>
      <c r="AY61" s="86"/>
      <c r="AZ61" s="86"/>
      <c r="BA61" s="86"/>
      <c r="BB61" s="86"/>
    </row>
    <row r="62" spans="1:54" x14ac:dyDescent="0.35">
      <c r="B62" s="158"/>
      <c r="C62" s="115"/>
      <c r="D62" s="162"/>
      <c r="E62" s="162"/>
      <c r="F62" s="162"/>
      <c r="G62" s="162"/>
      <c r="H62" s="162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AV62" s="86"/>
      <c r="AW62" s="86"/>
      <c r="AX62" s="86"/>
      <c r="AY62" s="86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AV63" s="86"/>
      <c r="AW63" s="86"/>
      <c r="AX63" s="86"/>
      <c r="AY63" s="86"/>
      <c r="AZ63" s="86"/>
      <c r="BA63" s="86"/>
      <c r="BB63" s="86"/>
    </row>
    <row r="64" spans="1:54" x14ac:dyDescent="0.35">
      <c r="Q64" s="12"/>
      <c r="R64" s="87"/>
      <c r="S64" s="87"/>
      <c r="T64" s="87"/>
      <c r="U64" s="87"/>
      <c r="AV64" s="86"/>
      <c r="AW64" s="86"/>
      <c r="AX64" s="86"/>
      <c r="AY64" s="86"/>
      <c r="AZ64" s="86"/>
      <c r="BA64" s="86"/>
      <c r="BB64" s="86"/>
    </row>
    <row r="65" spans="17:54" x14ac:dyDescent="0.35">
      <c r="Q65" s="12"/>
      <c r="R65" s="87"/>
      <c r="S65" s="87"/>
      <c r="T65" s="87"/>
      <c r="U65" s="87"/>
      <c r="V65" s="87"/>
      <c r="AV65" s="86"/>
      <c r="AW65" s="86"/>
      <c r="AX65" s="86"/>
      <c r="AY65" s="86"/>
      <c r="AZ65" s="86"/>
      <c r="BA65" s="86"/>
      <c r="BB65" s="86"/>
    </row>
    <row r="66" spans="17:54" x14ac:dyDescent="0.35">
      <c r="Q66" s="12"/>
      <c r="R66" s="87"/>
      <c r="S66" s="87"/>
      <c r="T66" s="87"/>
      <c r="U66" s="87"/>
      <c r="V66" s="87"/>
      <c r="AV66" s="86"/>
      <c r="AW66" s="86"/>
      <c r="AX66" s="86"/>
      <c r="AY66" s="86"/>
      <c r="AZ66" s="86"/>
      <c r="BA66" s="86"/>
      <c r="BB66" s="86"/>
    </row>
    <row r="67" spans="17:54" x14ac:dyDescent="0.35">
      <c r="Q67" s="12"/>
      <c r="R67" s="87"/>
      <c r="V67" s="87"/>
      <c r="AV67" s="86"/>
      <c r="AW67" s="86"/>
      <c r="AX67" s="86"/>
      <c r="AY67" s="86"/>
      <c r="AZ67" s="86"/>
      <c r="BA67" s="86"/>
      <c r="BB67" s="86"/>
    </row>
    <row r="68" spans="17:54" x14ac:dyDescent="0.35">
      <c r="Q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17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17:54" x14ac:dyDescent="0.35">
      <c r="Q70" s="12"/>
      <c r="R70" s="87"/>
      <c r="S70" s="87"/>
      <c r="T70" s="87"/>
      <c r="U70" s="87"/>
      <c r="V70" s="87"/>
      <c r="W70" s="87"/>
      <c r="AV70" s="86"/>
      <c r="AW70" s="86"/>
      <c r="AX70" s="86"/>
      <c r="AY70" s="86"/>
      <c r="AZ70" s="86"/>
      <c r="BA70" s="86"/>
      <c r="BB70" s="86"/>
    </row>
    <row r="71" spans="17:54" x14ac:dyDescent="0.35">
      <c r="Q71" s="12"/>
      <c r="R71" s="87"/>
      <c r="V71" s="87"/>
      <c r="W71" s="87"/>
      <c r="AV71" s="86"/>
      <c r="AW71" s="86"/>
      <c r="AX71" s="86"/>
      <c r="AY71" s="86"/>
      <c r="AZ71" s="86"/>
      <c r="BA71" s="86"/>
      <c r="BB71" s="86"/>
    </row>
    <row r="72" spans="17:54" x14ac:dyDescent="0.35">
      <c r="BB72" s="86"/>
    </row>
    <row r="83" spans="48:54" x14ac:dyDescent="0.35">
      <c r="AV83" s="86"/>
      <c r="AW83" s="86"/>
      <c r="AX83" s="86"/>
      <c r="AY83" s="86"/>
      <c r="AZ83" s="86"/>
      <c r="BA83" s="86"/>
    </row>
    <row r="84" spans="48:54" x14ac:dyDescent="0.35">
      <c r="BB84" s="86"/>
    </row>
  </sheetData>
  <protectedRanges>
    <protectedRange sqref="AH11:AH12 AF8:AF9 AH8:AH9 AL8:AU9 P34:P36 P11:P25 N26:P33 N11:N12 U37:V37 T13:V36 AF13:AH36 E13:F36 H13:I36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0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3" name="Range2_2_12_1_3_1_2_1_1_1_1_2_1_1_1_1_1_1_1_1_1_1_1"/>
    <protectedRange sqref="F58:F63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56:H57" name="Range2_12_5_1_1_1_2_2_1_1_1_1_1_1_1_1_1_1_1_2_1_1_1_2_1_1_1_1_1_1_1_1_1_1_1_1_1_1_1_1_2_1_1_1_1_1_1_1_1_1_2_1_1_3_1_1_1_3_1_1_1_1_1_1_1_1_1_1_1_1_1_1_1_1_1_1_1_1_1_1_2_1_1_1_1_1_1_1_1_1_1_1_2_2_1_2_1_1_1_1_1_1_1_1_1_1_1_1_1"/>
    <protectedRange sqref="U53:V63" name="Range2_12_5_1_1_2_1_1_1_2_1_1_1_1_1_1_1_1_1_1_1_1_1"/>
    <protectedRange sqref="P53:T63" name="Range2_12_1_6_1_1_2_1_1_1_2_1_1_1_1_1_1_1_1_1_1_1_1_1"/>
    <protectedRange sqref="N53:O63" name="Range2_2_12_1_7_1_1_3_1_1_1_2_1_1_1_1_1_1_1_1_1_1_1_1_1"/>
    <protectedRange sqref="M53 L54:M63" name="Range2_2_12_1_4_1_1_1_1_1_1_1_1_1_1_1_1_1_1_1_2_1_1_1_2_1_1_1_1_1_1_1_1_1_1_1_1_1"/>
    <protectedRange sqref="K54:K63" name="Range2_2_12_1_7_1_1_2_2_1_2_2_1_1_1_2_1_1_1_1_1_1_1_1_1_1_1_1_1"/>
    <protectedRange sqref="J54:J55 I56:J63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3:W4" name="Range1_16_1_1_1_1_1_1_2_2_2_2_2_2_2_2_2_2_2_2_2_2_2_2_2_2_2_2_2_2_2_1_2_2_2_2_2_2_2_2_2_2_3_2_2_2_2_2_2_2_2_2_2_1_1_1_1_2_2_1_1_1_1_1_1_1_1_1_1_1_1_1_1_3_1_2_1_1_1_1_1_1_2_1_1_1_1_1_1_1_1_1_1_1_1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3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2"/>
    <protectedRange sqref="B53" name="Range2_12_5_1_1_1_2_1_1_1_1_1_1_1_1_1_1_1_2_1_1_1_1_1_1_1_1_1_1_1_1_1_1_1_1_1_1_1_1_1_1_2_1_1_1_1_1_1_1_1_1_1_1_2_1_1_1_1_2_1_1_1_1_1_1_1_1_1_1_1_2_1_1_1_1_1_1_1_1_1_1_1_1_1_1_3_1_1_1_1_2_1_1_1_1_1_1_1_2_1_1_1_1_1_1_1_1_1_1_1_1_1_1_1_1_1_1_1_1_1_1_1_1__5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33" priority="5" operator="containsText" text="N/A">
      <formula>NOT(ISERROR(SEARCH("N/A",Z13)))</formula>
    </cfRule>
    <cfRule type="cellIs" dxfId="32" priority="17" operator="equal">
      <formula>0</formula>
    </cfRule>
  </conditionalFormatting>
  <conditionalFormatting sqref="Z13:AG36">
    <cfRule type="cellIs" dxfId="31" priority="16" operator="greaterThanOrEqual">
      <formula>1185</formula>
    </cfRule>
  </conditionalFormatting>
  <conditionalFormatting sqref="Z13:AG36">
    <cfRule type="cellIs" dxfId="30" priority="15" operator="between">
      <formula>0.1</formula>
      <formula>1184</formula>
    </cfRule>
  </conditionalFormatting>
  <conditionalFormatting sqref="Z8:Z9 AT13:AT36 AL37:AQ37 AL13:AR36">
    <cfRule type="cellIs" dxfId="29" priority="14" operator="equal">
      <formula>0</formula>
    </cfRule>
  </conditionalFormatting>
  <conditionalFormatting sqref="Z8:Z9 AT13:AT36 AL37:AQ37 AL13:AR36">
    <cfRule type="cellIs" dxfId="28" priority="13" operator="greaterThan">
      <formula>1179</formula>
    </cfRule>
  </conditionalFormatting>
  <conditionalFormatting sqref="Z8:Z9 AT13:AT36 AL37:AQ37 AL13:AR36">
    <cfRule type="cellIs" dxfId="27" priority="12" operator="greaterThan">
      <formula>99</formula>
    </cfRule>
  </conditionalFormatting>
  <conditionalFormatting sqref="Z8:Z9 AT13:AT36 AL37:AQ37 AL13:AR36">
    <cfRule type="cellIs" dxfId="26" priority="11" operator="greaterThan">
      <formula>0.99</formula>
    </cfRule>
  </conditionalFormatting>
  <conditionalFormatting sqref="AD8:AD9">
    <cfRule type="cellIs" dxfId="25" priority="10" operator="equal">
      <formula>0</formula>
    </cfRule>
  </conditionalFormatting>
  <conditionalFormatting sqref="AD8:AD9">
    <cfRule type="cellIs" dxfId="24" priority="9" operator="greaterThan">
      <formula>1179</formula>
    </cfRule>
  </conditionalFormatting>
  <conditionalFormatting sqref="AD8:AD9">
    <cfRule type="cellIs" dxfId="23" priority="8" operator="greaterThan">
      <formula>99</formula>
    </cfRule>
  </conditionalFormatting>
  <conditionalFormatting sqref="AD8:AD9">
    <cfRule type="cellIs" dxfId="22" priority="7" operator="greaterThan">
      <formula>0.99</formula>
    </cfRule>
  </conditionalFormatting>
  <conditionalFormatting sqref="AK13:AK36">
    <cfRule type="cellIs" dxfId="21" priority="6" operator="greaterThan">
      <formula>$AK$8</formula>
    </cfRule>
  </conditionalFormatting>
  <conditionalFormatting sqref="AS13:AS36">
    <cfRule type="containsText" dxfId="20" priority="1" operator="containsText" text="N/A">
      <formula>NOT(ISERROR(SEARCH("N/A",AS13)))</formula>
    </cfRule>
    <cfRule type="cellIs" dxfId="19" priority="4" operator="equal">
      <formula>0</formula>
    </cfRule>
  </conditionalFormatting>
  <conditionalFormatting sqref="AS13:AS36">
    <cfRule type="cellIs" dxfId="18" priority="3" operator="greaterThanOrEqual">
      <formula>1185</formula>
    </cfRule>
  </conditionalFormatting>
  <conditionalFormatting sqref="AS13:AS36">
    <cfRule type="cellIs" dxfId="17" priority="2" operator="between">
      <formula>0.1</formula>
      <formula>1184</formula>
    </cfRule>
  </conditionalFormatting>
  <dataValidations count="4">
    <dataValidation type="list" allowBlank="1" showInputMessage="1" showErrorMessage="1" sqref="R3:R5" xr:uid="{00000000-0002-0000-1D00-000000000000}">
      <formula1>$BB$11:$BB$42</formula1>
    </dataValidation>
    <dataValidation type="list" allowBlank="1" showInputMessage="1" showErrorMessage="1" sqref="J13:J36" xr:uid="{00000000-0002-0000-1D00-000001000000}">
      <formula1>$AY$11:$AY$21</formula1>
    </dataValidation>
    <dataValidation type="list" allowBlank="1" showInputMessage="1" showErrorMessage="1" sqref="AS8:AT9 P11:P12 N11:N12 D8:E9 Q8:V9" xr:uid="{00000000-0002-0000-1D00-000002000000}">
      <formula1>#REF!</formula1>
    </dataValidation>
    <dataValidation type="list" allowBlank="1" showInputMessage="1" showErrorMessage="1" sqref="AY33:AZ33" xr:uid="{00000000-0002-0000-1D00-000003000000}">
      <formula1>$AY$26:$AY$30</formula1>
    </dataValidation>
  </dataValidations>
  <hyperlinks>
    <hyperlink ref="J10:J11" location="'1'!AH8" display="Plant Status" xr:uid="{00000000-0004-0000-1D00-000000000000}"/>
  </hyperlinks>
  <pageMargins left="0.7" right="0.7" top="0.75" bottom="0.75" header="0.3" footer="0.3"/>
  <pageSetup paperSize="9" orientation="portrait" horizontalDpi="429496729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rgb="FF7030A0"/>
  </sheetPr>
  <dimension ref="A2:BB84"/>
  <sheetViews>
    <sheetView zoomScaleNormal="100" workbookViewId="0">
      <selection activeCell="F12" sqref="F12"/>
    </sheetView>
  </sheetViews>
  <sheetFormatPr defaultColWidth="9.1796875" defaultRowHeight="14.5" x14ac:dyDescent="0.35"/>
  <cols>
    <col min="1" max="1" width="8.26953125" style="86" bestFit="1" customWidth="1"/>
    <col min="2" max="2" width="10.26953125" style="86" customWidth="1"/>
    <col min="3" max="3" width="14" style="86" customWidth="1"/>
    <col min="4" max="9" width="9.1796875" style="86"/>
    <col min="10" max="10" width="20.453125" style="86" customWidth="1"/>
    <col min="11" max="12" width="9.1796875" style="86"/>
    <col min="13" max="13" width="9" style="86" customWidth="1"/>
    <col min="14" max="16" width="9.1796875" style="86" customWidth="1"/>
    <col min="17" max="18" width="9.26953125" style="86" bestFit="1" customWidth="1"/>
    <col min="19" max="20" width="9.1796875" style="86" customWidth="1"/>
    <col min="21" max="21" width="11.54296875" style="86" bestFit="1" customWidth="1"/>
    <col min="22" max="22" width="10.54296875" style="86" bestFit="1" customWidth="1"/>
    <col min="23" max="24" width="9.26953125" style="86" bestFit="1" customWidth="1"/>
    <col min="25" max="25" width="9.1796875" style="86"/>
    <col min="26" max="30" width="9.26953125" style="86" bestFit="1" customWidth="1"/>
    <col min="31" max="34" width="9.1796875" style="86"/>
    <col min="35" max="35" width="10.54296875" style="86" bestFit="1" customWidth="1"/>
    <col min="36" max="37" width="9.26953125" style="86" bestFit="1" customWidth="1"/>
    <col min="38" max="47" width="9.1796875" style="86"/>
    <col min="48" max="48" width="83.81640625" style="12" customWidth="1"/>
    <col min="49" max="50" width="9.1796875" style="87"/>
    <col min="51" max="51" width="29.7265625" style="87" customWidth="1"/>
    <col min="52" max="52" width="22" style="87" customWidth="1"/>
    <col min="53" max="53" width="9.1796875" style="87"/>
    <col min="54" max="54" width="38.54296875" style="87" bestFit="1" customWidth="1"/>
    <col min="55" max="16384" width="9.1796875" style="86"/>
  </cols>
  <sheetData>
    <row r="2" spans="1:54" ht="21" x14ac:dyDescent="0.35">
      <c r="B2" s="2"/>
      <c r="C2" s="87"/>
      <c r="D2" s="87"/>
      <c r="E2" s="87"/>
      <c r="F2" s="3"/>
      <c r="G2" s="3"/>
      <c r="H2" s="3"/>
      <c r="I2" s="87"/>
      <c r="J2" s="4"/>
      <c r="K2" s="4"/>
      <c r="L2" s="87"/>
      <c r="M2" s="4"/>
      <c r="N2" s="4"/>
      <c r="O2" s="87"/>
      <c r="P2" s="87"/>
      <c r="Q2" s="5"/>
      <c r="R2" s="6" t="s">
        <v>0</v>
      </c>
      <c r="S2" s="6"/>
      <c r="T2" s="7"/>
      <c r="U2" s="8"/>
      <c r="V2" s="9"/>
      <c r="W2" s="9"/>
      <c r="X2" s="10"/>
      <c r="Y2" s="11"/>
      <c r="Z2" s="9"/>
      <c r="AA2" s="9"/>
      <c r="AB2" s="9"/>
      <c r="AC2" s="9"/>
      <c r="AD2" s="9"/>
      <c r="AE2" s="9"/>
      <c r="AF2" s="9"/>
      <c r="AG2" s="9"/>
      <c r="AO2" s="87"/>
      <c r="AP2" s="87"/>
      <c r="AQ2" s="87"/>
      <c r="AR2" s="87"/>
      <c r="AS2" s="87"/>
      <c r="AT2" s="87"/>
      <c r="AU2" s="87"/>
    </row>
    <row r="3" spans="1:54" ht="15.75" customHeight="1" x14ac:dyDescent="0.35">
      <c r="B3" s="13" t="s">
        <v>1</v>
      </c>
      <c r="C3" s="13"/>
      <c r="D3" s="13"/>
      <c r="E3" s="13"/>
      <c r="F3" s="87"/>
      <c r="G3" s="4"/>
      <c r="H3" s="4"/>
      <c r="I3" s="4"/>
      <c r="J3" s="87"/>
      <c r="K3" s="87"/>
      <c r="L3" s="87"/>
      <c r="M3" s="14"/>
      <c r="N3" s="15"/>
      <c r="O3" s="87"/>
      <c r="P3" s="87"/>
      <c r="Q3" s="16" t="s">
        <v>2</v>
      </c>
      <c r="R3" s="281" t="s">
        <v>132</v>
      </c>
      <c r="S3" s="282"/>
      <c r="T3" s="282"/>
      <c r="U3" s="282"/>
      <c r="V3" s="282"/>
      <c r="W3" s="283"/>
      <c r="X3" s="17"/>
      <c r="Y3" s="17"/>
      <c r="Z3" s="17"/>
      <c r="AA3" s="17"/>
      <c r="AB3" s="17"/>
      <c r="AJ3" s="87"/>
      <c r="AK3" s="87"/>
      <c r="AL3" s="87"/>
      <c r="AM3" s="87"/>
      <c r="AN3" s="12"/>
      <c r="AO3" s="87"/>
      <c r="AP3" s="87"/>
      <c r="AQ3" s="87"/>
      <c r="AR3" s="87"/>
      <c r="AS3" s="87"/>
      <c r="AT3" s="87"/>
      <c r="AU3" s="87"/>
      <c r="AV3" s="87"/>
    </row>
    <row r="4" spans="1:54" x14ac:dyDescent="0.35">
      <c r="B4" s="18" t="s">
        <v>3</v>
      </c>
      <c r="C4" s="18"/>
      <c r="D4" s="18"/>
      <c r="E4" s="18"/>
      <c r="F4" s="87"/>
      <c r="G4" s="19"/>
      <c r="H4" s="19"/>
      <c r="I4" s="87"/>
      <c r="J4" s="87"/>
      <c r="K4" s="87"/>
      <c r="L4" s="87"/>
      <c r="M4" s="87"/>
      <c r="N4" s="87"/>
      <c r="O4" s="87"/>
      <c r="P4" s="87"/>
      <c r="Q4" s="16" t="s">
        <v>4</v>
      </c>
      <c r="R4" s="281" t="s">
        <v>157</v>
      </c>
      <c r="S4" s="282"/>
      <c r="T4" s="282"/>
      <c r="U4" s="282"/>
      <c r="V4" s="282"/>
      <c r="W4" s="283"/>
      <c r="X4" s="17"/>
      <c r="Y4" s="17"/>
      <c r="Z4" s="17"/>
      <c r="AA4" s="17"/>
      <c r="AB4" s="17"/>
      <c r="AJ4" s="87"/>
      <c r="AK4" s="87"/>
      <c r="AL4" s="87"/>
      <c r="AM4" s="87"/>
      <c r="AN4" s="12"/>
      <c r="AO4" s="87"/>
      <c r="AP4" s="87"/>
      <c r="AQ4" s="87"/>
      <c r="AR4" s="87"/>
      <c r="AS4" s="87"/>
      <c r="AT4" s="87"/>
      <c r="AU4" s="87"/>
      <c r="AV4" s="87"/>
    </row>
    <row r="5" spans="1:54" x14ac:dyDescent="0.35">
      <c r="B5" s="87"/>
      <c r="C5" s="87"/>
      <c r="D5" s="87"/>
      <c r="E5" s="87"/>
      <c r="F5" s="20"/>
      <c r="G5" s="20"/>
      <c r="H5" s="20"/>
      <c r="I5" s="87"/>
      <c r="J5" s="87"/>
      <c r="K5" s="87"/>
      <c r="L5" s="87"/>
      <c r="M5" s="87"/>
      <c r="N5" s="87"/>
      <c r="O5" s="87"/>
      <c r="P5" s="87"/>
      <c r="Q5" s="16" t="s">
        <v>5</v>
      </c>
      <c r="R5" s="281" t="s">
        <v>156</v>
      </c>
      <c r="S5" s="282"/>
      <c r="T5" s="282"/>
      <c r="U5" s="282"/>
      <c r="V5" s="282"/>
      <c r="W5" s="283"/>
      <c r="X5" s="17"/>
      <c r="Y5" s="17"/>
      <c r="Z5" s="17"/>
      <c r="AA5" s="17"/>
      <c r="AB5" s="17"/>
      <c r="AJ5" s="87"/>
      <c r="AK5" s="87"/>
      <c r="AL5" s="87"/>
      <c r="AM5" s="87"/>
      <c r="AN5" s="12"/>
      <c r="AO5" s="87"/>
      <c r="AP5" s="87"/>
      <c r="AQ5" s="87"/>
      <c r="AR5" s="87"/>
      <c r="AS5" s="87"/>
      <c r="AT5" s="87"/>
      <c r="AU5" s="87"/>
      <c r="AV5" s="87"/>
    </row>
    <row r="6" spans="1:54" x14ac:dyDescent="0.35">
      <c r="B6" s="284" t="s">
        <v>6</v>
      </c>
      <c r="C6" s="285"/>
      <c r="D6" s="286" t="s">
        <v>7</v>
      </c>
      <c r="E6" s="287"/>
      <c r="F6" s="287"/>
      <c r="G6" s="287"/>
      <c r="H6" s="287"/>
      <c r="I6" s="287"/>
      <c r="J6" s="288"/>
      <c r="K6" s="87"/>
      <c r="L6" s="87"/>
      <c r="M6" s="269"/>
      <c r="N6" s="289">
        <v>41686</v>
      </c>
      <c r="O6" s="290"/>
      <c r="P6" s="21"/>
      <c r="Q6" s="21"/>
      <c r="R6" s="22"/>
      <c r="S6" s="22"/>
      <c r="T6" s="22"/>
      <c r="U6" s="22"/>
      <c r="V6" s="22"/>
      <c r="W6" s="22"/>
      <c r="X6" s="22"/>
      <c r="Y6" s="23"/>
      <c r="Z6" s="23"/>
      <c r="AA6" s="23"/>
      <c r="AB6" s="23"/>
      <c r="AC6" s="23"/>
      <c r="AD6" s="23"/>
      <c r="AE6" s="23"/>
      <c r="AF6" s="23"/>
      <c r="AG6" s="23"/>
      <c r="AL6" s="24"/>
      <c r="AO6" s="25"/>
      <c r="AP6" s="25"/>
      <c r="AQ6" s="25"/>
      <c r="AR6" s="25"/>
      <c r="AS6" s="25"/>
      <c r="AT6" s="25"/>
      <c r="AU6" s="25"/>
      <c r="AV6" s="26"/>
    </row>
    <row r="7" spans="1:54" ht="24" x14ac:dyDescent="0.35">
      <c r="B7" s="291" t="s">
        <v>8</v>
      </c>
      <c r="C7" s="292"/>
      <c r="D7" s="291" t="s">
        <v>9</v>
      </c>
      <c r="E7" s="293"/>
      <c r="F7" s="293"/>
      <c r="G7" s="293"/>
      <c r="H7" s="293"/>
      <c r="I7" s="292"/>
      <c r="J7" s="259" t="s">
        <v>10</v>
      </c>
      <c r="K7" s="99" t="s">
        <v>11</v>
      </c>
      <c r="L7" s="99" t="s">
        <v>12</v>
      </c>
      <c r="M7" s="99" t="s">
        <v>13</v>
      </c>
      <c r="N7" s="12"/>
      <c r="O7" s="12"/>
      <c r="P7" s="12"/>
      <c r="Q7" s="259" t="s">
        <v>14</v>
      </c>
      <c r="R7" s="291" t="s">
        <v>15</v>
      </c>
      <c r="S7" s="293"/>
      <c r="T7" s="293"/>
      <c r="U7" s="293"/>
      <c r="V7" s="292"/>
      <c r="W7" s="291" t="s">
        <v>16</v>
      </c>
      <c r="X7" s="292"/>
      <c r="Y7" s="99" t="s">
        <v>17</v>
      </c>
      <c r="Z7" s="291" t="s">
        <v>18</v>
      </c>
      <c r="AA7" s="292"/>
      <c r="AB7" s="291" t="s">
        <v>19</v>
      </c>
      <c r="AC7" s="292"/>
      <c r="AD7" s="291" t="s">
        <v>20</v>
      </c>
      <c r="AE7" s="292"/>
      <c r="AF7" s="291" t="s">
        <v>21</v>
      </c>
      <c r="AG7" s="292"/>
      <c r="AH7" s="99" t="s">
        <v>22</v>
      </c>
      <c r="AI7" s="99" t="s">
        <v>23</v>
      </c>
      <c r="AJ7" s="99" t="s">
        <v>24</v>
      </c>
      <c r="AK7" s="99" t="s">
        <v>25</v>
      </c>
      <c r="AL7" s="291" t="s">
        <v>26</v>
      </c>
      <c r="AM7" s="293"/>
      <c r="AN7" s="293"/>
      <c r="AO7" s="293"/>
      <c r="AP7" s="293"/>
      <c r="AQ7" s="292"/>
      <c r="AR7" s="291" t="s">
        <v>27</v>
      </c>
      <c r="AS7" s="293"/>
      <c r="AT7" s="292"/>
      <c r="AU7" s="99" t="s">
        <v>28</v>
      </c>
      <c r="AV7" s="27"/>
      <c r="AW7" s="12"/>
      <c r="AX7" s="12"/>
      <c r="AY7" s="12"/>
      <c r="AZ7" s="12"/>
      <c r="BA7" s="12"/>
      <c r="BB7" s="12"/>
    </row>
    <row r="8" spans="1:54" x14ac:dyDescent="0.35">
      <c r="B8" s="294">
        <v>43312</v>
      </c>
      <c r="C8" s="295"/>
      <c r="D8" s="296" t="s">
        <v>29</v>
      </c>
      <c r="E8" s="297"/>
      <c r="F8" s="297"/>
      <c r="G8" s="297"/>
      <c r="H8" s="297"/>
      <c r="I8" s="298"/>
      <c r="J8" s="28"/>
      <c r="K8" s="296" t="s">
        <v>29</v>
      </c>
      <c r="L8" s="297"/>
      <c r="M8" s="298"/>
      <c r="N8" s="29"/>
      <c r="O8" s="29"/>
      <c r="P8" s="29"/>
      <c r="Q8" s="28" t="s">
        <v>30</v>
      </c>
      <c r="R8" s="28" t="s">
        <v>30</v>
      </c>
      <c r="S8" s="28" t="s">
        <v>31</v>
      </c>
      <c r="T8" s="28" t="s">
        <v>31</v>
      </c>
      <c r="U8" s="28" t="s">
        <v>30</v>
      </c>
      <c r="V8" s="28" t="s">
        <v>32</v>
      </c>
      <c r="W8" s="296" t="s">
        <v>33</v>
      </c>
      <c r="X8" s="298"/>
      <c r="Y8" s="30" t="s">
        <v>34</v>
      </c>
      <c r="Z8" s="299">
        <v>0</v>
      </c>
      <c r="AA8" s="300"/>
      <c r="AB8" s="301" t="s">
        <v>35</v>
      </c>
      <c r="AC8" s="302"/>
      <c r="AD8" s="299">
        <v>1185</v>
      </c>
      <c r="AE8" s="300"/>
      <c r="AF8" s="303">
        <v>800</v>
      </c>
      <c r="AG8" s="304"/>
      <c r="AH8" s="28"/>
      <c r="AI8" s="30">
        <f>AI36-AI11</f>
        <v>27189</v>
      </c>
      <c r="AJ8" s="31"/>
      <c r="AK8" s="31"/>
      <c r="AL8" s="28" t="s">
        <v>36</v>
      </c>
      <c r="AM8" s="28" t="s">
        <v>36</v>
      </c>
      <c r="AN8" s="28" t="s">
        <v>36</v>
      </c>
      <c r="AO8" s="28" t="s">
        <v>36</v>
      </c>
      <c r="AP8" s="28"/>
      <c r="AQ8" s="28" t="s">
        <v>36</v>
      </c>
      <c r="AR8" s="28" t="s">
        <v>36</v>
      </c>
      <c r="AS8" s="28" t="s">
        <v>31</v>
      </c>
      <c r="AT8" s="28" t="s">
        <v>31</v>
      </c>
      <c r="AU8" s="28" t="s">
        <v>37</v>
      </c>
      <c r="AV8" s="27"/>
      <c r="AY8" s="32" t="s">
        <v>38</v>
      </c>
    </row>
    <row r="9" spans="1:54" x14ac:dyDescent="0.35">
      <c r="B9" s="260"/>
      <c r="C9" s="261"/>
      <c r="D9" s="262"/>
      <c r="E9" s="263"/>
      <c r="F9" s="263"/>
      <c r="G9" s="263"/>
      <c r="H9" s="263"/>
      <c r="I9" s="264"/>
      <c r="J9" s="121"/>
      <c r="K9" s="262"/>
      <c r="L9" s="263"/>
      <c r="M9" s="264"/>
      <c r="N9" s="29"/>
      <c r="O9" s="29"/>
      <c r="P9" s="29"/>
      <c r="Q9" s="121"/>
      <c r="R9" s="121"/>
      <c r="S9" s="121"/>
      <c r="T9" s="122"/>
      <c r="U9" s="123"/>
      <c r="V9" s="124"/>
      <c r="W9" s="262"/>
      <c r="X9" s="264"/>
      <c r="Y9" s="30"/>
      <c r="Z9" s="265"/>
      <c r="AA9" s="125"/>
      <c r="AB9" s="126"/>
      <c r="AC9" s="126"/>
      <c r="AD9" s="125"/>
      <c r="AE9" s="125"/>
      <c r="AF9" s="127"/>
      <c r="AG9" s="266"/>
      <c r="AH9" s="28"/>
      <c r="AI9" s="30"/>
      <c r="AJ9" s="31"/>
      <c r="AK9" s="128"/>
      <c r="AL9" s="28"/>
      <c r="AM9" s="28"/>
      <c r="AN9" s="28"/>
      <c r="AO9" s="28"/>
      <c r="AP9" s="28"/>
      <c r="AQ9" s="28"/>
      <c r="AR9" s="28"/>
      <c r="AS9" s="28"/>
      <c r="AT9" s="121"/>
      <c r="AU9" s="28"/>
      <c r="AV9" s="27"/>
      <c r="AY9" s="32"/>
    </row>
    <row r="10" spans="1:54" ht="60" x14ac:dyDescent="0.35">
      <c r="B10" s="305" t="s">
        <v>39</v>
      </c>
      <c r="C10" s="306"/>
      <c r="D10" s="305" t="s">
        <v>40</v>
      </c>
      <c r="E10" s="307"/>
      <c r="F10" s="306"/>
      <c r="G10" s="305" t="s">
        <v>41</v>
      </c>
      <c r="H10" s="307"/>
      <c r="I10" s="306"/>
      <c r="J10" s="308" t="s">
        <v>42</v>
      </c>
      <c r="K10" s="305" t="s">
        <v>43</v>
      </c>
      <c r="L10" s="307"/>
      <c r="M10" s="306"/>
      <c r="N10" s="99" t="s">
        <v>44</v>
      </c>
      <c r="O10" s="310" t="s">
        <v>45</v>
      </c>
      <c r="P10" s="33" t="s">
        <v>46</v>
      </c>
      <c r="Q10" s="312" t="s">
        <v>47</v>
      </c>
      <c r="R10" s="312" t="s">
        <v>48</v>
      </c>
      <c r="S10" s="34" t="s">
        <v>49</v>
      </c>
      <c r="T10" s="319" t="s">
        <v>50</v>
      </c>
      <c r="U10" s="320"/>
      <c r="V10" s="321"/>
      <c r="W10" s="270" t="s">
        <v>51</v>
      </c>
      <c r="X10" s="270" t="s">
        <v>52</v>
      </c>
      <c r="Y10" s="325" t="s">
        <v>53</v>
      </c>
      <c r="Z10" s="326" t="s">
        <v>54</v>
      </c>
      <c r="AA10" s="327"/>
      <c r="AB10" s="327"/>
      <c r="AC10" s="327"/>
      <c r="AD10" s="327"/>
      <c r="AE10" s="327"/>
      <c r="AF10" s="327"/>
      <c r="AG10" s="328"/>
      <c r="AH10" s="268" t="s">
        <v>55</v>
      </c>
      <c r="AI10" s="268" t="s">
        <v>56</v>
      </c>
      <c r="AJ10" s="314" t="s">
        <v>57</v>
      </c>
      <c r="AK10" s="329" t="s">
        <v>58</v>
      </c>
      <c r="AL10" s="270" t="s">
        <v>59</v>
      </c>
      <c r="AM10" s="270" t="s">
        <v>60</v>
      </c>
      <c r="AN10" s="270" t="s">
        <v>61</v>
      </c>
      <c r="AO10" s="270" t="s">
        <v>62</v>
      </c>
      <c r="AP10" s="270" t="s">
        <v>63</v>
      </c>
      <c r="AQ10" s="270" t="s">
        <v>124</v>
      </c>
      <c r="AR10" s="270" t="s">
        <v>64</v>
      </c>
      <c r="AS10" s="270" t="s">
        <v>65</v>
      </c>
      <c r="AT10" s="312" t="s">
        <v>66</v>
      </c>
      <c r="AU10" s="270" t="s">
        <v>67</v>
      </c>
      <c r="AV10" s="314" t="s">
        <v>68</v>
      </c>
      <c r="AY10" s="35" t="s">
        <v>69</v>
      </c>
      <c r="AZ10" s="35" t="s">
        <v>70</v>
      </c>
      <c r="BB10" s="36" t="s">
        <v>71</v>
      </c>
    </row>
    <row r="11" spans="1:54" ht="24" x14ac:dyDescent="0.35">
      <c r="B11" s="270" t="s">
        <v>72</v>
      </c>
      <c r="C11" s="270" t="s">
        <v>73</v>
      </c>
      <c r="D11" s="270" t="s">
        <v>74</v>
      </c>
      <c r="E11" s="270" t="s">
        <v>75</v>
      </c>
      <c r="F11" s="270" t="s">
        <v>127</v>
      </c>
      <c r="G11" s="270" t="s">
        <v>74</v>
      </c>
      <c r="H11" s="270" t="s">
        <v>75</v>
      </c>
      <c r="I11" s="270" t="s">
        <v>127</v>
      </c>
      <c r="J11" s="309"/>
      <c r="K11" s="270" t="s">
        <v>75</v>
      </c>
      <c r="L11" s="270" t="s">
        <v>75</v>
      </c>
      <c r="M11" s="270" t="s">
        <v>75</v>
      </c>
      <c r="N11" s="28" t="s">
        <v>29</v>
      </c>
      <c r="O11" s="311"/>
      <c r="P11" s="28" t="s">
        <v>29</v>
      </c>
      <c r="Q11" s="313"/>
      <c r="R11" s="313"/>
      <c r="S11" s="1">
        <f>'JULY 30'!S36</f>
        <v>103453690</v>
      </c>
      <c r="T11" s="322"/>
      <c r="U11" s="323"/>
      <c r="V11" s="324"/>
      <c r="W11" s="270" t="s">
        <v>75</v>
      </c>
      <c r="X11" s="270" t="s">
        <v>75</v>
      </c>
      <c r="Y11" s="325"/>
      <c r="Z11" s="37" t="s">
        <v>76</v>
      </c>
      <c r="AA11" s="37" t="s">
        <v>77</v>
      </c>
      <c r="AB11" s="37" t="s">
        <v>78</v>
      </c>
      <c r="AC11" s="37" t="s">
        <v>79</v>
      </c>
      <c r="AD11" s="37" t="s">
        <v>80</v>
      </c>
      <c r="AE11" s="37" t="s">
        <v>81</v>
      </c>
      <c r="AF11" s="37" t="s">
        <v>82</v>
      </c>
      <c r="AG11" s="37" t="s">
        <v>83</v>
      </c>
      <c r="AH11" s="38"/>
      <c r="AI11" s="1">
        <f>'JULY 30'!AI36</f>
        <v>17841907</v>
      </c>
      <c r="AJ11" s="314"/>
      <c r="AK11" s="330"/>
      <c r="AL11" s="270" t="s">
        <v>84</v>
      </c>
      <c r="AM11" s="270" t="s">
        <v>84</v>
      </c>
      <c r="AN11" s="270" t="s">
        <v>84</v>
      </c>
      <c r="AO11" s="270" t="s">
        <v>84</v>
      </c>
      <c r="AP11" s="270" t="s">
        <v>84</v>
      </c>
      <c r="AQ11" s="270" t="s">
        <v>84</v>
      </c>
      <c r="AR11" s="270" t="s">
        <v>84</v>
      </c>
      <c r="AS11" s="1"/>
      <c r="AT11" s="313"/>
      <c r="AU11" s="267" t="s">
        <v>85</v>
      </c>
      <c r="AV11" s="314"/>
      <c r="AY11" s="39" t="s">
        <v>86</v>
      </c>
      <c r="AZ11" s="39" t="s">
        <v>87</v>
      </c>
      <c r="BB11" s="136" t="s">
        <v>142</v>
      </c>
    </row>
    <row r="12" spans="1:54" ht="24" x14ac:dyDescent="0.35">
      <c r="A12" s="86" t="s">
        <v>308</v>
      </c>
      <c r="B12" s="275" t="s">
        <v>309</v>
      </c>
      <c r="C12" s="275" t="s">
        <v>310</v>
      </c>
      <c r="D12" s="275" t="s">
        <v>311</v>
      </c>
      <c r="E12" s="275" t="s">
        <v>279</v>
      </c>
      <c r="F12" s="275" t="s">
        <v>280</v>
      </c>
      <c r="G12" s="275" t="s">
        <v>312</v>
      </c>
      <c r="H12" s="275" t="s">
        <v>281</v>
      </c>
      <c r="I12" s="275" t="s">
        <v>282</v>
      </c>
      <c r="J12" s="279" t="s">
        <v>283</v>
      </c>
      <c r="K12" s="275" t="s">
        <v>284</v>
      </c>
      <c r="L12" s="275" t="s">
        <v>285</v>
      </c>
      <c r="M12" s="275" t="s">
        <v>286</v>
      </c>
      <c r="N12" s="28" t="s">
        <v>287</v>
      </c>
      <c r="O12" s="280" t="s">
        <v>288</v>
      </c>
      <c r="P12" s="28" t="s">
        <v>289</v>
      </c>
      <c r="Q12" s="278" t="s">
        <v>290</v>
      </c>
      <c r="R12" s="278" t="s">
        <v>291</v>
      </c>
      <c r="S12" s="1" t="s">
        <v>292</v>
      </c>
      <c r="T12" s="272" t="s">
        <v>293</v>
      </c>
      <c r="U12" s="273" t="s">
        <v>294</v>
      </c>
      <c r="V12" s="274" t="s">
        <v>313</v>
      </c>
      <c r="W12" s="275" t="s">
        <v>314</v>
      </c>
      <c r="X12" s="275" t="s">
        <v>315</v>
      </c>
      <c r="Y12" s="275" t="s">
        <v>295</v>
      </c>
      <c r="Z12" s="37" t="s">
        <v>316</v>
      </c>
      <c r="AA12" s="37" t="s">
        <v>317</v>
      </c>
      <c r="AB12" s="37" t="s">
        <v>318</v>
      </c>
      <c r="AC12" s="37" t="s">
        <v>319</v>
      </c>
      <c r="AD12" s="37" t="s">
        <v>320</v>
      </c>
      <c r="AE12" s="37" t="s">
        <v>321</v>
      </c>
      <c r="AF12" s="37" t="s">
        <v>322</v>
      </c>
      <c r="AG12" s="37" t="s">
        <v>323</v>
      </c>
      <c r="AH12" s="38" t="s">
        <v>296</v>
      </c>
      <c r="AI12" s="1" t="s">
        <v>297</v>
      </c>
      <c r="AJ12" s="271" t="s">
        <v>324</v>
      </c>
      <c r="AK12" s="276" t="s">
        <v>325</v>
      </c>
      <c r="AL12" s="275" t="s">
        <v>298</v>
      </c>
      <c r="AM12" s="275" t="s">
        <v>299</v>
      </c>
      <c r="AN12" s="275" t="s">
        <v>300</v>
      </c>
      <c r="AO12" s="275" t="s">
        <v>301</v>
      </c>
      <c r="AP12" s="275" t="s">
        <v>302</v>
      </c>
      <c r="AQ12" s="275" t="s">
        <v>303</v>
      </c>
      <c r="AR12" s="275" t="s">
        <v>304</v>
      </c>
      <c r="AS12" s="1" t="s">
        <v>305</v>
      </c>
      <c r="AT12" s="278" t="s">
        <v>306</v>
      </c>
      <c r="AU12" s="277" t="s">
        <v>307</v>
      </c>
      <c r="AV12" s="271"/>
      <c r="AY12" s="39"/>
      <c r="AZ12" s="39"/>
      <c r="BB12" s="136"/>
    </row>
    <row r="13" spans="1:54" x14ac:dyDescent="0.35">
      <c r="A13" s="331">
        <v>43312</v>
      </c>
      <c r="B13" s="40">
        <v>2</v>
      </c>
      <c r="C13" s="40">
        <v>4.1666666666666664E-2</v>
      </c>
      <c r="D13" s="152">
        <v>3</v>
      </c>
      <c r="E13" s="150">
        <f>D13/1.42</f>
        <v>2.1126760563380285</v>
      </c>
      <c r="F13" s="150">
        <v>4</v>
      </c>
      <c r="G13" s="118">
        <v>65</v>
      </c>
      <c r="H13" s="150">
        <f t="shared" ref="H13:H36" si="0">G13/1.42</f>
        <v>45.774647887323944</v>
      </c>
      <c r="I13" s="150">
        <v>63</v>
      </c>
      <c r="J13" s="41" t="s">
        <v>88</v>
      </c>
      <c r="K13" s="41">
        <f>L13-(2/1.42)</f>
        <v>40.845070422535215</v>
      </c>
      <c r="L13" s="42">
        <f>(G13-5)/1.42</f>
        <v>42.253521126760567</v>
      </c>
      <c r="M13" s="41">
        <f>L13+(6/1.42)</f>
        <v>46.478873239436624</v>
      </c>
      <c r="N13" s="43">
        <v>14</v>
      </c>
      <c r="O13" s="44" t="s">
        <v>89</v>
      </c>
      <c r="P13" s="44">
        <v>11.4</v>
      </c>
      <c r="Q13" s="153" t="s">
        <v>162</v>
      </c>
      <c r="R13" s="153"/>
      <c r="S13" s="153">
        <v>103458080</v>
      </c>
      <c r="T13" s="45">
        <f>IF(ISBLANK(S13),"-",S13-S11)</f>
        <v>4390</v>
      </c>
      <c r="U13" s="46">
        <f>T13*24/1000</f>
        <v>105.36</v>
      </c>
      <c r="V13" s="46">
        <f>T13/1000</f>
        <v>4.3899999999999997</v>
      </c>
      <c r="W13" s="96">
        <v>5.6</v>
      </c>
      <c r="X13" s="96">
        <f t="shared" ref="X13:X36" si="1">W13</f>
        <v>5.6</v>
      </c>
      <c r="Y13" s="97" t="s">
        <v>139</v>
      </c>
      <c r="Z13" s="154">
        <v>0</v>
      </c>
      <c r="AA13" s="154">
        <v>0</v>
      </c>
      <c r="AB13" s="154">
        <v>1187</v>
      </c>
      <c r="AC13" s="154">
        <v>1185</v>
      </c>
      <c r="AD13" s="154">
        <v>0</v>
      </c>
      <c r="AE13" s="154">
        <v>1185</v>
      </c>
      <c r="AF13" s="47" t="s">
        <v>90</v>
      </c>
      <c r="AG13" s="47" t="s">
        <v>90</v>
      </c>
      <c r="AH13" s="98" t="s">
        <v>90</v>
      </c>
      <c r="AI13" s="103">
        <v>17842939</v>
      </c>
      <c r="AJ13" s="45">
        <f>IF(ISBLANK(AI13),"-",AI13-AI11)</f>
        <v>1032</v>
      </c>
      <c r="AK13" s="48">
        <f>AJ13/V13</f>
        <v>235.07972665148066</v>
      </c>
      <c r="AL13" s="151">
        <v>0</v>
      </c>
      <c r="AM13" s="151">
        <v>0</v>
      </c>
      <c r="AN13" s="151">
        <v>1</v>
      </c>
      <c r="AO13" s="151">
        <v>1</v>
      </c>
      <c r="AP13" s="151">
        <v>0</v>
      </c>
      <c r="AQ13" s="151">
        <v>1</v>
      </c>
      <c r="AR13" s="151">
        <v>0.8</v>
      </c>
      <c r="AS13" s="154"/>
      <c r="AT13" s="154">
        <f>AS13-AS11</f>
        <v>0</v>
      </c>
      <c r="AU13" s="49"/>
      <c r="AV13" s="50" t="s">
        <v>125</v>
      </c>
      <c r="AY13" s="39" t="s">
        <v>88</v>
      </c>
      <c r="AZ13" s="39" t="s">
        <v>91</v>
      </c>
      <c r="BB13" s="74" t="s">
        <v>135</v>
      </c>
    </row>
    <row r="14" spans="1:54" x14ac:dyDescent="0.35">
      <c r="A14" s="331">
        <v>43312</v>
      </c>
      <c r="B14" s="40">
        <v>2.0416666666666701</v>
      </c>
      <c r="C14" s="40">
        <v>8.3333333333333329E-2</v>
      </c>
      <c r="D14" s="152">
        <v>3</v>
      </c>
      <c r="E14" s="150">
        <f t="shared" ref="E14:E36" si="2">D14/1.42</f>
        <v>2.1126760563380285</v>
      </c>
      <c r="F14" s="150">
        <v>5</v>
      </c>
      <c r="G14" s="118">
        <v>65</v>
      </c>
      <c r="H14" s="150">
        <f t="shared" si="0"/>
        <v>45.774647887323944</v>
      </c>
      <c r="I14" s="150">
        <v>63</v>
      </c>
      <c r="J14" s="41" t="s">
        <v>88</v>
      </c>
      <c r="K14" s="41">
        <f t="shared" ref="K14:K36" si="3">L14-(2/1.42)</f>
        <v>40.845070422535215</v>
      </c>
      <c r="L14" s="42">
        <f>(G14-5)/1.42</f>
        <v>42.253521126760567</v>
      </c>
      <c r="M14" s="41">
        <f>L14+(6/1.42)</f>
        <v>46.478873239436624</v>
      </c>
      <c r="N14" s="43">
        <v>14</v>
      </c>
      <c r="O14" s="44" t="s">
        <v>89</v>
      </c>
      <c r="P14" s="44">
        <v>11.2</v>
      </c>
      <c r="Q14" s="153" t="s">
        <v>162</v>
      </c>
      <c r="R14" s="153"/>
      <c r="S14" s="153">
        <v>103463100</v>
      </c>
      <c r="T14" s="45">
        <f t="shared" ref="T14:T36" si="4">IF(ISBLANK(S14),"-",S14-S13)</f>
        <v>5020</v>
      </c>
      <c r="U14" s="46">
        <f t="shared" ref="U14:U37" si="5">T14*24/1000</f>
        <v>120.48</v>
      </c>
      <c r="V14" s="46">
        <f t="shared" ref="V14:V37" si="6">T14/1000</f>
        <v>5.0199999999999996</v>
      </c>
      <c r="W14" s="96">
        <v>7</v>
      </c>
      <c r="X14" s="96">
        <f t="shared" si="1"/>
        <v>7</v>
      </c>
      <c r="Y14" s="97" t="s">
        <v>139</v>
      </c>
      <c r="Z14" s="154">
        <v>0</v>
      </c>
      <c r="AA14" s="154">
        <v>0</v>
      </c>
      <c r="AB14" s="154">
        <v>1187</v>
      </c>
      <c r="AC14" s="154">
        <v>1185</v>
      </c>
      <c r="AD14" s="154">
        <v>0</v>
      </c>
      <c r="AE14" s="154">
        <v>1185</v>
      </c>
      <c r="AF14" s="47" t="s">
        <v>90</v>
      </c>
      <c r="AG14" s="47" t="s">
        <v>90</v>
      </c>
      <c r="AH14" s="98" t="s">
        <v>90</v>
      </c>
      <c r="AI14" s="103">
        <v>17844115</v>
      </c>
      <c r="AJ14" s="45">
        <f t="shared" ref="AJ14:AJ36" si="7">IF(ISBLANK(AI14),"-",AI14-AI13)</f>
        <v>1176</v>
      </c>
      <c r="AK14" s="48">
        <f>AJ14/V14</f>
        <v>234.26294820717135</v>
      </c>
      <c r="AL14" s="151">
        <v>0</v>
      </c>
      <c r="AM14" s="151">
        <v>0</v>
      </c>
      <c r="AN14" s="151">
        <v>1</v>
      </c>
      <c r="AO14" s="151">
        <v>1</v>
      </c>
      <c r="AP14" s="151">
        <v>0</v>
      </c>
      <c r="AQ14" s="151">
        <v>1</v>
      </c>
      <c r="AR14" s="151">
        <v>0.8</v>
      </c>
      <c r="AS14" s="154"/>
      <c r="AT14" s="154">
        <f t="shared" ref="AT14:AT35" si="8">AS14-AS13</f>
        <v>0</v>
      </c>
      <c r="AU14" s="119">
        <v>1.02</v>
      </c>
      <c r="AV14" s="50" t="s">
        <v>125</v>
      </c>
      <c r="AY14" s="39" t="s">
        <v>92</v>
      </c>
      <c r="AZ14" s="39" t="s">
        <v>93</v>
      </c>
      <c r="BB14" s="74" t="s">
        <v>140</v>
      </c>
    </row>
    <row r="15" spans="1:54" x14ac:dyDescent="0.35">
      <c r="A15" s="331">
        <v>43312</v>
      </c>
      <c r="B15" s="40">
        <v>2.0833333333333299</v>
      </c>
      <c r="C15" s="40">
        <v>0.125</v>
      </c>
      <c r="D15" s="152">
        <v>3</v>
      </c>
      <c r="E15" s="150">
        <f t="shared" si="2"/>
        <v>2.1126760563380285</v>
      </c>
      <c r="F15" s="150">
        <v>8</v>
      </c>
      <c r="G15" s="118">
        <v>70</v>
      </c>
      <c r="H15" s="150">
        <f t="shared" si="0"/>
        <v>49.295774647887328</v>
      </c>
      <c r="I15" s="150">
        <v>68</v>
      </c>
      <c r="J15" s="41" t="s">
        <v>88</v>
      </c>
      <c r="K15" s="41">
        <f t="shared" si="3"/>
        <v>44.366197183098592</v>
      </c>
      <c r="L15" s="42">
        <f>(G15-5)/1.42</f>
        <v>45.774647887323944</v>
      </c>
      <c r="M15" s="41">
        <f>L15+(6/1.42)</f>
        <v>50</v>
      </c>
      <c r="N15" s="43">
        <v>14</v>
      </c>
      <c r="O15" s="44" t="s">
        <v>89</v>
      </c>
      <c r="P15" s="44">
        <v>11.2</v>
      </c>
      <c r="Q15" s="153" t="s">
        <v>162</v>
      </c>
      <c r="R15" s="153"/>
      <c r="S15" s="153">
        <v>103467030</v>
      </c>
      <c r="T15" s="45">
        <f>IF(ISBLANK(S15),"-",S15-S14)</f>
        <v>3930</v>
      </c>
      <c r="U15" s="46">
        <f t="shared" si="5"/>
        <v>94.32</v>
      </c>
      <c r="V15" s="46">
        <f t="shared" si="6"/>
        <v>3.93</v>
      </c>
      <c r="W15" s="96">
        <v>8.3000000000000007</v>
      </c>
      <c r="X15" s="96">
        <f t="shared" si="1"/>
        <v>8.3000000000000007</v>
      </c>
      <c r="Y15" s="97" t="s">
        <v>139</v>
      </c>
      <c r="Z15" s="154">
        <v>0</v>
      </c>
      <c r="AA15" s="154">
        <v>0</v>
      </c>
      <c r="AB15" s="154">
        <v>1187</v>
      </c>
      <c r="AC15" s="154">
        <v>1185</v>
      </c>
      <c r="AD15" s="154">
        <v>0</v>
      </c>
      <c r="AE15" s="154">
        <v>1185</v>
      </c>
      <c r="AF15" s="47" t="s">
        <v>90</v>
      </c>
      <c r="AG15" s="47" t="s">
        <v>90</v>
      </c>
      <c r="AH15" s="98" t="s">
        <v>90</v>
      </c>
      <c r="AI15" s="103">
        <v>17845032</v>
      </c>
      <c r="AJ15" s="45">
        <f t="shared" si="7"/>
        <v>917</v>
      </c>
      <c r="AK15" s="48">
        <f t="shared" ref="AK15:AK36" si="9">AJ15/V15</f>
        <v>233.33333333333331</v>
      </c>
      <c r="AL15" s="151">
        <v>0</v>
      </c>
      <c r="AM15" s="151">
        <v>0</v>
      </c>
      <c r="AN15" s="151">
        <v>1</v>
      </c>
      <c r="AO15" s="151">
        <v>1</v>
      </c>
      <c r="AP15" s="151">
        <v>0</v>
      </c>
      <c r="AQ15" s="151">
        <v>1</v>
      </c>
      <c r="AR15" s="151">
        <v>0.8</v>
      </c>
      <c r="AS15" s="154"/>
      <c r="AT15" s="154">
        <f t="shared" si="8"/>
        <v>0</v>
      </c>
      <c r="AU15" s="49"/>
      <c r="AV15" s="50" t="s">
        <v>125</v>
      </c>
      <c r="AY15" s="39" t="s">
        <v>94</v>
      </c>
      <c r="AZ15" s="39" t="s">
        <v>95</v>
      </c>
      <c r="BB15" s="74" t="s">
        <v>132</v>
      </c>
    </row>
    <row r="16" spans="1:54" x14ac:dyDescent="0.35">
      <c r="A16" s="331">
        <v>43312</v>
      </c>
      <c r="B16" s="40">
        <v>2.125</v>
      </c>
      <c r="C16" s="40">
        <v>0.16666666666666699</v>
      </c>
      <c r="D16" s="152">
        <v>3</v>
      </c>
      <c r="E16" s="150">
        <f t="shared" si="2"/>
        <v>2.1126760563380285</v>
      </c>
      <c r="F16" s="150">
        <v>8</v>
      </c>
      <c r="G16" s="118">
        <v>80</v>
      </c>
      <c r="H16" s="150">
        <f t="shared" si="0"/>
        <v>56.338028169014088</v>
      </c>
      <c r="I16" s="150">
        <v>78</v>
      </c>
      <c r="J16" s="41" t="s">
        <v>88</v>
      </c>
      <c r="K16" s="41">
        <f t="shared" si="3"/>
        <v>51.408450704225352</v>
      </c>
      <c r="L16" s="42">
        <f>(G16-5)/1.42</f>
        <v>52.816901408450704</v>
      </c>
      <c r="M16" s="41">
        <f>L16+(6/1.42)</f>
        <v>57.04225352112676</v>
      </c>
      <c r="N16" s="43">
        <v>14</v>
      </c>
      <c r="O16" s="44" t="s">
        <v>89</v>
      </c>
      <c r="P16" s="44">
        <v>12.8</v>
      </c>
      <c r="Q16" s="153" t="s">
        <v>162</v>
      </c>
      <c r="R16" s="153"/>
      <c r="S16" s="153">
        <v>103471600</v>
      </c>
      <c r="T16" s="45">
        <f t="shared" si="4"/>
        <v>4570</v>
      </c>
      <c r="U16" s="46">
        <f t="shared" si="5"/>
        <v>109.68</v>
      </c>
      <c r="V16" s="46">
        <f t="shared" si="6"/>
        <v>4.57</v>
      </c>
      <c r="W16" s="96">
        <v>9.5</v>
      </c>
      <c r="X16" s="96">
        <f t="shared" si="1"/>
        <v>9.5</v>
      </c>
      <c r="Y16" s="97" t="s">
        <v>139</v>
      </c>
      <c r="Z16" s="154">
        <v>0</v>
      </c>
      <c r="AA16" s="154">
        <v>0</v>
      </c>
      <c r="AB16" s="154">
        <v>1187</v>
      </c>
      <c r="AC16" s="154">
        <v>1185</v>
      </c>
      <c r="AD16" s="154">
        <v>0</v>
      </c>
      <c r="AE16" s="154">
        <v>1185</v>
      </c>
      <c r="AF16" s="47" t="s">
        <v>90</v>
      </c>
      <c r="AG16" s="47" t="s">
        <v>90</v>
      </c>
      <c r="AH16" s="98" t="s">
        <v>90</v>
      </c>
      <c r="AI16" s="103">
        <v>17846114</v>
      </c>
      <c r="AJ16" s="45">
        <f t="shared" si="7"/>
        <v>1082</v>
      </c>
      <c r="AK16" s="48">
        <f t="shared" si="9"/>
        <v>236.76148796498904</v>
      </c>
      <c r="AL16" s="151">
        <v>0</v>
      </c>
      <c r="AM16" s="151">
        <v>0</v>
      </c>
      <c r="AN16" s="151">
        <v>1</v>
      </c>
      <c r="AO16" s="151">
        <v>1</v>
      </c>
      <c r="AP16" s="151">
        <v>0</v>
      </c>
      <c r="AQ16" s="151">
        <v>1</v>
      </c>
      <c r="AR16" s="151">
        <v>0.8</v>
      </c>
      <c r="AS16" s="154"/>
      <c r="AT16" s="154">
        <f>AS16-AS15</f>
        <v>0</v>
      </c>
      <c r="AU16" s="49"/>
      <c r="AV16" s="50" t="s">
        <v>125</v>
      </c>
      <c r="AW16" s="51"/>
      <c r="AY16" s="39" t="s">
        <v>96</v>
      </c>
      <c r="AZ16" s="39" t="s">
        <v>97</v>
      </c>
      <c r="BB16" s="74" t="s">
        <v>138</v>
      </c>
    </row>
    <row r="17" spans="1:54" x14ac:dyDescent="0.35">
      <c r="A17" s="331">
        <v>43312</v>
      </c>
      <c r="B17" s="40">
        <v>2.1666666666666701</v>
      </c>
      <c r="C17" s="40">
        <v>0.20833333333333301</v>
      </c>
      <c r="D17" s="152">
        <v>3</v>
      </c>
      <c r="E17" s="150">
        <f t="shared" si="2"/>
        <v>2.1126760563380285</v>
      </c>
      <c r="F17" s="150">
        <v>8</v>
      </c>
      <c r="G17" s="118">
        <v>78</v>
      </c>
      <c r="H17" s="150">
        <f t="shared" si="0"/>
        <v>54.929577464788736</v>
      </c>
      <c r="I17" s="150">
        <v>76</v>
      </c>
      <c r="J17" s="41" t="s">
        <v>88</v>
      </c>
      <c r="K17" s="41">
        <f t="shared" si="3"/>
        <v>50</v>
      </c>
      <c r="L17" s="42">
        <f>(G17-5)/1.42</f>
        <v>51.408450704225352</v>
      </c>
      <c r="M17" s="41">
        <f>L17+(6/1.42)</f>
        <v>55.633802816901408</v>
      </c>
      <c r="N17" s="43">
        <v>18</v>
      </c>
      <c r="O17" s="44" t="s">
        <v>89</v>
      </c>
      <c r="P17" s="44">
        <v>13.1</v>
      </c>
      <c r="Q17" s="153" t="s">
        <v>162</v>
      </c>
      <c r="R17" s="153"/>
      <c r="S17" s="153">
        <v>103476875</v>
      </c>
      <c r="T17" s="45">
        <f t="shared" si="4"/>
        <v>5275</v>
      </c>
      <c r="U17" s="46">
        <f t="shared" si="5"/>
        <v>126.6</v>
      </c>
      <c r="V17" s="46">
        <f t="shared" si="6"/>
        <v>5.2750000000000004</v>
      </c>
      <c r="W17" s="96">
        <v>9.5</v>
      </c>
      <c r="X17" s="96">
        <f t="shared" si="1"/>
        <v>9.5</v>
      </c>
      <c r="Y17" s="97" t="s">
        <v>139</v>
      </c>
      <c r="Z17" s="154">
        <v>0</v>
      </c>
      <c r="AA17" s="154">
        <v>0</v>
      </c>
      <c r="AB17" s="154">
        <v>1187</v>
      </c>
      <c r="AC17" s="154">
        <v>1185</v>
      </c>
      <c r="AD17" s="154">
        <v>0</v>
      </c>
      <c r="AE17" s="154">
        <v>1185</v>
      </c>
      <c r="AF17" s="47" t="s">
        <v>90</v>
      </c>
      <c r="AG17" s="47" t="s">
        <v>90</v>
      </c>
      <c r="AH17" s="98" t="s">
        <v>90</v>
      </c>
      <c r="AI17" s="103">
        <v>17847181</v>
      </c>
      <c r="AJ17" s="45">
        <f t="shared" si="7"/>
        <v>1067</v>
      </c>
      <c r="AK17" s="48">
        <f t="shared" si="9"/>
        <v>202.27488151658767</v>
      </c>
      <c r="AL17" s="151">
        <v>0</v>
      </c>
      <c r="AM17" s="151">
        <v>0</v>
      </c>
      <c r="AN17" s="151">
        <v>1</v>
      </c>
      <c r="AO17" s="151">
        <v>1</v>
      </c>
      <c r="AP17" s="151">
        <v>0</v>
      </c>
      <c r="AQ17" s="151">
        <v>1</v>
      </c>
      <c r="AR17" s="151">
        <v>0</v>
      </c>
      <c r="AS17" s="154"/>
      <c r="AT17" s="154">
        <f t="shared" si="8"/>
        <v>0</v>
      </c>
      <c r="AU17" s="49"/>
      <c r="AV17" s="50" t="s">
        <v>125</v>
      </c>
      <c r="AY17" s="39" t="s">
        <v>98</v>
      </c>
      <c r="AZ17" s="39" t="s">
        <v>99</v>
      </c>
      <c r="BB17" s="74" t="s">
        <v>143</v>
      </c>
    </row>
    <row r="18" spans="1:54" x14ac:dyDescent="0.35">
      <c r="A18" s="331">
        <v>43312</v>
      </c>
      <c r="B18" s="40">
        <v>2.2083333333333299</v>
      </c>
      <c r="C18" s="40">
        <v>0.25</v>
      </c>
      <c r="D18" s="152">
        <v>3</v>
      </c>
      <c r="E18" s="150">
        <f t="shared" si="2"/>
        <v>2.1126760563380285</v>
      </c>
      <c r="F18" s="150">
        <v>8</v>
      </c>
      <c r="G18" s="118">
        <v>73</v>
      </c>
      <c r="H18" s="150">
        <f t="shared" si="0"/>
        <v>51.408450704225352</v>
      </c>
      <c r="I18" s="150">
        <v>71</v>
      </c>
      <c r="J18" s="41" t="s">
        <v>88</v>
      </c>
      <c r="K18" s="41">
        <f t="shared" si="3"/>
        <v>50</v>
      </c>
      <c r="L18" s="42">
        <f t="shared" ref="L18:L27" si="10">G18/1.42</f>
        <v>51.408450704225352</v>
      </c>
      <c r="M18" s="41">
        <f>L18+1.42</f>
        <v>52.828450704225354</v>
      </c>
      <c r="N18" s="43">
        <v>19</v>
      </c>
      <c r="O18" s="44" t="s">
        <v>100</v>
      </c>
      <c r="P18" s="44">
        <v>13.1</v>
      </c>
      <c r="Q18" s="153" t="s">
        <v>162</v>
      </c>
      <c r="R18" s="153"/>
      <c r="S18" s="153">
        <v>103482265</v>
      </c>
      <c r="T18" s="45">
        <f t="shared" si="4"/>
        <v>5390</v>
      </c>
      <c r="U18" s="46">
        <f t="shared" si="5"/>
        <v>129.36000000000001</v>
      </c>
      <c r="V18" s="46">
        <f t="shared" si="6"/>
        <v>5.39</v>
      </c>
      <c r="W18" s="96">
        <v>9.5</v>
      </c>
      <c r="X18" s="96">
        <f t="shared" si="1"/>
        <v>9.5</v>
      </c>
      <c r="Y18" s="97" t="s">
        <v>139</v>
      </c>
      <c r="Z18" s="154">
        <v>0</v>
      </c>
      <c r="AA18" s="154">
        <v>0</v>
      </c>
      <c r="AB18" s="154">
        <v>1187</v>
      </c>
      <c r="AC18" s="154">
        <v>1185</v>
      </c>
      <c r="AD18" s="154">
        <v>0</v>
      </c>
      <c r="AE18" s="154">
        <v>1185</v>
      </c>
      <c r="AF18" s="47" t="s">
        <v>90</v>
      </c>
      <c r="AG18" s="47" t="s">
        <v>90</v>
      </c>
      <c r="AH18" s="98" t="s">
        <v>90</v>
      </c>
      <c r="AI18" s="103">
        <v>17848248</v>
      </c>
      <c r="AJ18" s="45">
        <f t="shared" si="7"/>
        <v>1067</v>
      </c>
      <c r="AK18" s="48">
        <f t="shared" si="9"/>
        <v>197.9591836734694</v>
      </c>
      <c r="AL18" s="151">
        <v>0</v>
      </c>
      <c r="AM18" s="151">
        <v>0</v>
      </c>
      <c r="AN18" s="151">
        <v>1</v>
      </c>
      <c r="AO18" s="151">
        <v>1</v>
      </c>
      <c r="AP18" s="151">
        <v>0</v>
      </c>
      <c r="AQ18" s="151">
        <v>1</v>
      </c>
      <c r="AR18" s="151">
        <v>0</v>
      </c>
      <c r="AS18" s="154"/>
      <c r="AT18" s="154">
        <f t="shared" si="8"/>
        <v>0</v>
      </c>
      <c r="AU18" s="119">
        <v>0.88</v>
      </c>
      <c r="AV18" s="50" t="s">
        <v>126</v>
      </c>
      <c r="AY18" s="39" t="s">
        <v>101</v>
      </c>
      <c r="AZ18" s="39" t="s">
        <v>102</v>
      </c>
      <c r="BB18" s="74" t="s">
        <v>149</v>
      </c>
    </row>
    <row r="19" spans="1:54" x14ac:dyDescent="0.35">
      <c r="A19" s="331">
        <v>43312</v>
      </c>
      <c r="B19" s="40">
        <v>2.25</v>
      </c>
      <c r="C19" s="40">
        <v>0.29166666666666669</v>
      </c>
      <c r="D19" s="152">
        <v>3</v>
      </c>
      <c r="E19" s="150">
        <f t="shared" si="2"/>
        <v>2.1126760563380285</v>
      </c>
      <c r="F19" s="150">
        <v>8</v>
      </c>
      <c r="G19" s="118">
        <v>76</v>
      </c>
      <c r="H19" s="150">
        <f t="shared" si="0"/>
        <v>53.521126760563384</v>
      </c>
      <c r="I19" s="150">
        <v>74</v>
      </c>
      <c r="J19" s="41" t="s">
        <v>88</v>
      </c>
      <c r="K19" s="41">
        <f t="shared" si="3"/>
        <v>52.112676056338032</v>
      </c>
      <c r="L19" s="42">
        <f t="shared" si="10"/>
        <v>53.521126760563384</v>
      </c>
      <c r="M19" s="41">
        <f>L19+1.42</f>
        <v>54.941126760563385</v>
      </c>
      <c r="N19" s="43">
        <v>19</v>
      </c>
      <c r="O19" s="44" t="s">
        <v>100</v>
      </c>
      <c r="P19" s="44">
        <v>16.7</v>
      </c>
      <c r="Q19" s="153" t="s">
        <v>162</v>
      </c>
      <c r="R19" s="153"/>
      <c r="S19" s="153">
        <v>103488175</v>
      </c>
      <c r="T19" s="45">
        <f t="shared" si="4"/>
        <v>5910</v>
      </c>
      <c r="U19" s="46">
        <f t="shared" si="5"/>
        <v>141.84</v>
      </c>
      <c r="V19" s="46">
        <f t="shared" si="6"/>
        <v>5.91</v>
      </c>
      <c r="W19" s="96">
        <v>9.1999999999999993</v>
      </c>
      <c r="X19" s="96">
        <f t="shared" si="1"/>
        <v>9.1999999999999993</v>
      </c>
      <c r="Y19" s="97" t="s">
        <v>168</v>
      </c>
      <c r="Z19" s="154">
        <v>1007</v>
      </c>
      <c r="AA19" s="154">
        <v>0</v>
      </c>
      <c r="AB19" s="154">
        <v>1187</v>
      </c>
      <c r="AC19" s="154">
        <v>1185</v>
      </c>
      <c r="AD19" s="154">
        <v>0</v>
      </c>
      <c r="AE19" s="154">
        <v>1185</v>
      </c>
      <c r="AF19" s="47" t="s">
        <v>90</v>
      </c>
      <c r="AG19" s="47" t="s">
        <v>90</v>
      </c>
      <c r="AH19" s="98" t="s">
        <v>90</v>
      </c>
      <c r="AI19" s="103">
        <v>17849478</v>
      </c>
      <c r="AJ19" s="45">
        <f t="shared" si="7"/>
        <v>1230</v>
      </c>
      <c r="AK19" s="48">
        <f t="shared" si="9"/>
        <v>208.12182741116752</v>
      </c>
      <c r="AL19" s="151">
        <v>1</v>
      </c>
      <c r="AM19" s="151">
        <v>0</v>
      </c>
      <c r="AN19" s="151">
        <v>1</v>
      </c>
      <c r="AO19" s="151">
        <v>1</v>
      </c>
      <c r="AP19" s="151">
        <v>0</v>
      </c>
      <c r="AQ19" s="151">
        <v>1</v>
      </c>
      <c r="AR19" s="151">
        <v>0</v>
      </c>
      <c r="AS19" s="154"/>
      <c r="AT19" s="154">
        <f t="shared" si="8"/>
        <v>0</v>
      </c>
      <c r="AU19" s="49"/>
      <c r="AV19" s="50" t="s">
        <v>126</v>
      </c>
      <c r="AW19" s="51"/>
      <c r="AY19" s="39" t="s">
        <v>103</v>
      </c>
      <c r="AZ19" s="39" t="s">
        <v>104</v>
      </c>
      <c r="BB19" s="74" t="s">
        <v>144</v>
      </c>
    </row>
    <row r="20" spans="1:54" x14ac:dyDescent="0.35">
      <c r="A20" s="331">
        <v>43312</v>
      </c>
      <c r="B20" s="40">
        <v>2.2916666666666701</v>
      </c>
      <c r="C20" s="40">
        <v>0.33333333333333298</v>
      </c>
      <c r="D20" s="152">
        <v>3</v>
      </c>
      <c r="E20" s="150">
        <f>D20/1.42</f>
        <v>2.1126760563380285</v>
      </c>
      <c r="F20" s="150">
        <v>7</v>
      </c>
      <c r="G20" s="118">
        <v>75</v>
      </c>
      <c r="H20" s="150">
        <f t="shared" si="0"/>
        <v>52.816901408450704</v>
      </c>
      <c r="I20" s="150">
        <v>74</v>
      </c>
      <c r="J20" s="41" t="s">
        <v>88</v>
      </c>
      <c r="K20" s="41">
        <f t="shared" si="3"/>
        <v>51.408450704225352</v>
      </c>
      <c r="L20" s="42">
        <f t="shared" si="10"/>
        <v>52.816901408450704</v>
      </c>
      <c r="M20" s="41">
        <f t="shared" ref="M20:M24" si="11">L20+1.42</f>
        <v>54.236901408450706</v>
      </c>
      <c r="N20" s="43">
        <v>19</v>
      </c>
      <c r="O20" s="44" t="s">
        <v>100</v>
      </c>
      <c r="P20" s="44">
        <v>17.3</v>
      </c>
      <c r="Q20" s="153" t="s">
        <v>162</v>
      </c>
      <c r="R20" s="153"/>
      <c r="S20" s="153">
        <v>103493180</v>
      </c>
      <c r="T20" s="45">
        <f t="shared" si="4"/>
        <v>5005</v>
      </c>
      <c r="U20" s="46">
        <f>T20*24/1000</f>
        <v>120.12</v>
      </c>
      <c r="V20" s="46">
        <f t="shared" si="6"/>
        <v>5.0049999999999999</v>
      </c>
      <c r="W20" s="96">
        <v>8.6</v>
      </c>
      <c r="X20" s="96">
        <f t="shared" si="1"/>
        <v>8.6</v>
      </c>
      <c r="Y20" s="97" t="s">
        <v>168</v>
      </c>
      <c r="Z20" s="154">
        <v>1007</v>
      </c>
      <c r="AA20" s="154">
        <v>0</v>
      </c>
      <c r="AB20" s="154">
        <v>1187</v>
      </c>
      <c r="AC20" s="154">
        <v>1185</v>
      </c>
      <c r="AD20" s="154">
        <v>0</v>
      </c>
      <c r="AE20" s="154">
        <v>1185</v>
      </c>
      <c r="AF20" s="47" t="s">
        <v>90</v>
      </c>
      <c r="AG20" s="47" t="s">
        <v>90</v>
      </c>
      <c r="AH20" s="98" t="s">
        <v>90</v>
      </c>
      <c r="AI20" s="103">
        <v>17850572</v>
      </c>
      <c r="AJ20" s="45">
        <f t="shared" si="7"/>
        <v>1094</v>
      </c>
      <c r="AK20" s="48">
        <f t="shared" si="9"/>
        <v>218.58141858141857</v>
      </c>
      <c r="AL20" s="151">
        <v>1</v>
      </c>
      <c r="AM20" s="151">
        <v>0</v>
      </c>
      <c r="AN20" s="151">
        <v>1</v>
      </c>
      <c r="AO20" s="151">
        <v>1</v>
      </c>
      <c r="AP20" s="151">
        <v>0</v>
      </c>
      <c r="AQ20" s="151">
        <v>1</v>
      </c>
      <c r="AR20" s="151">
        <v>0</v>
      </c>
      <c r="AS20" s="154"/>
      <c r="AT20" s="154">
        <f t="shared" si="8"/>
        <v>0</v>
      </c>
      <c r="AU20" s="49"/>
      <c r="AV20" s="50" t="s">
        <v>126</v>
      </c>
      <c r="AY20" s="39" t="s">
        <v>105</v>
      </c>
      <c r="AZ20" s="39" t="s">
        <v>106</v>
      </c>
      <c r="BB20" s="74" t="s">
        <v>133</v>
      </c>
    </row>
    <row r="21" spans="1:54" x14ac:dyDescent="0.35">
      <c r="A21" s="331">
        <v>43312</v>
      </c>
      <c r="B21" s="40">
        <v>2.3333333333333299</v>
      </c>
      <c r="C21" s="40">
        <v>0.375</v>
      </c>
      <c r="D21" s="152">
        <v>3</v>
      </c>
      <c r="E21" s="150">
        <f>D21/1.42</f>
        <v>2.1126760563380285</v>
      </c>
      <c r="F21" s="150">
        <v>6</v>
      </c>
      <c r="G21" s="118">
        <v>75</v>
      </c>
      <c r="H21" s="150">
        <f t="shared" si="0"/>
        <v>52.816901408450704</v>
      </c>
      <c r="I21" s="150">
        <v>74</v>
      </c>
      <c r="J21" s="41" t="s">
        <v>88</v>
      </c>
      <c r="K21" s="41">
        <f t="shared" si="3"/>
        <v>51.408450704225352</v>
      </c>
      <c r="L21" s="42">
        <f t="shared" si="10"/>
        <v>52.816901408450704</v>
      </c>
      <c r="M21" s="41">
        <f t="shared" si="11"/>
        <v>54.236901408450706</v>
      </c>
      <c r="N21" s="43">
        <v>19</v>
      </c>
      <c r="O21" s="44" t="s">
        <v>100</v>
      </c>
      <c r="P21" s="44">
        <v>18.399999999999999</v>
      </c>
      <c r="Q21" s="153" t="s">
        <v>162</v>
      </c>
      <c r="R21" s="153"/>
      <c r="S21" s="153">
        <v>103497982</v>
      </c>
      <c r="T21" s="45">
        <f t="shared" si="4"/>
        <v>4802</v>
      </c>
      <c r="U21" s="46">
        <f t="shared" si="5"/>
        <v>115.248</v>
      </c>
      <c r="V21" s="46">
        <f t="shared" si="6"/>
        <v>4.8019999999999996</v>
      </c>
      <c r="W21" s="96">
        <v>8</v>
      </c>
      <c r="X21" s="96">
        <f t="shared" si="1"/>
        <v>8</v>
      </c>
      <c r="Y21" s="97" t="s">
        <v>168</v>
      </c>
      <c r="Z21" s="154">
        <v>1026</v>
      </c>
      <c r="AA21" s="154">
        <v>0</v>
      </c>
      <c r="AB21" s="154">
        <v>1187</v>
      </c>
      <c r="AC21" s="154">
        <v>1185</v>
      </c>
      <c r="AD21" s="154">
        <v>0</v>
      </c>
      <c r="AE21" s="154">
        <v>1185</v>
      </c>
      <c r="AF21" s="47" t="s">
        <v>90</v>
      </c>
      <c r="AG21" s="47" t="s">
        <v>90</v>
      </c>
      <c r="AH21" s="98" t="s">
        <v>90</v>
      </c>
      <c r="AI21" s="103">
        <v>17851744</v>
      </c>
      <c r="AJ21" s="45">
        <f t="shared" si="7"/>
        <v>1172</v>
      </c>
      <c r="AK21" s="48">
        <f t="shared" si="9"/>
        <v>244.06497292794671</v>
      </c>
      <c r="AL21" s="151">
        <v>1</v>
      </c>
      <c r="AM21" s="151">
        <v>0</v>
      </c>
      <c r="AN21" s="151">
        <v>1</v>
      </c>
      <c r="AO21" s="151">
        <v>1</v>
      </c>
      <c r="AP21" s="151">
        <v>0</v>
      </c>
      <c r="AQ21" s="151">
        <v>1</v>
      </c>
      <c r="AR21" s="151">
        <v>0</v>
      </c>
      <c r="AS21" s="154"/>
      <c r="AT21" s="154">
        <f t="shared" si="8"/>
        <v>0</v>
      </c>
      <c r="AU21" s="49"/>
      <c r="AV21" s="50" t="s">
        <v>126</v>
      </c>
      <c r="AY21" s="39" t="s">
        <v>107</v>
      </c>
      <c r="AZ21" s="39" t="s">
        <v>108</v>
      </c>
      <c r="BB21" s="74" t="s">
        <v>159</v>
      </c>
    </row>
    <row r="22" spans="1:54" x14ac:dyDescent="0.35">
      <c r="A22" s="331">
        <v>43312</v>
      </c>
      <c r="B22" s="40">
        <v>2.375</v>
      </c>
      <c r="C22" s="40">
        <v>0.41666666666666669</v>
      </c>
      <c r="D22" s="152">
        <v>3</v>
      </c>
      <c r="E22" s="150">
        <f>D22/1.42</f>
        <v>2.1126760563380285</v>
      </c>
      <c r="F22" s="150">
        <v>5</v>
      </c>
      <c r="G22" s="118">
        <v>75</v>
      </c>
      <c r="H22" s="150">
        <f t="shared" si="0"/>
        <v>52.816901408450704</v>
      </c>
      <c r="I22" s="150">
        <v>75</v>
      </c>
      <c r="J22" s="41" t="s">
        <v>88</v>
      </c>
      <c r="K22" s="41">
        <f t="shared" si="3"/>
        <v>51.408450704225352</v>
      </c>
      <c r="L22" s="42">
        <f t="shared" si="10"/>
        <v>52.816901408450704</v>
      </c>
      <c r="M22" s="41">
        <f t="shared" si="11"/>
        <v>54.236901408450706</v>
      </c>
      <c r="N22" s="43">
        <v>19</v>
      </c>
      <c r="O22" s="44" t="s">
        <v>100</v>
      </c>
      <c r="P22" s="44">
        <v>17.7</v>
      </c>
      <c r="Q22" s="153" t="s">
        <v>162</v>
      </c>
      <c r="R22" s="153"/>
      <c r="S22" s="153">
        <v>103502437</v>
      </c>
      <c r="T22" s="45">
        <f t="shared" si="4"/>
        <v>4455</v>
      </c>
      <c r="U22" s="46">
        <f t="shared" si="5"/>
        <v>106.92</v>
      </c>
      <c r="V22" s="46">
        <f t="shared" si="6"/>
        <v>4.4550000000000001</v>
      </c>
      <c r="W22" s="96">
        <v>7.4</v>
      </c>
      <c r="X22" s="96">
        <f t="shared" si="1"/>
        <v>7.4</v>
      </c>
      <c r="Y22" s="97" t="s">
        <v>168</v>
      </c>
      <c r="Z22" s="154">
        <v>1047</v>
      </c>
      <c r="AA22" s="154">
        <v>0</v>
      </c>
      <c r="AB22" s="154">
        <v>1187</v>
      </c>
      <c r="AC22" s="154">
        <v>1185</v>
      </c>
      <c r="AD22" s="154">
        <v>0</v>
      </c>
      <c r="AE22" s="154">
        <v>1185</v>
      </c>
      <c r="AF22" s="47" t="s">
        <v>90</v>
      </c>
      <c r="AG22" s="47" t="s">
        <v>90</v>
      </c>
      <c r="AH22" s="98" t="s">
        <v>90</v>
      </c>
      <c r="AI22" s="103">
        <v>17852923</v>
      </c>
      <c r="AJ22" s="45">
        <f t="shared" si="7"/>
        <v>1179</v>
      </c>
      <c r="AK22" s="48">
        <f t="shared" si="9"/>
        <v>264.64646464646466</v>
      </c>
      <c r="AL22" s="151">
        <v>1</v>
      </c>
      <c r="AM22" s="151">
        <v>0</v>
      </c>
      <c r="AN22" s="151">
        <v>1</v>
      </c>
      <c r="AO22" s="151">
        <v>1</v>
      </c>
      <c r="AP22" s="151">
        <v>0</v>
      </c>
      <c r="AQ22" s="151">
        <v>1</v>
      </c>
      <c r="AR22" s="151">
        <v>0</v>
      </c>
      <c r="AS22" s="154"/>
      <c r="AT22" s="154">
        <f t="shared" si="8"/>
        <v>0</v>
      </c>
      <c r="AU22" s="119">
        <v>1.01</v>
      </c>
      <c r="AV22" s="50" t="s">
        <v>126</v>
      </c>
      <c r="BB22" s="136" t="s">
        <v>156</v>
      </c>
    </row>
    <row r="23" spans="1:54" x14ac:dyDescent="0.35">
      <c r="A23" s="331">
        <v>43312</v>
      </c>
      <c r="B23" s="40">
        <v>2.4166666666666701</v>
      </c>
      <c r="C23" s="40">
        <v>0.45833333333333298</v>
      </c>
      <c r="D23" s="152">
        <v>3</v>
      </c>
      <c r="E23" s="150">
        <f t="shared" si="2"/>
        <v>2.1126760563380285</v>
      </c>
      <c r="F23" s="150">
        <v>4</v>
      </c>
      <c r="G23" s="118">
        <v>75</v>
      </c>
      <c r="H23" s="150">
        <f t="shared" si="0"/>
        <v>52.816901408450704</v>
      </c>
      <c r="I23" s="150">
        <v>74</v>
      </c>
      <c r="J23" s="41" t="s">
        <v>88</v>
      </c>
      <c r="K23" s="41">
        <f t="shared" si="3"/>
        <v>51.408450704225352</v>
      </c>
      <c r="L23" s="42">
        <f t="shared" si="10"/>
        <v>52.816901408450704</v>
      </c>
      <c r="M23" s="41">
        <f t="shared" si="11"/>
        <v>54.236901408450706</v>
      </c>
      <c r="N23" s="43">
        <v>19</v>
      </c>
      <c r="O23" s="44" t="s">
        <v>100</v>
      </c>
      <c r="P23" s="44">
        <v>17.7</v>
      </c>
      <c r="Q23" s="153" t="s">
        <v>162</v>
      </c>
      <c r="R23" s="153"/>
      <c r="S23" s="153">
        <v>103506776</v>
      </c>
      <c r="T23" s="45">
        <f t="shared" si="4"/>
        <v>4339</v>
      </c>
      <c r="U23" s="46">
        <f t="shared" si="5"/>
        <v>104.136</v>
      </c>
      <c r="V23" s="46">
        <f t="shared" si="6"/>
        <v>4.3390000000000004</v>
      </c>
      <c r="W23" s="96">
        <v>6.7</v>
      </c>
      <c r="X23" s="96">
        <f>W23</f>
        <v>6.7</v>
      </c>
      <c r="Y23" s="97" t="s">
        <v>168</v>
      </c>
      <c r="Z23" s="154">
        <v>1047</v>
      </c>
      <c r="AA23" s="154">
        <v>0</v>
      </c>
      <c r="AB23" s="154">
        <v>1186</v>
      </c>
      <c r="AC23" s="154">
        <v>1185</v>
      </c>
      <c r="AD23" s="154">
        <v>0</v>
      </c>
      <c r="AE23" s="154">
        <v>1185</v>
      </c>
      <c r="AF23" s="47" t="s">
        <v>90</v>
      </c>
      <c r="AG23" s="47" t="s">
        <v>90</v>
      </c>
      <c r="AH23" s="98" t="s">
        <v>90</v>
      </c>
      <c r="AI23" s="103">
        <v>17854113</v>
      </c>
      <c r="AJ23" s="45">
        <f t="shared" si="7"/>
        <v>1190</v>
      </c>
      <c r="AK23" s="48">
        <f t="shared" si="9"/>
        <v>274.25674118460472</v>
      </c>
      <c r="AL23" s="151">
        <v>1</v>
      </c>
      <c r="AM23" s="151">
        <v>0</v>
      </c>
      <c r="AN23" s="151">
        <v>1</v>
      </c>
      <c r="AO23" s="151">
        <v>1</v>
      </c>
      <c r="AP23" s="151">
        <v>0</v>
      </c>
      <c r="AQ23" s="151">
        <v>1</v>
      </c>
      <c r="AR23" s="151">
        <v>0</v>
      </c>
      <c r="AS23" s="154"/>
      <c r="AT23" s="154">
        <f t="shared" si="8"/>
        <v>0</v>
      </c>
      <c r="AU23" s="49"/>
      <c r="AV23" s="50" t="s">
        <v>126</v>
      </c>
      <c r="BB23" s="136" t="s">
        <v>146</v>
      </c>
    </row>
    <row r="24" spans="1:54" x14ac:dyDescent="0.35">
      <c r="A24" s="331">
        <v>43312</v>
      </c>
      <c r="B24" s="40">
        <v>2.4583333333333299</v>
      </c>
      <c r="C24" s="40">
        <v>0.5</v>
      </c>
      <c r="D24" s="152">
        <v>3</v>
      </c>
      <c r="E24" s="150">
        <f t="shared" si="2"/>
        <v>2.1126760563380285</v>
      </c>
      <c r="F24" s="150">
        <v>3</v>
      </c>
      <c r="G24" s="118">
        <v>75</v>
      </c>
      <c r="H24" s="150">
        <f t="shared" si="0"/>
        <v>52.816901408450704</v>
      </c>
      <c r="I24" s="150">
        <v>75</v>
      </c>
      <c r="J24" s="41" t="s">
        <v>88</v>
      </c>
      <c r="K24" s="41">
        <f t="shared" si="3"/>
        <v>51.408450704225352</v>
      </c>
      <c r="L24" s="42">
        <f t="shared" si="10"/>
        <v>52.816901408450704</v>
      </c>
      <c r="M24" s="41">
        <f t="shared" si="11"/>
        <v>54.236901408450706</v>
      </c>
      <c r="N24" s="43">
        <v>19</v>
      </c>
      <c r="O24" s="44" t="s">
        <v>100</v>
      </c>
      <c r="P24" s="44">
        <v>17.3</v>
      </c>
      <c r="Q24" s="153" t="s">
        <v>162</v>
      </c>
      <c r="R24" s="153"/>
      <c r="S24" s="153">
        <v>103511129</v>
      </c>
      <c r="T24" s="45">
        <f t="shared" si="4"/>
        <v>4353</v>
      </c>
      <c r="U24" s="46">
        <f>T24*24/1000</f>
        <v>104.47199999999999</v>
      </c>
      <c r="V24" s="46">
        <f t="shared" si="6"/>
        <v>4.3529999999999998</v>
      </c>
      <c r="W24" s="96">
        <v>6</v>
      </c>
      <c r="X24" s="96">
        <f t="shared" si="1"/>
        <v>6</v>
      </c>
      <c r="Y24" s="97" t="s">
        <v>168</v>
      </c>
      <c r="Z24" s="154">
        <v>1047</v>
      </c>
      <c r="AA24" s="154">
        <v>0</v>
      </c>
      <c r="AB24" s="154">
        <v>1186</v>
      </c>
      <c r="AC24" s="154">
        <v>1185</v>
      </c>
      <c r="AD24" s="154">
        <v>0</v>
      </c>
      <c r="AE24" s="154">
        <v>1185</v>
      </c>
      <c r="AF24" s="47" t="s">
        <v>90</v>
      </c>
      <c r="AG24" s="47" t="s">
        <v>90</v>
      </c>
      <c r="AH24" s="98" t="s">
        <v>90</v>
      </c>
      <c r="AI24" s="103">
        <v>17855292</v>
      </c>
      <c r="AJ24" s="45">
        <f t="shared" si="7"/>
        <v>1179</v>
      </c>
      <c r="AK24" s="48">
        <f t="shared" si="9"/>
        <v>270.84769124741558</v>
      </c>
      <c r="AL24" s="151">
        <v>1</v>
      </c>
      <c r="AM24" s="151">
        <v>0</v>
      </c>
      <c r="AN24" s="151">
        <v>1</v>
      </c>
      <c r="AO24" s="151">
        <v>1</v>
      </c>
      <c r="AP24" s="151">
        <v>0</v>
      </c>
      <c r="AQ24" s="151">
        <v>1</v>
      </c>
      <c r="AR24" s="151">
        <v>0</v>
      </c>
      <c r="AS24" s="154"/>
      <c r="AT24" s="154">
        <f t="shared" si="8"/>
        <v>0</v>
      </c>
      <c r="AU24" s="49"/>
      <c r="AV24" s="50" t="s">
        <v>126</v>
      </c>
      <c r="AY24" s="52" t="s">
        <v>109</v>
      </c>
      <c r="BB24" s="74" t="s">
        <v>152</v>
      </c>
    </row>
    <row r="25" spans="1:54" x14ac:dyDescent="0.35">
      <c r="A25" s="331">
        <v>43312</v>
      </c>
      <c r="B25" s="40">
        <v>2.5</v>
      </c>
      <c r="C25" s="40">
        <v>0.54166666666666696</v>
      </c>
      <c r="D25" s="152">
        <v>3</v>
      </c>
      <c r="E25" s="150">
        <f t="shared" si="2"/>
        <v>2.1126760563380285</v>
      </c>
      <c r="F25" s="150">
        <v>2</v>
      </c>
      <c r="G25" s="118">
        <v>75</v>
      </c>
      <c r="H25" s="150">
        <f t="shared" si="0"/>
        <v>52.816901408450704</v>
      </c>
      <c r="I25" s="150">
        <v>73</v>
      </c>
      <c r="J25" s="41" t="s">
        <v>88</v>
      </c>
      <c r="K25" s="41">
        <f t="shared" si="3"/>
        <v>51.408450704225352</v>
      </c>
      <c r="L25" s="42">
        <f t="shared" si="10"/>
        <v>52.816901408450704</v>
      </c>
      <c r="M25" s="41">
        <f>L25+(6/1.42)</f>
        <v>57.04225352112676</v>
      </c>
      <c r="N25" s="43">
        <v>19</v>
      </c>
      <c r="O25" s="44" t="s">
        <v>100</v>
      </c>
      <c r="P25" s="44">
        <v>17.5</v>
      </c>
      <c r="Q25" s="153" t="s">
        <v>162</v>
      </c>
      <c r="R25" s="153"/>
      <c r="S25" s="153">
        <v>103515394</v>
      </c>
      <c r="T25" s="45">
        <f t="shared" si="4"/>
        <v>4265</v>
      </c>
      <c r="U25" s="46">
        <f>T25*24/1000</f>
        <v>102.36</v>
      </c>
      <c r="V25" s="46">
        <f t="shared" si="6"/>
        <v>4.2649999999999997</v>
      </c>
      <c r="W25" s="96">
        <v>5.3</v>
      </c>
      <c r="X25" s="96">
        <f t="shared" si="1"/>
        <v>5.3</v>
      </c>
      <c r="Y25" s="97" t="s">
        <v>168</v>
      </c>
      <c r="Z25" s="154">
        <v>1046</v>
      </c>
      <c r="AA25" s="154">
        <v>0</v>
      </c>
      <c r="AB25" s="154">
        <v>1187</v>
      </c>
      <c r="AC25" s="154">
        <v>1185</v>
      </c>
      <c r="AD25" s="154">
        <v>0</v>
      </c>
      <c r="AE25" s="154">
        <v>1185</v>
      </c>
      <c r="AF25" s="47" t="s">
        <v>90</v>
      </c>
      <c r="AG25" s="47" t="s">
        <v>90</v>
      </c>
      <c r="AH25" s="98" t="s">
        <v>90</v>
      </c>
      <c r="AI25" s="103">
        <v>17856467</v>
      </c>
      <c r="AJ25" s="45">
        <f t="shared" si="7"/>
        <v>1175</v>
      </c>
      <c r="AK25" s="48">
        <f t="shared" si="9"/>
        <v>275.49824150058618</v>
      </c>
      <c r="AL25" s="151">
        <v>1</v>
      </c>
      <c r="AM25" s="151">
        <v>0</v>
      </c>
      <c r="AN25" s="151">
        <v>1</v>
      </c>
      <c r="AO25" s="151">
        <v>1</v>
      </c>
      <c r="AP25" s="151">
        <v>0</v>
      </c>
      <c r="AQ25" s="151">
        <v>1</v>
      </c>
      <c r="AR25" s="151">
        <v>0</v>
      </c>
      <c r="AS25" s="154"/>
      <c r="AT25" s="154">
        <f t="shared" si="8"/>
        <v>0</v>
      </c>
      <c r="AU25" s="49"/>
      <c r="AV25" s="50" t="s">
        <v>125</v>
      </c>
      <c r="AW25" s="51"/>
      <c r="AY25" s="53" t="s">
        <v>110</v>
      </c>
      <c r="AZ25" s="54" t="s">
        <v>111</v>
      </c>
      <c r="BB25" s="74" t="s">
        <v>148</v>
      </c>
    </row>
    <row r="26" spans="1:54" x14ac:dyDescent="0.35">
      <c r="A26" s="331">
        <v>43312</v>
      </c>
      <c r="B26" s="40">
        <v>2.5416666666666701</v>
      </c>
      <c r="C26" s="40">
        <v>0.58333333333333404</v>
      </c>
      <c r="D26" s="152">
        <v>3</v>
      </c>
      <c r="E26" s="150">
        <f t="shared" si="2"/>
        <v>2.1126760563380285</v>
      </c>
      <c r="F26" s="150">
        <v>2</v>
      </c>
      <c r="G26" s="118">
        <v>75</v>
      </c>
      <c r="H26" s="150">
        <f t="shared" si="0"/>
        <v>52.816901408450704</v>
      </c>
      <c r="I26" s="150">
        <v>74</v>
      </c>
      <c r="J26" s="41" t="s">
        <v>88</v>
      </c>
      <c r="K26" s="41">
        <f t="shared" si="3"/>
        <v>51.408450704225352</v>
      </c>
      <c r="L26" s="42">
        <f t="shared" si="10"/>
        <v>52.816901408450704</v>
      </c>
      <c r="M26" s="41">
        <f t="shared" ref="M26:M36" si="12">L26+(6/1.42)</f>
        <v>57.04225352112676</v>
      </c>
      <c r="N26" s="43">
        <v>18</v>
      </c>
      <c r="O26" s="44" t="s">
        <v>100</v>
      </c>
      <c r="P26" s="44">
        <v>17.3</v>
      </c>
      <c r="Q26" s="153" t="s">
        <v>162</v>
      </c>
      <c r="R26" s="153"/>
      <c r="S26" s="153">
        <v>103519910</v>
      </c>
      <c r="T26" s="45">
        <f t="shared" si="4"/>
        <v>4516</v>
      </c>
      <c r="U26" s="46">
        <f t="shared" si="5"/>
        <v>108.384</v>
      </c>
      <c r="V26" s="46">
        <f t="shared" si="6"/>
        <v>4.516</v>
      </c>
      <c r="W26" s="96">
        <v>4.7</v>
      </c>
      <c r="X26" s="96">
        <f t="shared" si="1"/>
        <v>4.7</v>
      </c>
      <c r="Y26" s="97" t="s">
        <v>168</v>
      </c>
      <c r="Z26" s="154">
        <v>1016</v>
      </c>
      <c r="AA26" s="154">
        <v>0</v>
      </c>
      <c r="AB26" s="154">
        <v>1188</v>
      </c>
      <c r="AC26" s="154">
        <v>1185</v>
      </c>
      <c r="AD26" s="154">
        <v>0</v>
      </c>
      <c r="AE26" s="154">
        <v>1185</v>
      </c>
      <c r="AF26" s="47" t="s">
        <v>90</v>
      </c>
      <c r="AG26" s="47" t="s">
        <v>90</v>
      </c>
      <c r="AH26" s="98" t="s">
        <v>90</v>
      </c>
      <c r="AI26" s="103">
        <v>17857681</v>
      </c>
      <c r="AJ26" s="45">
        <f t="shared" si="7"/>
        <v>1214</v>
      </c>
      <c r="AK26" s="48">
        <f t="shared" si="9"/>
        <v>268.82196634189546</v>
      </c>
      <c r="AL26" s="151">
        <v>1</v>
      </c>
      <c r="AM26" s="151">
        <v>0</v>
      </c>
      <c r="AN26" s="151">
        <v>1</v>
      </c>
      <c r="AO26" s="151">
        <v>1</v>
      </c>
      <c r="AP26" s="151">
        <v>0</v>
      </c>
      <c r="AQ26" s="151">
        <v>1</v>
      </c>
      <c r="AR26" s="151">
        <v>0</v>
      </c>
      <c r="AS26" s="154"/>
      <c r="AT26" s="154">
        <v>0</v>
      </c>
      <c r="AU26" s="119">
        <v>1.1200000000000001</v>
      </c>
      <c r="AV26" s="50" t="s">
        <v>125</v>
      </c>
      <c r="AY26" s="55" t="s">
        <v>29</v>
      </c>
      <c r="AZ26" s="55">
        <v>14.7</v>
      </c>
      <c r="BB26" s="74" t="s">
        <v>141</v>
      </c>
    </row>
    <row r="27" spans="1:54" x14ac:dyDescent="0.35">
      <c r="A27" s="331">
        <v>43312</v>
      </c>
      <c r="B27" s="40">
        <v>2.5833333333333299</v>
      </c>
      <c r="C27" s="40">
        <v>0.625</v>
      </c>
      <c r="D27" s="152">
        <v>3</v>
      </c>
      <c r="E27" s="150">
        <f t="shared" si="2"/>
        <v>2.1126760563380285</v>
      </c>
      <c r="F27" s="150">
        <v>2</v>
      </c>
      <c r="G27" s="118">
        <v>75</v>
      </c>
      <c r="H27" s="150">
        <f t="shared" si="0"/>
        <v>52.816901408450704</v>
      </c>
      <c r="I27" s="150">
        <v>74</v>
      </c>
      <c r="J27" s="41" t="s">
        <v>88</v>
      </c>
      <c r="K27" s="41">
        <f t="shared" si="3"/>
        <v>51.408450704225352</v>
      </c>
      <c r="L27" s="42">
        <f t="shared" si="10"/>
        <v>52.816901408450704</v>
      </c>
      <c r="M27" s="41">
        <f t="shared" si="12"/>
        <v>57.04225352112676</v>
      </c>
      <c r="N27" s="43">
        <v>18</v>
      </c>
      <c r="O27" s="44" t="s">
        <v>100</v>
      </c>
      <c r="P27" s="44">
        <v>16.899999999999999</v>
      </c>
      <c r="Q27" s="153" t="s">
        <v>162</v>
      </c>
      <c r="R27" s="153"/>
      <c r="S27" s="153">
        <v>103524423</v>
      </c>
      <c r="T27" s="45">
        <f t="shared" si="4"/>
        <v>4513</v>
      </c>
      <c r="U27" s="46">
        <f t="shared" si="5"/>
        <v>108.312</v>
      </c>
      <c r="V27" s="46">
        <f t="shared" si="6"/>
        <v>4.5129999999999999</v>
      </c>
      <c r="W27" s="96">
        <v>4.3</v>
      </c>
      <c r="X27" s="96">
        <f t="shared" si="1"/>
        <v>4.3</v>
      </c>
      <c r="Y27" s="97" t="s">
        <v>168</v>
      </c>
      <c r="Z27" s="154">
        <v>1016</v>
      </c>
      <c r="AA27" s="154">
        <v>0</v>
      </c>
      <c r="AB27" s="154">
        <v>1187</v>
      </c>
      <c r="AC27" s="154">
        <v>1185</v>
      </c>
      <c r="AD27" s="154">
        <v>0</v>
      </c>
      <c r="AE27" s="154">
        <v>1185</v>
      </c>
      <c r="AF27" s="47" t="s">
        <v>90</v>
      </c>
      <c r="AG27" s="47" t="s">
        <v>90</v>
      </c>
      <c r="AH27" s="98" t="s">
        <v>90</v>
      </c>
      <c r="AI27" s="103">
        <v>17858817</v>
      </c>
      <c r="AJ27" s="45">
        <f t="shared" si="7"/>
        <v>1136</v>
      </c>
      <c r="AK27" s="48">
        <f t="shared" si="9"/>
        <v>251.71726124529138</v>
      </c>
      <c r="AL27" s="151">
        <v>1</v>
      </c>
      <c r="AM27" s="151">
        <v>0</v>
      </c>
      <c r="AN27" s="151">
        <v>1</v>
      </c>
      <c r="AO27" s="151">
        <v>1</v>
      </c>
      <c r="AP27" s="151">
        <v>0</v>
      </c>
      <c r="AQ27" s="151">
        <v>1</v>
      </c>
      <c r="AR27" s="151">
        <v>0</v>
      </c>
      <c r="AS27" s="154"/>
      <c r="AT27" s="154">
        <f t="shared" si="8"/>
        <v>0</v>
      </c>
      <c r="AU27" s="49"/>
      <c r="AV27" s="50" t="s">
        <v>125</v>
      </c>
      <c r="AY27" s="55" t="s">
        <v>74</v>
      </c>
      <c r="AZ27" s="55">
        <v>10.36</v>
      </c>
      <c r="BB27" s="74" t="s">
        <v>147</v>
      </c>
    </row>
    <row r="28" spans="1:54" x14ac:dyDescent="0.35">
      <c r="A28" s="331">
        <v>43312</v>
      </c>
      <c r="B28" s="40">
        <v>2.625</v>
      </c>
      <c r="C28" s="40">
        <v>0.66666666666666696</v>
      </c>
      <c r="D28" s="152">
        <v>3</v>
      </c>
      <c r="E28" s="150">
        <f t="shared" si="2"/>
        <v>2.1126760563380285</v>
      </c>
      <c r="F28" s="150">
        <v>1</v>
      </c>
      <c r="G28" s="118">
        <v>75</v>
      </c>
      <c r="H28" s="150">
        <f t="shared" si="0"/>
        <v>52.816901408450704</v>
      </c>
      <c r="I28" s="150">
        <v>73</v>
      </c>
      <c r="J28" s="41" t="s">
        <v>88</v>
      </c>
      <c r="K28" s="41">
        <f t="shared" si="3"/>
        <v>49.295774647887328</v>
      </c>
      <c r="L28" s="42">
        <f>(G28-3)/1.42</f>
        <v>50.70422535211268</v>
      </c>
      <c r="M28" s="41">
        <f t="shared" si="12"/>
        <v>54.929577464788736</v>
      </c>
      <c r="N28" s="43">
        <v>18</v>
      </c>
      <c r="O28" s="44" t="s">
        <v>100</v>
      </c>
      <c r="P28" s="44">
        <v>16.7</v>
      </c>
      <c r="Q28" s="153" t="s">
        <v>162</v>
      </c>
      <c r="R28" s="153"/>
      <c r="S28" s="153">
        <v>103528968</v>
      </c>
      <c r="T28" s="45">
        <f t="shared" si="4"/>
        <v>4545</v>
      </c>
      <c r="U28" s="46">
        <f t="shared" si="5"/>
        <v>109.08</v>
      </c>
      <c r="V28" s="46">
        <f t="shared" si="6"/>
        <v>4.5449999999999999</v>
      </c>
      <c r="W28" s="96">
        <v>3.8</v>
      </c>
      <c r="X28" s="96">
        <f t="shared" si="1"/>
        <v>3.8</v>
      </c>
      <c r="Y28" s="97" t="s">
        <v>168</v>
      </c>
      <c r="Z28" s="154">
        <v>1016</v>
      </c>
      <c r="AA28" s="154">
        <v>0</v>
      </c>
      <c r="AB28" s="154">
        <v>1187</v>
      </c>
      <c r="AC28" s="154">
        <v>1185</v>
      </c>
      <c r="AD28" s="154">
        <v>0</v>
      </c>
      <c r="AE28" s="154">
        <v>1185</v>
      </c>
      <c r="AF28" s="47" t="s">
        <v>90</v>
      </c>
      <c r="AG28" s="47" t="s">
        <v>90</v>
      </c>
      <c r="AH28" s="98" t="s">
        <v>90</v>
      </c>
      <c r="AI28" s="103">
        <v>17859997</v>
      </c>
      <c r="AJ28" s="45">
        <f>IF(ISBLANK(AI28),"-",AI28-AI27)</f>
        <v>1180</v>
      </c>
      <c r="AK28" s="48">
        <f t="shared" si="9"/>
        <v>259.62596259625963</v>
      </c>
      <c r="AL28" s="151">
        <v>1</v>
      </c>
      <c r="AM28" s="151">
        <v>0</v>
      </c>
      <c r="AN28" s="151">
        <v>1</v>
      </c>
      <c r="AO28" s="151">
        <v>1</v>
      </c>
      <c r="AP28" s="151">
        <v>0</v>
      </c>
      <c r="AQ28" s="151">
        <v>1</v>
      </c>
      <c r="AR28" s="151">
        <v>0</v>
      </c>
      <c r="AS28" s="154"/>
      <c r="AT28" s="154">
        <f t="shared" si="8"/>
        <v>0</v>
      </c>
      <c r="AU28" s="49"/>
      <c r="AV28" s="50" t="s">
        <v>125</v>
      </c>
      <c r="AW28" s="87" t="s">
        <v>192</v>
      </c>
      <c r="AY28" s="55" t="s">
        <v>112</v>
      </c>
      <c r="AZ28" s="55">
        <v>1.01325</v>
      </c>
      <c r="BB28" s="74" t="s">
        <v>134</v>
      </c>
    </row>
    <row r="29" spans="1:54" x14ac:dyDescent="0.35">
      <c r="A29" s="331">
        <v>43312</v>
      </c>
      <c r="B29" s="40">
        <v>2.6666666666666701</v>
      </c>
      <c r="C29" s="40">
        <v>0.70833333333333404</v>
      </c>
      <c r="D29" s="152">
        <v>3</v>
      </c>
      <c r="E29" s="150">
        <f t="shared" si="2"/>
        <v>2.1126760563380285</v>
      </c>
      <c r="F29" s="150">
        <v>1</v>
      </c>
      <c r="G29" s="118">
        <v>74</v>
      </c>
      <c r="H29" s="150">
        <f t="shared" si="0"/>
        <v>52.112676056338032</v>
      </c>
      <c r="I29" s="150">
        <v>73</v>
      </c>
      <c r="J29" s="41" t="s">
        <v>88</v>
      </c>
      <c r="K29" s="41">
        <f t="shared" si="3"/>
        <v>48.591549295774648</v>
      </c>
      <c r="L29" s="42">
        <f t="shared" ref="L29:L34" si="13">(G29-3)/1.42</f>
        <v>50</v>
      </c>
      <c r="M29" s="41">
        <f t="shared" si="12"/>
        <v>54.225352112676056</v>
      </c>
      <c r="N29" s="43">
        <v>18</v>
      </c>
      <c r="O29" s="44" t="s">
        <v>100</v>
      </c>
      <c r="P29" s="44">
        <v>16.7</v>
      </c>
      <c r="Q29" s="153" t="s">
        <v>162</v>
      </c>
      <c r="R29" s="153"/>
      <c r="S29" s="153">
        <v>103533616</v>
      </c>
      <c r="T29" s="45">
        <f t="shared" si="4"/>
        <v>4648</v>
      </c>
      <c r="U29" s="46">
        <f t="shared" si="5"/>
        <v>111.55200000000001</v>
      </c>
      <c r="V29" s="46">
        <f t="shared" si="6"/>
        <v>4.6479999999999997</v>
      </c>
      <c r="W29" s="96">
        <v>3.4</v>
      </c>
      <c r="X29" s="96">
        <f t="shared" si="1"/>
        <v>3.4</v>
      </c>
      <c r="Y29" s="97" t="s">
        <v>168</v>
      </c>
      <c r="Z29" s="154">
        <v>1015</v>
      </c>
      <c r="AA29" s="154">
        <v>0</v>
      </c>
      <c r="AB29" s="154">
        <v>1187</v>
      </c>
      <c r="AC29" s="154">
        <v>1185</v>
      </c>
      <c r="AD29" s="154">
        <v>0</v>
      </c>
      <c r="AE29" s="154">
        <v>1185</v>
      </c>
      <c r="AF29" s="47" t="s">
        <v>90</v>
      </c>
      <c r="AG29" s="47" t="s">
        <v>90</v>
      </c>
      <c r="AH29" s="98" t="s">
        <v>90</v>
      </c>
      <c r="AI29" s="103">
        <v>17861149</v>
      </c>
      <c r="AJ29" s="45">
        <f t="shared" si="7"/>
        <v>1152</v>
      </c>
      <c r="AK29" s="48">
        <f>AJ28/V29</f>
        <v>253.87263339070569</v>
      </c>
      <c r="AL29" s="151">
        <v>1</v>
      </c>
      <c r="AM29" s="151">
        <v>0</v>
      </c>
      <c r="AN29" s="151">
        <v>1</v>
      </c>
      <c r="AO29" s="151">
        <v>1</v>
      </c>
      <c r="AP29" s="151">
        <v>0</v>
      </c>
      <c r="AQ29" s="151">
        <v>1</v>
      </c>
      <c r="AR29" s="151">
        <v>0</v>
      </c>
      <c r="AS29" s="154"/>
      <c r="AT29" s="154">
        <f t="shared" si="8"/>
        <v>0</v>
      </c>
      <c r="AU29" s="49"/>
      <c r="AV29" s="50" t="s">
        <v>125</v>
      </c>
      <c r="AY29" s="55" t="s">
        <v>113</v>
      </c>
      <c r="AZ29" s="55">
        <v>1</v>
      </c>
      <c r="BB29" s="74" t="s">
        <v>150</v>
      </c>
    </row>
    <row r="30" spans="1:54" x14ac:dyDescent="0.35">
      <c r="A30" s="331">
        <v>43312</v>
      </c>
      <c r="B30" s="40">
        <v>2.7083333333333299</v>
      </c>
      <c r="C30" s="40">
        <v>0.750000000000002</v>
      </c>
      <c r="D30" s="152">
        <v>3</v>
      </c>
      <c r="E30" s="150">
        <f t="shared" si="2"/>
        <v>2.1126760563380285</v>
      </c>
      <c r="F30" s="150">
        <v>0</v>
      </c>
      <c r="G30" s="118">
        <v>75</v>
      </c>
      <c r="H30" s="150">
        <f t="shared" si="0"/>
        <v>52.816901408450704</v>
      </c>
      <c r="I30" s="150">
        <v>73</v>
      </c>
      <c r="J30" s="41" t="s">
        <v>88</v>
      </c>
      <c r="K30" s="41">
        <f t="shared" si="3"/>
        <v>49.295774647887328</v>
      </c>
      <c r="L30" s="42">
        <f t="shared" si="13"/>
        <v>50.70422535211268</v>
      </c>
      <c r="M30" s="41">
        <f t="shared" si="12"/>
        <v>54.929577464788736</v>
      </c>
      <c r="N30" s="43">
        <v>18</v>
      </c>
      <c r="O30" s="44" t="s">
        <v>100</v>
      </c>
      <c r="P30" s="44">
        <v>16.7</v>
      </c>
      <c r="Q30" s="153" t="s">
        <v>162</v>
      </c>
      <c r="R30" s="153"/>
      <c r="S30" s="153">
        <v>103538184</v>
      </c>
      <c r="T30" s="45">
        <f t="shared" si="4"/>
        <v>4568</v>
      </c>
      <c r="U30" s="46">
        <f t="shared" si="5"/>
        <v>109.63200000000001</v>
      </c>
      <c r="V30" s="46">
        <f t="shared" si="6"/>
        <v>4.5679999999999996</v>
      </c>
      <c r="W30" s="96">
        <v>3</v>
      </c>
      <c r="X30" s="96">
        <f t="shared" si="1"/>
        <v>3</v>
      </c>
      <c r="Y30" s="97" t="s">
        <v>168</v>
      </c>
      <c r="Z30" s="154">
        <v>1016</v>
      </c>
      <c r="AA30" s="154">
        <v>0</v>
      </c>
      <c r="AB30" s="154">
        <v>1187</v>
      </c>
      <c r="AC30" s="154">
        <v>1185</v>
      </c>
      <c r="AD30" s="154">
        <v>0</v>
      </c>
      <c r="AE30" s="154">
        <v>1185</v>
      </c>
      <c r="AF30" s="47" t="s">
        <v>90</v>
      </c>
      <c r="AG30" s="47" t="s">
        <v>90</v>
      </c>
      <c r="AH30" s="98" t="s">
        <v>90</v>
      </c>
      <c r="AI30" s="103">
        <v>17862296</v>
      </c>
      <c r="AJ30" s="45">
        <f t="shared" si="7"/>
        <v>1147</v>
      </c>
      <c r="AK30" s="48">
        <f>AJ29/V30</f>
        <v>252.18914185639233</v>
      </c>
      <c r="AL30" s="151">
        <v>1</v>
      </c>
      <c r="AM30" s="151">
        <v>0</v>
      </c>
      <c r="AN30" s="151">
        <v>1</v>
      </c>
      <c r="AO30" s="151">
        <v>1</v>
      </c>
      <c r="AP30" s="151">
        <v>0</v>
      </c>
      <c r="AQ30" s="151">
        <v>1</v>
      </c>
      <c r="AR30" s="151">
        <v>0</v>
      </c>
      <c r="AS30" s="154"/>
      <c r="AT30" s="154">
        <f t="shared" si="8"/>
        <v>0</v>
      </c>
      <c r="AU30" s="155">
        <v>1.06</v>
      </c>
      <c r="AV30" s="50" t="s">
        <v>125</v>
      </c>
      <c r="AY30" s="55" t="s">
        <v>114</v>
      </c>
      <c r="AZ30" s="55">
        <v>101.325</v>
      </c>
      <c r="BB30" s="74" t="s">
        <v>161</v>
      </c>
    </row>
    <row r="31" spans="1:54" x14ac:dyDescent="0.35">
      <c r="A31" s="331">
        <v>43312</v>
      </c>
      <c r="B31" s="40">
        <v>2.75</v>
      </c>
      <c r="C31" s="40">
        <v>0.79166666666666896</v>
      </c>
      <c r="D31" s="152">
        <v>3</v>
      </c>
      <c r="E31" s="150">
        <f t="shared" si="2"/>
        <v>2.1126760563380285</v>
      </c>
      <c r="F31" s="150">
        <v>-1</v>
      </c>
      <c r="G31" s="118">
        <v>73</v>
      </c>
      <c r="H31" s="150">
        <f t="shared" si="0"/>
        <v>51.408450704225352</v>
      </c>
      <c r="I31" s="150">
        <v>72</v>
      </c>
      <c r="J31" s="41" t="s">
        <v>88</v>
      </c>
      <c r="K31" s="41">
        <f t="shared" si="3"/>
        <v>47.887323943661976</v>
      </c>
      <c r="L31" s="42">
        <f t="shared" si="13"/>
        <v>49.295774647887328</v>
      </c>
      <c r="M31" s="41">
        <f t="shared" si="12"/>
        <v>53.521126760563384</v>
      </c>
      <c r="N31" s="43">
        <v>18</v>
      </c>
      <c r="O31" s="44" t="s">
        <v>100</v>
      </c>
      <c r="P31" s="44">
        <v>16.600000000000001</v>
      </c>
      <c r="Q31" s="153" t="s">
        <v>162</v>
      </c>
      <c r="R31" s="153"/>
      <c r="S31" s="153">
        <v>103543080</v>
      </c>
      <c r="T31" s="45">
        <f t="shared" si="4"/>
        <v>4896</v>
      </c>
      <c r="U31" s="46">
        <f t="shared" si="5"/>
        <v>117.504</v>
      </c>
      <c r="V31" s="46">
        <f t="shared" si="6"/>
        <v>4.8959999999999999</v>
      </c>
      <c r="W31" s="96">
        <v>2.7</v>
      </c>
      <c r="X31" s="96">
        <f t="shared" si="1"/>
        <v>2.7</v>
      </c>
      <c r="Y31" s="97" t="s">
        <v>168</v>
      </c>
      <c r="Z31" s="154">
        <v>1015</v>
      </c>
      <c r="AA31" s="154">
        <v>0</v>
      </c>
      <c r="AB31" s="154">
        <v>1187</v>
      </c>
      <c r="AC31" s="154">
        <v>1185</v>
      </c>
      <c r="AD31" s="154">
        <v>0</v>
      </c>
      <c r="AE31" s="154">
        <v>1185</v>
      </c>
      <c r="AF31" s="47" t="s">
        <v>90</v>
      </c>
      <c r="AG31" s="47" t="s">
        <v>90</v>
      </c>
      <c r="AH31" s="98" t="s">
        <v>90</v>
      </c>
      <c r="AI31" s="103">
        <v>17863453</v>
      </c>
      <c r="AJ31" s="45">
        <f t="shared" si="7"/>
        <v>1157</v>
      </c>
      <c r="AK31" s="48">
        <f t="shared" si="9"/>
        <v>236.31535947712419</v>
      </c>
      <c r="AL31" s="151">
        <v>1</v>
      </c>
      <c r="AM31" s="151">
        <v>0</v>
      </c>
      <c r="AN31" s="151">
        <v>1</v>
      </c>
      <c r="AO31" s="151">
        <v>1</v>
      </c>
      <c r="AP31" s="151">
        <v>0</v>
      </c>
      <c r="AQ31" s="151">
        <v>1</v>
      </c>
      <c r="AR31" s="151">
        <v>0</v>
      </c>
      <c r="AS31" s="154"/>
      <c r="AT31" s="154">
        <f t="shared" si="8"/>
        <v>0</v>
      </c>
      <c r="AU31" s="49"/>
      <c r="AV31" s="50" t="s">
        <v>125</v>
      </c>
      <c r="BB31" s="74" t="s">
        <v>145</v>
      </c>
    </row>
    <row r="32" spans="1:54" x14ac:dyDescent="0.35">
      <c r="A32" s="331">
        <v>43312</v>
      </c>
      <c r="B32" s="40">
        <v>2.7916666666666701</v>
      </c>
      <c r="C32" s="40">
        <v>0.83333333333333703</v>
      </c>
      <c r="D32" s="152">
        <v>3</v>
      </c>
      <c r="E32" s="150">
        <f t="shared" si="2"/>
        <v>2.1126760563380285</v>
      </c>
      <c r="F32" s="150">
        <v>-2</v>
      </c>
      <c r="G32" s="118">
        <v>73</v>
      </c>
      <c r="H32" s="150">
        <f t="shared" si="0"/>
        <v>51.408450704225352</v>
      </c>
      <c r="I32" s="150">
        <v>71</v>
      </c>
      <c r="J32" s="41" t="s">
        <v>88</v>
      </c>
      <c r="K32" s="41">
        <f t="shared" si="3"/>
        <v>47.887323943661976</v>
      </c>
      <c r="L32" s="42">
        <f t="shared" si="13"/>
        <v>49.295774647887328</v>
      </c>
      <c r="M32" s="41">
        <f t="shared" si="12"/>
        <v>53.521126760563384</v>
      </c>
      <c r="N32" s="43">
        <v>18</v>
      </c>
      <c r="O32" s="44" t="s">
        <v>100</v>
      </c>
      <c r="P32" s="44">
        <v>16.600000000000001</v>
      </c>
      <c r="Q32" s="153" t="s">
        <v>162</v>
      </c>
      <c r="R32" s="153"/>
      <c r="S32" s="153">
        <v>103547685</v>
      </c>
      <c r="T32" s="45">
        <f t="shared" si="4"/>
        <v>4605</v>
      </c>
      <c r="U32" s="46">
        <f t="shared" si="5"/>
        <v>110.52</v>
      </c>
      <c r="V32" s="46">
        <f t="shared" si="6"/>
        <v>4.6050000000000004</v>
      </c>
      <c r="W32" s="96">
        <v>2.2999999999999998</v>
      </c>
      <c r="X32" s="96">
        <f t="shared" si="1"/>
        <v>2.2999999999999998</v>
      </c>
      <c r="Y32" s="97" t="s">
        <v>168</v>
      </c>
      <c r="Z32" s="154">
        <v>1016</v>
      </c>
      <c r="AA32" s="154">
        <v>0</v>
      </c>
      <c r="AB32" s="154">
        <v>1187</v>
      </c>
      <c r="AC32" s="154">
        <v>1185</v>
      </c>
      <c r="AD32" s="154">
        <v>0</v>
      </c>
      <c r="AE32" s="154">
        <v>1185</v>
      </c>
      <c r="AF32" s="47" t="s">
        <v>90</v>
      </c>
      <c r="AG32" s="47" t="s">
        <v>90</v>
      </c>
      <c r="AH32" s="98" t="s">
        <v>90</v>
      </c>
      <c r="AI32" s="103">
        <v>17864583</v>
      </c>
      <c r="AJ32" s="45">
        <f t="shared" si="7"/>
        <v>1130</v>
      </c>
      <c r="AK32" s="48">
        <f t="shared" si="9"/>
        <v>245.38545059717697</v>
      </c>
      <c r="AL32" s="151">
        <v>1</v>
      </c>
      <c r="AM32" s="151">
        <v>0</v>
      </c>
      <c r="AN32" s="151">
        <v>1</v>
      </c>
      <c r="AO32" s="151">
        <v>1</v>
      </c>
      <c r="AP32" s="151">
        <v>0</v>
      </c>
      <c r="AQ32" s="151">
        <v>1</v>
      </c>
      <c r="AR32" s="151">
        <v>0</v>
      </c>
      <c r="AS32" s="154"/>
      <c r="AT32" s="154">
        <v>0</v>
      </c>
      <c r="AU32" s="49"/>
      <c r="AV32" s="50" t="s">
        <v>125</v>
      </c>
      <c r="AW32" s="87" t="s">
        <v>192</v>
      </c>
      <c r="AY32" s="315" t="s">
        <v>115</v>
      </c>
      <c r="AZ32" s="315"/>
      <c r="BB32" s="74" t="s">
        <v>155</v>
      </c>
    </row>
    <row r="33" spans="1:54" x14ac:dyDescent="0.35">
      <c r="A33" s="331">
        <v>43312</v>
      </c>
      <c r="B33" s="40">
        <v>2.8333333333333299</v>
      </c>
      <c r="C33" s="40">
        <v>0.875</v>
      </c>
      <c r="D33" s="152">
        <v>3</v>
      </c>
      <c r="E33" s="150">
        <f t="shared" si="2"/>
        <v>2.1126760563380285</v>
      </c>
      <c r="F33" s="150">
        <v>-3</v>
      </c>
      <c r="G33" s="118">
        <v>73</v>
      </c>
      <c r="H33" s="150">
        <f t="shared" si="0"/>
        <v>51.408450704225352</v>
      </c>
      <c r="I33" s="150">
        <v>71</v>
      </c>
      <c r="J33" s="41" t="s">
        <v>88</v>
      </c>
      <c r="K33" s="41">
        <f t="shared" si="3"/>
        <v>47.887323943661976</v>
      </c>
      <c r="L33" s="42">
        <f t="shared" si="13"/>
        <v>49.295774647887328</v>
      </c>
      <c r="M33" s="41">
        <f t="shared" si="12"/>
        <v>53.521126760563384</v>
      </c>
      <c r="N33" s="43">
        <v>18</v>
      </c>
      <c r="O33" s="44" t="s">
        <v>100</v>
      </c>
      <c r="P33" s="44">
        <v>16.100000000000001</v>
      </c>
      <c r="Q33" s="153" t="s">
        <v>162</v>
      </c>
      <c r="R33" s="153"/>
      <c r="S33" s="153">
        <v>103552381</v>
      </c>
      <c r="T33" s="45">
        <f t="shared" si="4"/>
        <v>4696</v>
      </c>
      <c r="U33" s="46">
        <f t="shared" si="5"/>
        <v>112.70399999999999</v>
      </c>
      <c r="V33" s="46">
        <f t="shared" si="6"/>
        <v>4.6959999999999997</v>
      </c>
      <c r="W33" s="96">
        <v>1.9</v>
      </c>
      <c r="X33" s="96">
        <f t="shared" si="1"/>
        <v>1.9</v>
      </c>
      <c r="Y33" s="97" t="s">
        <v>168</v>
      </c>
      <c r="Z33" s="154">
        <v>1015</v>
      </c>
      <c r="AA33" s="154">
        <v>0</v>
      </c>
      <c r="AB33" s="154">
        <v>1187</v>
      </c>
      <c r="AC33" s="154">
        <v>1185</v>
      </c>
      <c r="AD33" s="154">
        <v>0</v>
      </c>
      <c r="AE33" s="154">
        <v>1185</v>
      </c>
      <c r="AF33" s="47" t="s">
        <v>90</v>
      </c>
      <c r="AG33" s="47" t="s">
        <v>90</v>
      </c>
      <c r="AH33" s="98" t="s">
        <v>90</v>
      </c>
      <c r="AI33" s="103">
        <v>17865731</v>
      </c>
      <c r="AJ33" s="45">
        <f t="shared" si="7"/>
        <v>1148</v>
      </c>
      <c r="AK33" s="48">
        <f t="shared" si="9"/>
        <v>244.46337308347532</v>
      </c>
      <c r="AL33" s="151">
        <v>1</v>
      </c>
      <c r="AM33" s="151">
        <v>0</v>
      </c>
      <c r="AN33" s="151">
        <v>1</v>
      </c>
      <c r="AO33" s="151">
        <v>1</v>
      </c>
      <c r="AP33" s="151">
        <v>0</v>
      </c>
      <c r="AQ33" s="151">
        <v>1</v>
      </c>
      <c r="AR33" s="151">
        <v>0</v>
      </c>
      <c r="AS33" s="154"/>
      <c r="AT33" s="154">
        <v>0</v>
      </c>
      <c r="AU33" s="49"/>
      <c r="AV33" s="50" t="s">
        <v>125</v>
      </c>
      <c r="AY33" s="56" t="s">
        <v>29</v>
      </c>
      <c r="AZ33" s="56" t="s">
        <v>74</v>
      </c>
      <c r="BB33" s="74" t="s">
        <v>151</v>
      </c>
    </row>
    <row r="34" spans="1:54" x14ac:dyDescent="0.35">
      <c r="A34" s="331">
        <v>43312</v>
      </c>
      <c r="B34" s="40">
        <v>2.875</v>
      </c>
      <c r="C34" s="40">
        <v>0.91666666666667096</v>
      </c>
      <c r="D34" s="152">
        <v>3</v>
      </c>
      <c r="E34" s="150">
        <f t="shared" si="2"/>
        <v>2.1126760563380285</v>
      </c>
      <c r="F34" s="150">
        <v>-5</v>
      </c>
      <c r="G34" s="118">
        <v>75</v>
      </c>
      <c r="H34" s="150">
        <f t="shared" si="0"/>
        <v>52.816901408450704</v>
      </c>
      <c r="I34" s="150">
        <v>73</v>
      </c>
      <c r="J34" s="41" t="s">
        <v>88</v>
      </c>
      <c r="K34" s="41">
        <f t="shared" si="3"/>
        <v>49.295774647887328</v>
      </c>
      <c r="L34" s="42">
        <f t="shared" si="13"/>
        <v>50.70422535211268</v>
      </c>
      <c r="M34" s="41">
        <f t="shared" si="12"/>
        <v>54.929577464788736</v>
      </c>
      <c r="N34" s="43">
        <v>14</v>
      </c>
      <c r="O34" s="44" t="s">
        <v>116</v>
      </c>
      <c r="P34" s="44">
        <v>12.6</v>
      </c>
      <c r="Q34" s="153" t="s">
        <v>162</v>
      </c>
      <c r="R34" s="153"/>
      <c r="S34" s="153">
        <v>103557677</v>
      </c>
      <c r="T34" s="45">
        <f t="shared" si="4"/>
        <v>5296</v>
      </c>
      <c r="U34" s="46">
        <f t="shared" si="5"/>
        <v>127.104</v>
      </c>
      <c r="V34" s="46">
        <f t="shared" si="6"/>
        <v>5.2960000000000003</v>
      </c>
      <c r="W34" s="96">
        <v>1.7</v>
      </c>
      <c r="X34" s="96">
        <f t="shared" si="1"/>
        <v>1.7</v>
      </c>
      <c r="Y34" s="97" t="s">
        <v>168</v>
      </c>
      <c r="Z34" s="154">
        <v>1015</v>
      </c>
      <c r="AA34" s="154">
        <v>0</v>
      </c>
      <c r="AB34" s="154">
        <v>1187</v>
      </c>
      <c r="AC34" s="154">
        <v>1185</v>
      </c>
      <c r="AD34" s="154">
        <v>0</v>
      </c>
      <c r="AE34" s="154">
        <v>1185</v>
      </c>
      <c r="AF34" s="47" t="s">
        <v>90</v>
      </c>
      <c r="AG34" s="47" t="s">
        <v>90</v>
      </c>
      <c r="AH34" s="98" t="s">
        <v>90</v>
      </c>
      <c r="AI34" s="103">
        <v>17866895</v>
      </c>
      <c r="AJ34" s="45">
        <f t="shared" si="7"/>
        <v>1164</v>
      </c>
      <c r="AK34" s="48">
        <f t="shared" si="9"/>
        <v>219.78851963746223</v>
      </c>
      <c r="AL34" s="151">
        <v>1</v>
      </c>
      <c r="AM34" s="151">
        <v>0</v>
      </c>
      <c r="AN34" s="151">
        <v>1</v>
      </c>
      <c r="AO34" s="151">
        <v>1</v>
      </c>
      <c r="AP34" s="151">
        <v>0</v>
      </c>
      <c r="AQ34" s="151">
        <v>1</v>
      </c>
      <c r="AR34" s="151">
        <v>0</v>
      </c>
      <c r="AS34" s="154"/>
      <c r="AT34" s="154">
        <v>0</v>
      </c>
      <c r="AU34" s="119">
        <v>0.87</v>
      </c>
      <c r="AV34" s="50" t="s">
        <v>125</v>
      </c>
      <c r="AY34" s="57">
        <v>1</v>
      </c>
      <c r="AZ34" s="57">
        <f>IFERROR(AY34*VLOOKUP(AY33,AY26:AZ30,2,FALSE)/VLOOKUP(AZ33,AY26:AZ30,2,FALSE),"Enter Unit and Value")</f>
        <v>1.4189189189189189</v>
      </c>
      <c r="BB34" s="74" t="s">
        <v>153</v>
      </c>
    </row>
    <row r="35" spans="1:54" x14ac:dyDescent="0.35">
      <c r="A35" s="331">
        <v>43312</v>
      </c>
      <c r="B35" s="40">
        <v>2.9166666666666701</v>
      </c>
      <c r="C35" s="40">
        <v>0.95833333333333803</v>
      </c>
      <c r="D35" s="152">
        <v>3</v>
      </c>
      <c r="E35" s="150">
        <f t="shared" si="2"/>
        <v>2.1126760563380285</v>
      </c>
      <c r="F35" s="150">
        <v>-5</v>
      </c>
      <c r="G35" s="118">
        <v>68</v>
      </c>
      <c r="H35" s="150">
        <f t="shared" si="0"/>
        <v>47.887323943661976</v>
      </c>
      <c r="I35" s="150">
        <v>66</v>
      </c>
      <c r="J35" s="41" t="s">
        <v>88</v>
      </c>
      <c r="K35" s="41">
        <f>L35-(2/1.42)</f>
        <v>42.95774647887324</v>
      </c>
      <c r="L35" s="42">
        <f>(G35-5)/1.42</f>
        <v>44.366197183098592</v>
      </c>
      <c r="M35" s="41">
        <f t="shared" si="12"/>
        <v>48.591549295774648</v>
      </c>
      <c r="N35" s="43">
        <v>14</v>
      </c>
      <c r="O35" s="44" t="s">
        <v>116</v>
      </c>
      <c r="P35" s="44">
        <v>11.9</v>
      </c>
      <c r="Q35" s="153" t="s">
        <v>162</v>
      </c>
      <c r="R35" s="153"/>
      <c r="S35" s="153">
        <v>103561990</v>
      </c>
      <c r="T35" s="45">
        <f t="shared" si="4"/>
        <v>4313</v>
      </c>
      <c r="U35" s="46">
        <f t="shared" si="5"/>
        <v>103.512</v>
      </c>
      <c r="V35" s="46">
        <f t="shared" si="6"/>
        <v>4.3129999999999997</v>
      </c>
      <c r="W35" s="96">
        <v>2.7</v>
      </c>
      <c r="X35" s="96">
        <f t="shared" si="1"/>
        <v>2.7</v>
      </c>
      <c r="Y35" s="97" t="s">
        <v>139</v>
      </c>
      <c r="Z35" s="154">
        <v>0</v>
      </c>
      <c r="AA35" s="154">
        <v>0</v>
      </c>
      <c r="AB35" s="154">
        <v>1187</v>
      </c>
      <c r="AC35" s="154">
        <v>1185</v>
      </c>
      <c r="AD35" s="154">
        <v>0</v>
      </c>
      <c r="AE35" s="154">
        <v>1185</v>
      </c>
      <c r="AF35" s="47" t="s">
        <v>90</v>
      </c>
      <c r="AG35" s="47" t="s">
        <v>90</v>
      </c>
      <c r="AH35" s="98" t="s">
        <v>90</v>
      </c>
      <c r="AI35" s="103">
        <v>17867963</v>
      </c>
      <c r="AJ35" s="45">
        <f t="shared" si="7"/>
        <v>1068</v>
      </c>
      <c r="AK35" s="48">
        <f t="shared" si="9"/>
        <v>247.62346394620914</v>
      </c>
      <c r="AL35" s="151">
        <v>0</v>
      </c>
      <c r="AM35" s="151">
        <v>0</v>
      </c>
      <c r="AN35" s="151">
        <v>1</v>
      </c>
      <c r="AO35" s="151">
        <v>1</v>
      </c>
      <c r="AP35" s="151">
        <v>0</v>
      </c>
      <c r="AQ35" s="151">
        <v>1</v>
      </c>
      <c r="AR35" s="151">
        <v>0</v>
      </c>
      <c r="AS35" s="154"/>
      <c r="AT35" s="154">
        <f t="shared" si="8"/>
        <v>0</v>
      </c>
      <c r="AU35" s="49"/>
      <c r="AV35" s="50" t="s">
        <v>125</v>
      </c>
      <c r="BB35" s="74" t="s">
        <v>154</v>
      </c>
    </row>
    <row r="36" spans="1:54" x14ac:dyDescent="0.35">
      <c r="A36" s="331">
        <v>43312</v>
      </c>
      <c r="B36" s="40">
        <v>2.9583333333333299</v>
      </c>
      <c r="C36" s="40">
        <v>1</v>
      </c>
      <c r="D36" s="152">
        <v>3</v>
      </c>
      <c r="E36" s="150">
        <f t="shared" si="2"/>
        <v>2.1126760563380285</v>
      </c>
      <c r="F36" s="150">
        <v>0</v>
      </c>
      <c r="G36" s="118">
        <v>69</v>
      </c>
      <c r="H36" s="150">
        <f t="shared" si="0"/>
        <v>48.591549295774648</v>
      </c>
      <c r="I36" s="150">
        <v>67</v>
      </c>
      <c r="J36" s="41" t="s">
        <v>88</v>
      </c>
      <c r="K36" s="41">
        <f t="shared" si="3"/>
        <v>43.661971830985919</v>
      </c>
      <c r="L36" s="42">
        <f>(G36-5)/1.42</f>
        <v>45.070422535211272</v>
      </c>
      <c r="M36" s="41">
        <f t="shared" si="12"/>
        <v>49.295774647887328</v>
      </c>
      <c r="N36" s="43">
        <v>14</v>
      </c>
      <c r="O36" s="44" t="s">
        <v>116</v>
      </c>
      <c r="P36" s="58">
        <v>11.5</v>
      </c>
      <c r="Q36" s="153" t="s">
        <v>162</v>
      </c>
      <c r="R36" s="153"/>
      <c r="S36" s="153">
        <v>103566775</v>
      </c>
      <c r="T36" s="45">
        <f t="shared" si="4"/>
        <v>4785</v>
      </c>
      <c r="U36" s="46">
        <f t="shared" si="5"/>
        <v>114.84</v>
      </c>
      <c r="V36" s="46">
        <f t="shared" si="6"/>
        <v>4.7850000000000001</v>
      </c>
      <c r="W36" s="96">
        <v>4.2</v>
      </c>
      <c r="X36" s="96">
        <f t="shared" si="1"/>
        <v>4.2</v>
      </c>
      <c r="Y36" s="97" t="s">
        <v>139</v>
      </c>
      <c r="Z36" s="154">
        <v>0</v>
      </c>
      <c r="AA36" s="154">
        <v>0</v>
      </c>
      <c r="AB36" s="154">
        <v>1187</v>
      </c>
      <c r="AC36" s="154">
        <v>1185</v>
      </c>
      <c r="AD36" s="154">
        <v>0</v>
      </c>
      <c r="AE36" s="154">
        <v>1185</v>
      </c>
      <c r="AF36" s="47" t="s">
        <v>90</v>
      </c>
      <c r="AG36" s="47" t="s">
        <v>90</v>
      </c>
      <c r="AH36" s="98" t="s">
        <v>90</v>
      </c>
      <c r="AI36" s="103">
        <v>17869096</v>
      </c>
      <c r="AJ36" s="45">
        <f t="shared" si="7"/>
        <v>1133</v>
      </c>
      <c r="AK36" s="48">
        <f t="shared" si="9"/>
        <v>236.7816091954023</v>
      </c>
      <c r="AL36" s="151">
        <v>0</v>
      </c>
      <c r="AM36" s="151">
        <v>0</v>
      </c>
      <c r="AN36" s="151">
        <v>1</v>
      </c>
      <c r="AO36" s="151">
        <v>1</v>
      </c>
      <c r="AP36" s="151">
        <v>0</v>
      </c>
      <c r="AQ36" s="151">
        <v>1</v>
      </c>
      <c r="AR36" s="151">
        <v>0</v>
      </c>
      <c r="AS36" s="154"/>
      <c r="AT36" s="154">
        <f>AS36-AS35</f>
        <v>0</v>
      </c>
      <c r="AU36" s="49"/>
      <c r="AV36" s="50" t="s">
        <v>125</v>
      </c>
      <c r="AY36" s="53" t="s">
        <v>117</v>
      </c>
      <c r="AZ36" s="59" t="s">
        <v>30</v>
      </c>
      <c r="BB36" s="169" t="s">
        <v>157</v>
      </c>
    </row>
    <row r="37" spans="1:54" x14ac:dyDescent="0.35">
      <c r="B37" s="81"/>
      <c r="C37" s="82"/>
      <c r="D37" s="81"/>
      <c r="E37" s="135"/>
      <c r="F37" s="84"/>
      <c r="G37" s="84"/>
      <c r="H37" s="84"/>
      <c r="I37" s="85"/>
      <c r="J37" s="83"/>
      <c r="K37" s="84"/>
      <c r="L37" s="84"/>
      <c r="M37" s="85"/>
      <c r="N37" s="316" t="s">
        <v>118</v>
      </c>
      <c r="O37" s="317"/>
      <c r="P37" s="318"/>
      <c r="Q37" s="101"/>
      <c r="R37" s="101"/>
      <c r="S37" s="101"/>
      <c r="T37" s="60">
        <f>SUM(T13:T36)</f>
        <v>113085</v>
      </c>
      <c r="U37" s="46">
        <f t="shared" si="5"/>
        <v>2714.04</v>
      </c>
      <c r="V37" s="46">
        <f t="shared" si="6"/>
        <v>113.08499999999999</v>
      </c>
      <c r="W37" s="83"/>
      <c r="X37" s="83"/>
      <c r="Y37" s="54"/>
      <c r="Z37" s="77"/>
      <c r="AA37" s="78"/>
      <c r="AB37" s="78"/>
      <c r="AC37" s="78"/>
      <c r="AD37" s="79"/>
      <c r="AE37" s="77"/>
      <c r="AF37" s="78"/>
      <c r="AG37" s="79"/>
      <c r="AH37" s="80"/>
      <c r="AI37" s="80"/>
      <c r="AJ37" s="60">
        <f>SUM(AJ13:AJ36)</f>
        <v>27189</v>
      </c>
      <c r="AK37" s="61">
        <f>$AJ$37/$V37</f>
        <v>240.42976522085158</v>
      </c>
      <c r="AL37" s="151"/>
      <c r="AM37" s="151"/>
      <c r="AN37" s="151"/>
      <c r="AO37" s="151"/>
      <c r="AP37" s="151"/>
      <c r="AQ37" s="151"/>
      <c r="AR37" s="62"/>
      <c r="AS37" s="63">
        <f>AS36-AS11</f>
        <v>0</v>
      </c>
      <c r="AT37" s="64">
        <f>SUM(AT13:AT36)</f>
        <v>0</v>
      </c>
      <c r="AU37" s="65">
        <f>AVERAGE(AU13:AU36)</f>
        <v>0.99333333333333329</v>
      </c>
      <c r="AV37" s="62"/>
      <c r="AY37" s="66" t="s">
        <v>30</v>
      </c>
      <c r="AZ37" s="66">
        <v>1</v>
      </c>
      <c r="BB37" s="74" t="s">
        <v>158</v>
      </c>
    </row>
    <row r="38" spans="1:54" x14ac:dyDescent="0.35">
      <c r="B38" s="67"/>
      <c r="C38" s="67"/>
      <c r="D38" s="67"/>
      <c r="E38" s="67"/>
      <c r="F38" s="68"/>
      <c r="G38" s="68"/>
      <c r="H38" s="68"/>
      <c r="I38" s="68"/>
      <c r="J38" s="68"/>
      <c r="K38" s="69"/>
      <c r="L38" s="69"/>
      <c r="M38" s="69"/>
      <c r="N38" s="87"/>
      <c r="O38" s="87"/>
      <c r="P38" s="87"/>
      <c r="Q38" s="87"/>
      <c r="R38" s="87"/>
      <c r="S38" s="87"/>
      <c r="T38" s="87"/>
      <c r="U38" s="87"/>
      <c r="V38" s="87"/>
      <c r="W38" s="70"/>
      <c r="X38" s="70"/>
      <c r="Y38" s="87"/>
      <c r="Z38" s="87"/>
      <c r="AA38" s="87"/>
      <c r="AB38" s="89"/>
      <c r="AC38" s="87"/>
      <c r="AD38" s="87"/>
      <c r="AE38" s="87"/>
      <c r="AF38" s="87"/>
      <c r="AG38" s="87"/>
      <c r="AJ38" s="71"/>
      <c r="AO38" s="87"/>
      <c r="AP38" s="87"/>
      <c r="AQ38" s="87"/>
      <c r="AR38" s="87"/>
      <c r="AS38" s="87"/>
      <c r="AT38" s="87"/>
      <c r="AU38" s="87"/>
      <c r="AY38" s="66" t="s">
        <v>119</v>
      </c>
      <c r="AZ38" s="66">
        <v>41.67</v>
      </c>
      <c r="BB38" s="74" t="s">
        <v>231</v>
      </c>
    </row>
    <row r="39" spans="1:54" x14ac:dyDescent="0.35">
      <c r="B39" s="144" t="s">
        <v>120</v>
      </c>
      <c r="C39" s="76"/>
      <c r="D39" s="76"/>
      <c r="E39" s="76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89"/>
      <c r="Z39" s="89"/>
      <c r="AA39" s="89"/>
      <c r="AB39" s="89"/>
      <c r="AC39" s="89"/>
      <c r="AD39" s="89"/>
      <c r="AE39" s="89"/>
      <c r="AF39" s="89"/>
      <c r="AG39" s="89"/>
      <c r="AO39" s="87"/>
      <c r="AP39" s="87"/>
      <c r="AQ39" s="87"/>
      <c r="AR39" s="87"/>
      <c r="AS39" s="87"/>
      <c r="AT39" s="87"/>
      <c r="AU39" s="89"/>
      <c r="AY39" s="66" t="s">
        <v>121</v>
      </c>
      <c r="AZ39" s="66">
        <v>11.574999999999999</v>
      </c>
      <c r="BB39" s="88"/>
    </row>
    <row r="40" spans="1:54" x14ac:dyDescent="0.35">
      <c r="B40" s="145" t="s">
        <v>129</v>
      </c>
      <c r="C40" s="92"/>
      <c r="D40" s="92"/>
      <c r="E40" s="92"/>
      <c r="F40" s="92"/>
      <c r="G40" s="92"/>
      <c r="H40" s="92"/>
      <c r="I40" s="92"/>
      <c r="J40" s="92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75"/>
      <c r="V40" s="75"/>
      <c r="W40" s="75"/>
      <c r="X40" s="75"/>
      <c r="Y40" s="89"/>
      <c r="Z40" s="89"/>
      <c r="AA40" s="89"/>
      <c r="AB40" s="89"/>
      <c r="AC40" s="89"/>
      <c r="AD40" s="89"/>
      <c r="AE40" s="89"/>
      <c r="AF40" s="89"/>
      <c r="AG40" s="89"/>
      <c r="AO40" s="20"/>
      <c r="AP40" s="20"/>
      <c r="AQ40" s="87"/>
      <c r="AR40" s="87"/>
      <c r="AS40" s="87"/>
      <c r="AT40" s="87"/>
      <c r="AU40" s="89"/>
      <c r="AY40" s="66"/>
      <c r="AZ40" s="66"/>
      <c r="BB40" s="88"/>
    </row>
    <row r="41" spans="1:54" x14ac:dyDescent="0.35">
      <c r="B41" s="137" t="s">
        <v>128</v>
      </c>
      <c r="C41" s="92"/>
      <c r="D41" s="92"/>
      <c r="E41" s="92"/>
      <c r="F41" s="92"/>
      <c r="G41" s="92"/>
      <c r="H41" s="92"/>
      <c r="I41" s="92"/>
      <c r="J41" s="92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75"/>
      <c r="V41" s="75"/>
      <c r="W41" s="75"/>
      <c r="X41" s="75"/>
      <c r="Y41" s="89"/>
      <c r="Z41" s="89"/>
      <c r="AA41" s="89"/>
      <c r="AB41" s="89"/>
      <c r="AC41" s="89"/>
      <c r="AD41" s="89"/>
      <c r="AE41" s="89"/>
      <c r="AF41" s="89"/>
      <c r="AG41" s="89"/>
      <c r="AO41" s="20"/>
      <c r="AP41" s="20"/>
      <c r="AQ41" s="87"/>
      <c r="AR41" s="87"/>
      <c r="AS41" s="87"/>
      <c r="AT41" s="87"/>
      <c r="AU41" s="89"/>
      <c r="AY41" s="66"/>
      <c r="AZ41" s="66"/>
      <c r="BB41" s="88"/>
    </row>
    <row r="42" spans="1:54" x14ac:dyDescent="0.35">
      <c r="B42" s="137" t="s">
        <v>130</v>
      </c>
      <c r="C42" s="92"/>
      <c r="D42" s="92"/>
      <c r="E42" s="92"/>
      <c r="F42" s="92"/>
      <c r="G42" s="92"/>
      <c r="H42" s="92"/>
      <c r="I42" s="92"/>
      <c r="J42" s="92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75"/>
      <c r="V42" s="75"/>
      <c r="W42" s="75"/>
      <c r="X42" s="75"/>
      <c r="Y42" s="89"/>
      <c r="Z42" s="89"/>
      <c r="AA42" s="89"/>
      <c r="AB42" s="89"/>
      <c r="AC42" s="89"/>
      <c r="AD42" s="89"/>
      <c r="AE42" s="89"/>
      <c r="AF42" s="89"/>
      <c r="AG42" s="89"/>
      <c r="AO42" s="20"/>
      <c r="AP42" s="20"/>
      <c r="AQ42" s="87"/>
      <c r="AR42" s="87"/>
      <c r="AS42" s="87"/>
      <c r="AT42" s="87"/>
      <c r="AU42" s="89"/>
      <c r="AY42" s="66"/>
      <c r="AZ42" s="66"/>
      <c r="BB42" s="88"/>
    </row>
    <row r="43" spans="1:54" x14ac:dyDescent="0.35">
      <c r="B43" s="163" t="s">
        <v>131</v>
      </c>
      <c r="C43" s="116"/>
      <c r="D43" s="116"/>
      <c r="E43" s="116"/>
      <c r="F43" s="116"/>
      <c r="G43" s="117"/>
      <c r="H43" s="117"/>
      <c r="I43" s="117"/>
      <c r="J43" s="117"/>
      <c r="K43" s="116"/>
      <c r="L43" s="116"/>
      <c r="M43" s="116"/>
      <c r="N43" s="117"/>
      <c r="O43" s="117"/>
      <c r="P43" s="117"/>
      <c r="Q43" s="116"/>
      <c r="R43" s="116"/>
      <c r="S43" s="116"/>
      <c r="T43" s="116"/>
      <c r="U43" s="117"/>
      <c r="V43" s="117"/>
      <c r="W43" s="117"/>
      <c r="X43" s="75"/>
      <c r="Y43" s="89"/>
      <c r="Z43" s="89"/>
      <c r="AA43" s="89"/>
      <c r="AB43" s="89"/>
      <c r="AC43" s="89"/>
      <c r="AD43" s="89"/>
      <c r="AE43" s="89"/>
      <c r="AF43" s="89"/>
      <c r="AG43" s="89"/>
      <c r="AO43" s="20"/>
      <c r="AP43" s="20"/>
      <c r="AQ43" s="87"/>
      <c r="AR43" s="87"/>
      <c r="AS43" s="87"/>
      <c r="AT43" s="87"/>
      <c r="AU43" s="89"/>
      <c r="AY43" s="109"/>
      <c r="AZ43" s="109"/>
      <c r="BB43" s="88"/>
    </row>
    <row r="44" spans="1:54" x14ac:dyDescent="0.35">
      <c r="B44" s="164" t="s">
        <v>136</v>
      </c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94"/>
      <c r="Y44" s="89"/>
      <c r="Z44" s="89"/>
      <c r="AA44" s="89"/>
      <c r="AB44" s="89"/>
      <c r="AC44" s="89"/>
      <c r="AD44" s="89"/>
      <c r="AE44" s="89"/>
      <c r="AF44" s="89"/>
      <c r="AG44" s="89"/>
      <c r="AO44" s="20"/>
      <c r="AP44" s="20"/>
      <c r="AQ44" s="87"/>
      <c r="AR44" s="90"/>
      <c r="AS44" s="90"/>
      <c r="AT44" s="90"/>
      <c r="AU44" s="90"/>
      <c r="AV44" s="91"/>
      <c r="AY44" s="88"/>
      <c r="AZ44" s="86"/>
      <c r="BA44" s="86"/>
      <c r="BB44" s="88"/>
    </row>
    <row r="45" spans="1:54" x14ac:dyDescent="0.35">
      <c r="B45" s="164" t="s">
        <v>137</v>
      </c>
      <c r="C45" s="139"/>
      <c r="D45" s="139"/>
      <c r="E45" s="139"/>
      <c r="F45" s="139"/>
      <c r="G45" s="139"/>
      <c r="H45" s="139"/>
      <c r="I45" s="139"/>
      <c r="J45" s="139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1"/>
      <c r="V45" s="142"/>
      <c r="W45" s="142"/>
      <c r="X45" s="94"/>
      <c r="Y45" s="89"/>
      <c r="Z45" s="89"/>
      <c r="AA45" s="89"/>
      <c r="AB45" s="89"/>
      <c r="AC45" s="89"/>
      <c r="AD45" s="89"/>
      <c r="AE45" s="89"/>
      <c r="AF45" s="89"/>
      <c r="AG45" s="89"/>
      <c r="AO45" s="90"/>
      <c r="AP45" s="90"/>
      <c r="AQ45" s="90"/>
      <c r="AR45" s="90"/>
      <c r="AS45" s="90"/>
      <c r="AT45" s="90"/>
      <c r="AU45" s="90"/>
      <c r="AV45" s="91"/>
      <c r="AY45" s="88"/>
      <c r="AZ45" s="86"/>
      <c r="BA45" s="86"/>
      <c r="BB45" s="86"/>
    </row>
    <row r="46" spans="1:54" x14ac:dyDescent="0.35">
      <c r="A46" s="102"/>
      <c r="B46" s="146" t="s">
        <v>123</v>
      </c>
      <c r="C46" s="108"/>
      <c r="D46" s="108"/>
      <c r="E46" s="108"/>
      <c r="F46" s="108"/>
      <c r="G46" s="108"/>
      <c r="H46" s="108"/>
      <c r="I46" s="95"/>
      <c r="J46" s="92"/>
      <c r="K46" s="110"/>
      <c r="L46" s="111"/>
      <c r="M46" s="111"/>
      <c r="N46" s="105"/>
      <c r="O46" s="105"/>
      <c r="P46" s="105"/>
      <c r="Q46" s="105"/>
      <c r="R46" s="105"/>
      <c r="S46" s="105"/>
      <c r="T46" s="105"/>
      <c r="U46" s="105"/>
      <c r="V46" s="106"/>
      <c r="W46" s="106"/>
      <c r="X46" s="94"/>
      <c r="Y46" s="89"/>
      <c r="Z46" s="89"/>
      <c r="AA46" s="89"/>
      <c r="AB46" s="89"/>
      <c r="AC46" s="89"/>
      <c r="AD46" s="89"/>
      <c r="AE46" s="89"/>
      <c r="AF46" s="89"/>
      <c r="AG46" s="89"/>
      <c r="AO46" s="90"/>
      <c r="AP46" s="90"/>
      <c r="AQ46" s="90"/>
      <c r="AR46" s="90"/>
      <c r="AS46" s="90"/>
      <c r="AT46" s="90"/>
      <c r="AU46" s="90"/>
      <c r="AV46" s="91"/>
      <c r="AY46" s="88"/>
      <c r="AZ46" s="86"/>
      <c r="BA46" s="86"/>
      <c r="BB46" s="86"/>
    </row>
    <row r="47" spans="1:54" x14ac:dyDescent="0.35">
      <c r="B47" s="132" t="s">
        <v>163</v>
      </c>
      <c r="C47" s="160"/>
      <c r="D47" s="160"/>
      <c r="E47" s="160"/>
      <c r="F47" s="160"/>
      <c r="G47" s="160"/>
      <c r="H47" s="129"/>
      <c r="I47" s="129"/>
      <c r="J47" s="129"/>
      <c r="K47" s="112"/>
      <c r="L47" s="113"/>
      <c r="M47" s="113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94"/>
      <c r="Y47" s="89"/>
      <c r="Z47" s="89"/>
      <c r="AA47" s="89"/>
      <c r="AB47" s="89"/>
      <c r="AC47" s="89"/>
      <c r="AD47" s="89"/>
      <c r="AE47" s="89"/>
      <c r="AF47" s="89"/>
      <c r="AG47" s="89"/>
      <c r="AO47" s="90"/>
      <c r="AP47" s="90"/>
      <c r="AQ47" s="90"/>
      <c r="AR47" s="90"/>
      <c r="AS47" s="90"/>
      <c r="AT47" s="90"/>
      <c r="AU47" s="90"/>
      <c r="AV47" s="91"/>
      <c r="AY47" s="88"/>
      <c r="AZ47" s="86"/>
      <c r="BA47" s="86"/>
      <c r="BB47" s="86"/>
    </row>
    <row r="48" spans="1:54" x14ac:dyDescent="0.35">
      <c r="B48" s="167" t="s">
        <v>277</v>
      </c>
      <c r="C48" s="168"/>
      <c r="D48" s="168"/>
      <c r="E48" s="168"/>
      <c r="F48" s="130"/>
      <c r="G48" s="130"/>
      <c r="H48" s="130"/>
      <c r="I48" s="115"/>
      <c r="J48" s="130"/>
      <c r="K48" s="130"/>
      <c r="L48" s="130"/>
      <c r="M48" s="130"/>
      <c r="N48" s="131"/>
      <c r="O48" s="131"/>
      <c r="P48" s="131"/>
      <c r="Q48" s="114"/>
      <c r="R48" s="104"/>
      <c r="S48" s="104"/>
      <c r="T48" s="104"/>
      <c r="U48" s="104"/>
      <c r="V48" s="104"/>
      <c r="W48" s="104"/>
      <c r="X48" s="134"/>
      <c r="Y48" s="89"/>
      <c r="Z48" s="89"/>
      <c r="AA48" s="89"/>
      <c r="AB48" s="89"/>
      <c r="AC48" s="89"/>
      <c r="AD48" s="89"/>
      <c r="AE48" s="89"/>
      <c r="AF48" s="89"/>
      <c r="AG48" s="89"/>
      <c r="AO48" s="90"/>
      <c r="AP48" s="90"/>
      <c r="AQ48" s="90"/>
      <c r="AR48" s="90"/>
      <c r="AS48" s="90"/>
      <c r="AT48" s="90"/>
      <c r="AU48" s="90"/>
      <c r="AV48" s="91"/>
      <c r="AY48" s="88"/>
      <c r="AZ48" s="86"/>
      <c r="BA48" s="86"/>
      <c r="BB48" s="86"/>
    </row>
    <row r="49" spans="1:54" x14ac:dyDescent="0.35">
      <c r="B49" s="132" t="s">
        <v>164</v>
      </c>
      <c r="C49" s="166"/>
      <c r="D49" s="166"/>
      <c r="E49" s="166"/>
      <c r="F49" s="157"/>
      <c r="G49" s="157"/>
      <c r="H49" s="115"/>
      <c r="I49" s="115"/>
      <c r="J49" s="115"/>
      <c r="K49" s="115"/>
      <c r="L49" s="115"/>
      <c r="M49" s="114"/>
      <c r="N49" s="93"/>
      <c r="O49" s="93"/>
      <c r="P49" s="93"/>
      <c r="Q49" s="93"/>
      <c r="R49" s="93"/>
      <c r="S49" s="93"/>
      <c r="T49" s="93"/>
      <c r="U49" s="93"/>
      <c r="V49" s="133"/>
      <c r="W49" s="72"/>
      <c r="X49" s="89"/>
      <c r="Y49" s="89"/>
      <c r="Z49" s="89"/>
      <c r="AA49" s="89"/>
      <c r="AB49" s="89"/>
      <c r="AC49" s="89"/>
      <c r="AD49" s="89"/>
      <c r="AL49" s="90"/>
      <c r="AM49" s="90"/>
      <c r="AO49" s="90"/>
      <c r="AP49" s="90"/>
      <c r="AQ49" s="90"/>
      <c r="AR49" s="90"/>
      <c r="AS49" s="91"/>
      <c r="AT49" s="87"/>
      <c r="AU49" s="87"/>
      <c r="AV49" s="88"/>
      <c r="AW49" s="86"/>
      <c r="AX49" s="86"/>
      <c r="AY49" s="86"/>
      <c r="AZ49" s="86"/>
      <c r="BA49" s="86"/>
      <c r="BB49" s="86"/>
    </row>
    <row r="50" spans="1:54" x14ac:dyDescent="0.35">
      <c r="B50" s="115" t="s">
        <v>184</v>
      </c>
      <c r="C50" s="184"/>
      <c r="D50" s="184"/>
      <c r="E50" s="184"/>
      <c r="F50" s="130"/>
      <c r="G50" s="130"/>
      <c r="H50" s="156"/>
      <c r="I50" s="156"/>
      <c r="J50" s="156"/>
      <c r="K50" s="156"/>
      <c r="L50" s="156"/>
      <c r="M50" s="156"/>
      <c r="N50" s="131"/>
      <c r="O50" s="131"/>
      <c r="P50" s="131"/>
      <c r="Q50" s="114"/>
      <c r="R50" s="114"/>
      <c r="S50" s="114"/>
      <c r="T50" s="114"/>
      <c r="U50" s="114"/>
      <c r="V50" s="114"/>
      <c r="W50" s="114"/>
      <c r="X50" s="89"/>
      <c r="Y50" s="89"/>
      <c r="Z50" s="89"/>
      <c r="AA50" s="89"/>
      <c r="AB50" s="89"/>
      <c r="AC50" s="89"/>
      <c r="AD50" s="89"/>
      <c r="AL50" s="90"/>
      <c r="AM50" s="90"/>
      <c r="AN50" s="90"/>
      <c r="AO50" s="90"/>
      <c r="AP50" s="90"/>
      <c r="AQ50" s="90"/>
      <c r="AR50" s="90"/>
      <c r="AS50" s="91"/>
      <c r="AT50" s="87"/>
      <c r="AU50" s="87"/>
      <c r="AV50" s="88"/>
      <c r="AW50" s="86"/>
      <c r="AX50" s="86"/>
      <c r="AY50" s="86"/>
      <c r="AZ50" s="86"/>
      <c r="BA50" s="86"/>
      <c r="BB50" s="86"/>
    </row>
    <row r="51" spans="1:54" x14ac:dyDescent="0.35">
      <c r="A51" s="86" t="s">
        <v>160</v>
      </c>
      <c r="B51" s="209" t="s">
        <v>166</v>
      </c>
      <c r="C51" s="184"/>
      <c r="D51" s="184"/>
      <c r="E51" s="184"/>
      <c r="F51" s="130"/>
      <c r="G51" s="130"/>
      <c r="H51" s="156"/>
      <c r="I51" s="156"/>
      <c r="J51" s="156"/>
      <c r="K51" s="156"/>
      <c r="L51" s="156"/>
      <c r="M51" s="156"/>
      <c r="N51" s="131"/>
      <c r="O51" s="131"/>
      <c r="P51" s="131"/>
      <c r="Q51" s="114"/>
      <c r="R51" s="104"/>
      <c r="S51" s="104"/>
      <c r="T51" s="104"/>
      <c r="U51" s="114"/>
      <c r="V51" s="114"/>
      <c r="W51" s="114"/>
      <c r="X51" s="94"/>
      <c r="Y51" s="89"/>
      <c r="Z51" s="89"/>
      <c r="AA51" s="89"/>
      <c r="AB51" s="89"/>
      <c r="AC51" s="89"/>
      <c r="AD51" s="89"/>
      <c r="AE51" s="89"/>
      <c r="AF51" s="89"/>
      <c r="AG51" s="89"/>
      <c r="AN51" s="90"/>
      <c r="AO51" s="90"/>
      <c r="AP51" s="90"/>
      <c r="AQ51" s="90"/>
      <c r="AR51" s="90"/>
      <c r="AS51" s="90"/>
      <c r="AT51" s="90"/>
      <c r="AU51" s="90"/>
      <c r="AV51" s="91"/>
      <c r="AY51" s="88"/>
      <c r="AZ51" s="86"/>
      <c r="BA51" s="86"/>
      <c r="BB51" s="86"/>
    </row>
    <row r="52" spans="1:54" x14ac:dyDescent="0.35">
      <c r="B52" s="132" t="s">
        <v>278</v>
      </c>
      <c r="C52" s="184"/>
      <c r="D52" s="184"/>
      <c r="E52" s="184"/>
      <c r="F52" s="130"/>
      <c r="G52" s="130"/>
      <c r="H52" s="156"/>
      <c r="I52" s="156"/>
      <c r="J52" s="156"/>
      <c r="K52" s="156"/>
      <c r="L52" s="156"/>
      <c r="M52" s="156"/>
      <c r="N52" s="131"/>
      <c r="O52" s="131"/>
      <c r="P52" s="131"/>
      <c r="Q52" s="114"/>
      <c r="R52" s="104"/>
      <c r="S52" s="104"/>
      <c r="T52" s="104"/>
      <c r="U52" s="114"/>
      <c r="V52" s="114"/>
      <c r="W52" s="114"/>
      <c r="X52" s="94"/>
      <c r="Y52" s="89"/>
      <c r="Z52" s="89"/>
      <c r="AA52" s="89"/>
      <c r="AB52" s="73"/>
      <c r="AC52" s="89"/>
      <c r="AD52" s="89"/>
      <c r="AE52" s="89"/>
      <c r="AF52" s="89"/>
      <c r="AG52" s="89"/>
      <c r="AO52" s="90"/>
      <c r="AP52" s="90"/>
      <c r="AQ52" s="90"/>
      <c r="AR52" s="90"/>
      <c r="AS52" s="90"/>
      <c r="AT52" s="90"/>
      <c r="AU52" s="90"/>
      <c r="AV52" s="91"/>
      <c r="AY52" s="88"/>
      <c r="AZ52" s="86"/>
      <c r="BA52" s="86"/>
      <c r="BB52" s="86"/>
    </row>
    <row r="53" spans="1:54" x14ac:dyDescent="0.35">
      <c r="B53" s="132" t="s">
        <v>171</v>
      </c>
      <c r="C53" s="166"/>
      <c r="D53" s="166"/>
      <c r="E53" s="149"/>
      <c r="F53" s="149"/>
      <c r="G53" s="149"/>
      <c r="H53" s="149"/>
      <c r="I53" s="149"/>
      <c r="J53" s="149"/>
      <c r="K53" s="162"/>
      <c r="L53" s="143"/>
      <c r="M53" s="105"/>
      <c r="N53" s="105"/>
      <c r="O53" s="105"/>
      <c r="P53" s="105"/>
      <c r="Q53" s="105"/>
      <c r="R53" s="105"/>
      <c r="S53" s="105"/>
      <c r="T53" s="105"/>
      <c r="U53" s="105"/>
      <c r="V53" s="147"/>
      <c r="W53" s="147"/>
      <c r="X53" s="148"/>
      <c r="Y53" s="89"/>
      <c r="Z53" s="89"/>
      <c r="AA53" s="89"/>
      <c r="AB53" s="73"/>
      <c r="AC53" s="89"/>
      <c r="AD53" s="89"/>
      <c r="AE53" s="89"/>
      <c r="AF53" s="89"/>
      <c r="AG53" s="89"/>
      <c r="AO53" s="90"/>
      <c r="AP53" s="90"/>
      <c r="AQ53" s="90"/>
      <c r="AR53" s="90"/>
      <c r="AS53" s="90"/>
      <c r="AT53" s="90"/>
      <c r="AU53" s="90"/>
      <c r="AV53" s="91"/>
      <c r="AY53" s="88"/>
      <c r="AZ53" s="86"/>
      <c r="BA53" s="86"/>
      <c r="BB53" s="86"/>
    </row>
    <row r="54" spans="1:54" x14ac:dyDescent="0.35">
      <c r="B54" s="183" t="s">
        <v>172</v>
      </c>
      <c r="C54" s="166"/>
      <c r="D54" s="166"/>
      <c r="E54" s="115"/>
      <c r="F54" s="115"/>
      <c r="G54" s="115"/>
      <c r="H54" s="115"/>
      <c r="I54" s="149"/>
      <c r="J54" s="104"/>
      <c r="K54" s="104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147"/>
      <c r="W54" s="147"/>
      <c r="X54" s="148"/>
      <c r="Y54" s="89"/>
      <c r="Z54" s="89"/>
      <c r="AA54" s="89"/>
      <c r="AB54" s="73"/>
      <c r="AC54" s="89"/>
      <c r="AD54" s="89"/>
      <c r="AE54" s="89"/>
      <c r="AF54" s="89"/>
      <c r="AG54" s="89"/>
      <c r="AO54" s="90"/>
      <c r="AP54" s="90"/>
      <c r="AQ54" s="90"/>
      <c r="AR54" s="90"/>
      <c r="AS54" s="90"/>
      <c r="AT54" s="90"/>
      <c r="AU54" s="90"/>
      <c r="AV54" s="91"/>
      <c r="AY54" s="88"/>
      <c r="AZ54" s="86"/>
      <c r="BA54" s="86"/>
      <c r="BB54" s="86"/>
    </row>
    <row r="55" spans="1:54" x14ac:dyDescent="0.35">
      <c r="B55" s="132" t="s">
        <v>173</v>
      </c>
      <c r="C55" s="166"/>
      <c r="D55" s="166"/>
      <c r="E55" s="149"/>
      <c r="F55" s="149"/>
      <c r="G55" s="149"/>
      <c r="H55" s="149"/>
      <c r="I55" s="149"/>
      <c r="J55" s="104"/>
      <c r="K55" s="104"/>
      <c r="L55" s="105"/>
      <c r="M55" s="105"/>
      <c r="N55" s="105"/>
      <c r="O55" s="105"/>
      <c r="P55" s="105"/>
      <c r="Q55" s="105"/>
      <c r="R55" s="105"/>
      <c r="S55" s="105"/>
      <c r="T55" s="105"/>
      <c r="U55" s="105"/>
      <c r="V55" s="147"/>
      <c r="W55" s="147"/>
      <c r="X55" s="148"/>
      <c r="Y55" s="89"/>
      <c r="Z55" s="89"/>
      <c r="AA55" s="89"/>
      <c r="AB55" s="73"/>
      <c r="AC55" s="89"/>
      <c r="AD55" s="89"/>
      <c r="AE55" s="89"/>
      <c r="AF55" s="89"/>
      <c r="AG55" s="89"/>
      <c r="AO55" s="90"/>
      <c r="AP55" s="90"/>
      <c r="AQ55" s="90"/>
      <c r="AR55" s="90"/>
      <c r="AS55" s="90"/>
      <c r="AT55" s="90"/>
      <c r="AU55" s="90"/>
      <c r="AV55" s="91"/>
      <c r="AY55" s="88"/>
      <c r="AZ55" s="86"/>
      <c r="BA55" s="86"/>
      <c r="BB55" s="86"/>
    </row>
    <row r="56" spans="1:54" x14ac:dyDescent="0.35">
      <c r="B56" s="132" t="s">
        <v>174</v>
      </c>
      <c r="C56" s="166"/>
      <c r="D56" s="170"/>
      <c r="E56" s="170"/>
      <c r="F56" s="114"/>
      <c r="G56" s="114"/>
      <c r="H56" s="104"/>
      <c r="I56" s="104"/>
      <c r="J56" s="104"/>
      <c r="K56" s="104"/>
      <c r="L56" s="105"/>
      <c r="M56" s="105"/>
      <c r="N56" s="105"/>
      <c r="O56" s="105"/>
      <c r="P56" s="105"/>
      <c r="Q56" s="105"/>
      <c r="R56" s="105"/>
      <c r="S56" s="105"/>
      <c r="T56" s="105"/>
      <c r="U56" s="105"/>
      <c r="V56" s="147"/>
      <c r="W56" s="147"/>
      <c r="X56" s="148"/>
      <c r="Y56" s="89"/>
      <c r="Z56" s="89"/>
      <c r="AA56" s="89"/>
      <c r="AB56" s="73"/>
      <c r="AC56" s="89"/>
      <c r="AD56" s="89"/>
      <c r="AE56" s="89"/>
      <c r="AF56" s="89"/>
      <c r="AG56" s="89"/>
      <c r="AO56" s="90"/>
      <c r="AP56" s="90"/>
      <c r="AQ56" s="90"/>
      <c r="AR56" s="90"/>
      <c r="AS56" s="90"/>
      <c r="AT56" s="90"/>
      <c r="AU56" s="90"/>
      <c r="AV56" s="91"/>
      <c r="AY56" s="88"/>
      <c r="AZ56" s="86"/>
      <c r="BA56" s="86"/>
      <c r="BB56" s="86"/>
    </row>
    <row r="57" spans="1:54" x14ac:dyDescent="0.35">
      <c r="B57" s="115" t="s">
        <v>271</v>
      </c>
      <c r="C57" s="149"/>
      <c r="D57" s="107"/>
      <c r="E57" s="107"/>
      <c r="F57" s="114"/>
      <c r="G57" s="114"/>
      <c r="H57" s="104"/>
      <c r="I57" s="104"/>
      <c r="J57" s="104"/>
      <c r="K57" s="104"/>
      <c r="L57" s="105"/>
      <c r="M57" s="105"/>
      <c r="N57" s="105"/>
      <c r="O57" s="105"/>
      <c r="P57" s="105"/>
      <c r="Q57" s="105"/>
      <c r="R57" s="105"/>
      <c r="S57" s="105"/>
      <c r="T57" s="105"/>
      <c r="U57" s="105"/>
      <c r="V57" s="147"/>
      <c r="W57" s="147"/>
      <c r="X57" s="148"/>
      <c r="Y57" s="89"/>
      <c r="Z57" s="89"/>
      <c r="AA57" s="89"/>
      <c r="AB57" s="73"/>
      <c r="AC57" s="89"/>
      <c r="AD57" s="89"/>
      <c r="AE57" s="89"/>
      <c r="AF57" s="89"/>
      <c r="AG57" s="89"/>
      <c r="AO57" s="90"/>
      <c r="AP57" s="90"/>
      <c r="AQ57" s="90"/>
      <c r="AR57" s="90"/>
      <c r="AS57" s="90"/>
      <c r="AT57" s="90"/>
      <c r="AU57" s="90"/>
      <c r="AV57" s="91"/>
      <c r="AY57" s="88"/>
      <c r="AZ57" s="86"/>
      <c r="BA57" s="86"/>
      <c r="BB57" s="86"/>
    </row>
    <row r="58" spans="1:54" x14ac:dyDescent="0.35">
      <c r="B58" s="209" t="s">
        <v>176</v>
      </c>
      <c r="C58" s="115"/>
      <c r="D58" s="100"/>
      <c r="E58" s="100"/>
      <c r="F58" s="115"/>
      <c r="G58" s="115"/>
      <c r="H58" s="9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89"/>
      <c r="Z58" s="89"/>
      <c r="AA58" s="89"/>
      <c r="AB58" s="73"/>
      <c r="AC58" s="89"/>
      <c r="AD58" s="89"/>
      <c r="AE58" s="89"/>
      <c r="AF58" s="89"/>
      <c r="AG58" s="89"/>
      <c r="AO58" s="90"/>
      <c r="AP58" s="90"/>
      <c r="AQ58" s="90"/>
      <c r="AR58" s="90"/>
      <c r="AS58" s="90"/>
      <c r="AT58" s="90"/>
      <c r="AU58" s="90"/>
      <c r="AV58" s="91"/>
      <c r="AY58" s="88"/>
      <c r="AZ58" s="86"/>
      <c r="BA58" s="86"/>
      <c r="BB58" s="86"/>
    </row>
    <row r="59" spans="1:54" x14ac:dyDescent="0.35">
      <c r="B59" s="158" t="s">
        <v>224</v>
      </c>
      <c r="C59" s="115"/>
      <c r="D59" s="162"/>
      <c r="E59" s="162"/>
      <c r="F59" s="162"/>
      <c r="G59" s="162"/>
      <c r="H59" s="162"/>
      <c r="I59" s="161"/>
      <c r="J59" s="161"/>
      <c r="K59" s="161"/>
      <c r="L59" s="161"/>
      <c r="M59" s="161"/>
      <c r="N59" s="161"/>
      <c r="O59" s="161"/>
      <c r="P59" s="161"/>
      <c r="Q59" s="161"/>
      <c r="R59" s="161"/>
      <c r="S59" s="161"/>
      <c r="T59" s="161"/>
      <c r="U59" s="161"/>
      <c r="V59" s="161"/>
      <c r="W59" s="161"/>
      <c r="X59" s="161"/>
      <c r="Y59" s="89"/>
      <c r="Z59" s="89"/>
      <c r="AA59" s="89"/>
      <c r="AB59" s="73"/>
      <c r="AC59" s="89"/>
      <c r="AD59" s="89"/>
      <c r="AE59" s="89"/>
      <c r="AF59" s="89"/>
      <c r="AG59" s="89"/>
      <c r="AO59" s="90"/>
      <c r="AP59" s="90"/>
      <c r="AQ59" s="90"/>
      <c r="AR59" s="90"/>
      <c r="AS59" s="90"/>
      <c r="AT59" s="90"/>
      <c r="AU59" s="90"/>
      <c r="AV59" s="91"/>
      <c r="AY59" s="88"/>
      <c r="AZ59" s="86"/>
      <c r="BA59" s="86"/>
      <c r="BB59" s="86"/>
    </row>
    <row r="60" spans="1:54" x14ac:dyDescent="0.35">
      <c r="B60" s="158"/>
      <c r="C60" s="115"/>
      <c r="D60" s="100"/>
      <c r="E60" s="100"/>
      <c r="F60" s="115"/>
      <c r="G60" s="115"/>
      <c r="H60" s="92"/>
      <c r="I60" s="161"/>
      <c r="J60" s="161"/>
      <c r="K60" s="161"/>
      <c r="L60" s="161"/>
      <c r="M60" s="161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161"/>
      <c r="Y60" s="89"/>
      <c r="Z60" s="89"/>
      <c r="AA60" s="89"/>
      <c r="AB60" s="73"/>
      <c r="AC60" s="89"/>
      <c r="AD60" s="89"/>
      <c r="AE60" s="89"/>
      <c r="AF60" s="89"/>
      <c r="AG60" s="89"/>
      <c r="AO60" s="90"/>
      <c r="AP60" s="90"/>
      <c r="AQ60" s="90"/>
      <c r="AR60" s="90"/>
      <c r="AS60" s="90"/>
      <c r="AT60" s="90"/>
      <c r="AU60" s="90"/>
      <c r="AV60" s="91"/>
      <c r="AY60" s="88"/>
      <c r="AZ60" s="86"/>
      <c r="BA60" s="86"/>
      <c r="BB60" s="86"/>
    </row>
    <row r="61" spans="1:54" x14ac:dyDescent="0.35">
      <c r="B61" s="132"/>
      <c r="C61" s="115"/>
      <c r="D61" s="162"/>
      <c r="E61" s="162"/>
      <c r="F61" s="162"/>
      <c r="G61" s="162"/>
      <c r="H61" s="162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AV61" s="86"/>
      <c r="AW61" s="86"/>
      <c r="AX61" s="86"/>
      <c r="AY61" s="86"/>
      <c r="AZ61" s="86"/>
      <c r="BA61" s="86"/>
      <c r="BB61" s="86"/>
    </row>
    <row r="62" spans="1:54" x14ac:dyDescent="0.35">
      <c r="B62" s="158"/>
      <c r="C62" s="115"/>
      <c r="D62" s="162"/>
      <c r="E62" s="162"/>
      <c r="F62" s="162"/>
      <c r="G62" s="162"/>
      <c r="H62" s="162"/>
      <c r="I62" s="161"/>
      <c r="J62" s="161"/>
      <c r="K62" s="161"/>
      <c r="L62" s="161"/>
      <c r="M62" s="161"/>
      <c r="N62" s="161"/>
      <c r="O62" s="161"/>
      <c r="P62" s="161"/>
      <c r="Q62" s="161"/>
      <c r="R62" s="161"/>
      <c r="S62" s="161"/>
      <c r="T62" s="161"/>
      <c r="U62" s="161"/>
      <c r="V62" s="161"/>
      <c r="W62" s="161"/>
      <c r="X62" s="161"/>
      <c r="AV62" s="86"/>
      <c r="AW62" s="86"/>
      <c r="AX62" s="86"/>
      <c r="AY62" s="86"/>
      <c r="AZ62" s="86"/>
      <c r="BA62" s="86"/>
      <c r="BB62" s="86"/>
    </row>
    <row r="63" spans="1:54" x14ac:dyDescent="0.35">
      <c r="B63" s="132"/>
      <c r="C63" s="115"/>
      <c r="D63" s="162"/>
      <c r="E63" s="162"/>
      <c r="F63" s="162"/>
      <c r="G63" s="162"/>
      <c r="H63" s="162"/>
      <c r="I63" s="161"/>
      <c r="J63" s="161"/>
      <c r="K63" s="161"/>
      <c r="L63" s="161"/>
      <c r="M63" s="161"/>
      <c r="N63" s="161"/>
      <c r="O63" s="161"/>
      <c r="P63" s="161"/>
      <c r="Q63" s="161"/>
      <c r="R63" s="161"/>
      <c r="S63" s="161"/>
      <c r="T63" s="161"/>
      <c r="U63" s="161"/>
      <c r="V63" s="161"/>
      <c r="W63" s="161"/>
      <c r="X63" s="161"/>
      <c r="AV63" s="86"/>
      <c r="AW63" s="86"/>
      <c r="AX63" s="86"/>
      <c r="AY63" s="86"/>
      <c r="AZ63" s="86"/>
      <c r="BA63" s="86"/>
      <c r="BB63" s="86"/>
    </row>
    <row r="64" spans="1:54" x14ac:dyDescent="0.35">
      <c r="Q64" s="12"/>
      <c r="R64" s="87"/>
      <c r="S64" s="87"/>
      <c r="T64" s="87"/>
      <c r="U64" s="87"/>
      <c r="AV64" s="86"/>
      <c r="AW64" s="86"/>
      <c r="AX64" s="86"/>
      <c r="AY64" s="86"/>
      <c r="AZ64" s="86"/>
      <c r="BA64" s="86"/>
      <c r="BB64" s="86"/>
    </row>
    <row r="65" spans="17:54" x14ac:dyDescent="0.35">
      <c r="Q65" s="12"/>
      <c r="R65" s="87"/>
      <c r="S65" s="87"/>
      <c r="T65" s="87"/>
      <c r="U65" s="87"/>
      <c r="V65" s="87"/>
      <c r="AV65" s="86"/>
      <c r="AW65" s="86"/>
      <c r="AX65" s="86"/>
      <c r="AY65" s="86"/>
      <c r="AZ65" s="86"/>
      <c r="BA65" s="86"/>
      <c r="BB65" s="86"/>
    </row>
    <row r="66" spans="17:54" x14ac:dyDescent="0.35">
      <c r="Q66" s="12"/>
      <c r="R66" s="87"/>
      <c r="S66" s="87"/>
      <c r="T66" s="87"/>
      <c r="U66" s="87"/>
      <c r="V66" s="87"/>
      <c r="AV66" s="86"/>
      <c r="AW66" s="86"/>
      <c r="AX66" s="86"/>
      <c r="AY66" s="86"/>
      <c r="AZ66" s="86"/>
      <c r="BA66" s="86"/>
      <c r="BB66" s="86"/>
    </row>
    <row r="67" spans="17:54" x14ac:dyDescent="0.35">
      <c r="Q67" s="12"/>
      <c r="R67" s="87"/>
      <c r="V67" s="87"/>
      <c r="AV67" s="86"/>
      <c r="AW67" s="86"/>
      <c r="AX67" s="86"/>
      <c r="AY67" s="86"/>
      <c r="AZ67" s="86"/>
      <c r="BA67" s="86"/>
      <c r="BB67" s="86"/>
    </row>
    <row r="68" spans="17:54" x14ac:dyDescent="0.35">
      <c r="Q68" s="87"/>
      <c r="S68" s="87"/>
      <c r="T68" s="87"/>
      <c r="U68" s="87"/>
      <c r="AV68" s="86"/>
      <c r="AW68" s="86"/>
      <c r="AX68" s="86"/>
      <c r="AY68" s="86"/>
      <c r="AZ68" s="86"/>
      <c r="BA68" s="86"/>
      <c r="BB68" s="86"/>
    </row>
    <row r="69" spans="17:54" x14ac:dyDescent="0.35">
      <c r="Q69" s="12"/>
      <c r="R69" s="87"/>
      <c r="S69" s="87"/>
      <c r="T69" s="87"/>
      <c r="U69" s="87"/>
      <c r="V69" s="87"/>
      <c r="AV69" s="86"/>
      <c r="AW69" s="86"/>
      <c r="AX69" s="86"/>
      <c r="AY69" s="86"/>
      <c r="AZ69" s="86"/>
      <c r="BA69" s="86"/>
      <c r="BB69" s="86"/>
    </row>
    <row r="70" spans="17:54" x14ac:dyDescent="0.35">
      <c r="Q70" s="12"/>
      <c r="R70" s="87"/>
      <c r="S70" s="87"/>
      <c r="T70" s="87"/>
      <c r="U70" s="87"/>
      <c r="V70" s="87"/>
      <c r="W70" s="87"/>
      <c r="AV70" s="86"/>
      <c r="AW70" s="86"/>
      <c r="AX70" s="86"/>
      <c r="AY70" s="86"/>
      <c r="AZ70" s="86"/>
      <c r="BA70" s="86"/>
      <c r="BB70" s="86"/>
    </row>
    <row r="71" spans="17:54" x14ac:dyDescent="0.35">
      <c r="Q71" s="12"/>
      <c r="R71" s="87"/>
      <c r="V71" s="87"/>
      <c r="W71" s="87"/>
      <c r="AV71" s="86"/>
      <c r="AW71" s="86"/>
      <c r="AX71" s="86"/>
      <c r="AY71" s="86"/>
      <c r="AZ71" s="86"/>
      <c r="BA71" s="86"/>
      <c r="BB71" s="86"/>
    </row>
    <row r="72" spans="17:54" x14ac:dyDescent="0.35">
      <c r="BB72" s="86"/>
    </row>
    <row r="83" spans="48:54" x14ac:dyDescent="0.35">
      <c r="AV83" s="86"/>
      <c r="AW83" s="86"/>
      <c r="AX83" s="86"/>
      <c r="AY83" s="86"/>
      <c r="AZ83" s="86"/>
      <c r="BA83" s="86"/>
    </row>
    <row r="84" spans="48:54" x14ac:dyDescent="0.35">
      <c r="BB84" s="86"/>
    </row>
  </sheetData>
  <protectedRanges>
    <protectedRange sqref="AH11:AH12 AF8:AF9 AH8:AH9 AL8:AU9 P34:P36 P11:P12 N26:P33 N11:N12 U37:V37 T13:V36 AF13:AH36 E13:F36 H13:I36 P13:P25" name="Range1_16_3_1_1"/>
    <protectedRange sqref="N18:O25" name="Range1_1_1_1_10_1_1_1"/>
    <protectedRange sqref="N34:O36" name="Range1_1_10_1_1_1"/>
    <protectedRange sqref="M13:N17 K13:K17 K18:L20 L21:L27 K21:K36 M18:M36" name="Range1_1_2_1_10_2_1_1"/>
    <protectedRange sqref="O13:O17" name="Range1_2_1_2_1_10_1_1_1"/>
    <protectedRange sqref="J13:J36" name="Range1_1_1_1_1_1_1"/>
    <protectedRange sqref="AB52:AB60" name="Range2_2_1_10_1_1_1_2"/>
    <protectedRange sqref="L13:L17 L28:L36" name="Range1_1_2_1_10_1_1_1_1"/>
    <protectedRange sqref="U40:U43 G43:H43 N43" name="Range2_12_3_1_1_1_1"/>
    <protectedRange sqref="D40:J40 P40:T42 C43:F43 Q43:T43 K43:M43" name="Range2_12_1_3_1_1_1_1"/>
    <protectedRange sqref="K40:O40 F41:O42" name="Range2_2_12_1_6_1_1_1_1"/>
    <protectedRange sqref="D41:E42" name="Range2_1_1_1_1_11_1_1_1_1_1_1"/>
    <protectedRange sqref="C41:C42" name="Range2_1_2_1_1_1_1_1"/>
    <protectedRange sqref="C40" name="Range2_3_1_1_1_1_1"/>
    <protectedRange sqref="AS11:AS12" name="Range1_16_3_1_1_1_1_1"/>
    <protectedRange sqref="Q37:S37" name="Range1_16_3_1_1_2"/>
    <protectedRange sqref="AS13:AS36 X13:X36 Z13:AE36" name="Range1_16_3_1_1_3"/>
    <protectedRange sqref="AU13 AU15:AU36" name="Range1_16_3_1_1_5"/>
    <protectedRange sqref="N6 D6:E6 D8:E9 Q8:W9" name="Range1_16_3_1_1_7"/>
    <protectedRange sqref="G58:H63" name="Range2_2_12_1_3_1_2_1_1_1_1_2_1_1_1_1_1_1_1_1_1_1_1"/>
    <protectedRange sqref="F58:F63" name="Range2_2_12_1_3_1_2_1_1_1_2_1_1_1_1_3_1_1_1_1_1_1_1_1_1"/>
    <protectedRange sqref="R13:R36" name="Range1_16_3_1_1_2_1"/>
    <protectedRange sqref="S13:S36 Q13:Q36" name="Range1_16_3_1_1_1_1_1_2_1"/>
    <protectedRange sqref="W13:W36" name="Range1_16_3_1_1_3_1"/>
    <protectedRange sqref="Y13:Y36" name="Range1_16_3_1_1_3_2"/>
    <protectedRange sqref="AI13:AI36" name="Range1_16_3_1_1_1_1_1_1"/>
    <protectedRange sqref="G56:H57" name="Range2_12_5_1_1_1_2_2_1_1_1_1_1_1_1_1_1_1_1_2_1_1_1_2_1_1_1_1_1_1_1_1_1_1_1_1_1_1_1_1_2_1_1_1_1_1_1_1_1_1_2_1_1_3_1_1_1_3_1_1_1_1_1_1_1_1_1_1_1_1_1_1_1_1_1_1_1_1_1_1_2_1_1_1_1_1_1_1_1_1_1_1_2_2_1_2_1_1_1_1_1_1_1_1_1_1_1_1_1"/>
    <protectedRange sqref="U53:V63" name="Range2_12_5_1_1_2_1_1_1_2_1_1_1_1_1_1_1_1_1_1_1_1_1"/>
    <protectedRange sqref="P53:T63" name="Range2_12_1_6_1_1_2_1_1_1_2_1_1_1_1_1_1_1_1_1_1_1_1_1"/>
    <protectedRange sqref="N53:O63" name="Range2_2_12_1_7_1_1_3_1_1_1_2_1_1_1_1_1_1_1_1_1_1_1_1_1"/>
    <protectedRange sqref="M53 L54:M63" name="Range2_2_12_1_4_1_1_1_1_1_1_1_1_1_1_1_1_1_1_1_2_1_1_1_2_1_1_1_1_1_1_1_1_1_1_1_1_1"/>
    <protectedRange sqref="K54:K63" name="Range2_2_12_1_7_1_1_2_2_1_2_2_1_1_1_2_1_1_1_1_1_1_1_1_1_1_1_1_1"/>
    <protectedRange sqref="J54:J55 I56:J63" name="Range2_2_12_1_3_1_2_1_1_1_1_2_1_1_1_1_1_1_1_1_1_1_1_2_1_1_1_2_1_1_1_1_1_1_1_1_1_1_1_1_1"/>
    <protectedRange sqref="B42" name="Range2_12_5_1_1_1_2_1_1_1_1_1_1_1_1_1_1_1_2_1_1_1_1_1_1_1_1_1_1_1_1_1_1_1_1_1_1_1_1_1_1_2_1_1_1_1_1_1_1_1_1_1_1_2_1_1_1_1_2_1_1_1_1_1_1_1_1_1_1_1_2_1_1_1_1_1_1_1_1_1_1_1_1_1_1_3_1_1_1_1_2_1_1_1_1_1_1_1_2_1_1_1_1_1_1_1_1_1_1_1_1_1_1_1_1_1_1_1_1_1_1_1_1__8"/>
    <protectedRange sqref="AU14" name="Range1_16_3_1_1_5_2"/>
    <protectedRange sqref="AV18:AV36" name="Range1_1_1_1_1"/>
    <protectedRange sqref="AV13:AV17" name="Range1_4_1_1_1_1_1"/>
    <protectedRange sqref="AI11:AI12" name="Range1_16_3_1_1_1_1_1_4_2_1_1"/>
    <protectedRange sqref="AJ13:AJ36" name="Range1_16_3_1_1_1"/>
    <protectedRange sqref="S11:S12" name="Range1_16_3_1_1_1_1_1_3_1_1_1_2_1"/>
    <protectedRange sqref="R5:W5" name="Range1_16_1_1_1_1_1_1_2_2_2_2_2_2_2_2_2_2_2_2_2_2_2_2_2_2_2_2_2_2_2_1_2_2_2_2_2_2_2_2_2_2_3_2_2_2_2_2_2_2_2_2_2_1_1_1_1_2_2_1_1_1_1_1_1_1_1_1_1_3_1_3_2_1_1_1_1_1_2_1_1_1_1_1_2_1_1_2"/>
    <protectedRange sqref="R3:W3" name="Range1_16_1_1_1_1_1_1_2_2_2_2_2_2_2_2_2_2_2_2_2_2_2_2_2_2_2_2_2_2_2_1_2_2_2_2_2_2_2_2_2_2_3_2_2_2_2_2_2_2_2_2_2_1_1_1_1_2_2_1_1_1_1_1_1_1_1_1_1_1_1_1_1_3_1_2_1_1_1_1_1_1_2_1_1_1_1_1_1_1_1_1_1_1_1_1"/>
    <protectedRange sqref="B50" name="Range2_12_5_1_1_1_2_1_1_1_1_1_1_1_1_1_1_1_2_1_1_1_1_1_1_1_1_1_1_1_1_1_1_1_1_1_1_1_1_1_1_2_1_1_1_1_1_1_1_1_1_1_1_2_1_1_1_1_2_1_1_1_1_1_1_1_1_1_1_1_2_1_1_1_1_1_1_1_1_1_1_1_1_1_1_3_1_1_1_1_2_1_1_1_1_1_1_1_2_1_1_1_1_1_1_1_1_1_1_1_1_1_1_1_1_1_1_1_1_1_1_1_1__1"/>
    <protectedRange sqref="B51" name="Range2_12_5_1_1_1_2_1_1_1_1_1_1_1_1_1_1_1_2_1_1_1_1_1_1_1_1_1_1_1_1_1_1_1_1_1_1_1_1_1_1_2_1_1_1_1_1_1_1_1_1_1_1_2_1_1_1_1_2_1_1_1_1_1_1_1_1_1_1_1_2_1_1_1_1_1_1_1_1_1_1_1_1_1_1_3_1_1_1_1_2_1_1_1_1_1_1_1_2_1_1_1_1_1_1_1_1_1_1_1_1_1_1_1_1_1_1_1_1_1_1_1_1__4"/>
    <protectedRange sqref="B52" name="Range2_12_5_1_1_1_2_1_1_1_1_1_1_1_1_1_1_1_2_1_1_1_1_1_1_1_1_1_1_1_1_1_1_1_1_1_1_1_1_1_1_2_1_1_1_1_1_1_1_1_1_1_1_2_1_1_1_1_2_1_1_1_1_1_1_1_1_1_1_1_2_1_1_1_1_1_1_1_1_1_1_1_1_1_1_3_1_1_1_1_2_1_1_1_1_1_1_1_2_1_1_1_1_1_1_1_1_1_1_1_1_1_1_1_1_1_1_1_1_1_1_1_1__6"/>
    <protectedRange sqref="R4:W4" name="Range1_16_1_1_1_1_1_1_2_2_2_2_2_2_2_2_2_2_2_2_2_2_2_2_2_2_2_2_2_2_2_1_2_2_2_2_2_2_2_2_2_2_3_2_2_2_2_2_2_2_2_2_2_1_1_1_1_2_2_1_1_1_1_1_1_1_1_1_1_1_1_1_1_3_1_2_1_1_1_1_1_2_2_2_2_1_1_1_1_2_1"/>
  </protectedRanges>
  <mergeCells count="41">
    <mergeCell ref="R3:W3"/>
    <mergeCell ref="R4:W4"/>
    <mergeCell ref="R5:W5"/>
    <mergeCell ref="B6:C6"/>
    <mergeCell ref="D6:J6"/>
    <mergeCell ref="N6:O6"/>
    <mergeCell ref="AD7:AE7"/>
    <mergeCell ref="AF7:AG7"/>
    <mergeCell ref="AL7:AQ7"/>
    <mergeCell ref="AR7:AT7"/>
    <mergeCell ref="B8:C8"/>
    <mergeCell ref="D8:I8"/>
    <mergeCell ref="K8:M8"/>
    <mergeCell ref="W8:X8"/>
    <mergeCell ref="Z8:AA8"/>
    <mergeCell ref="AB8:AC8"/>
    <mergeCell ref="B7:C7"/>
    <mergeCell ref="D7:I7"/>
    <mergeCell ref="R7:V7"/>
    <mergeCell ref="W7:X7"/>
    <mergeCell ref="Z7:AA7"/>
    <mergeCell ref="AB7:AC7"/>
    <mergeCell ref="AD8:AE8"/>
    <mergeCell ref="AF8:AG8"/>
    <mergeCell ref="B10:C10"/>
    <mergeCell ref="D10:F10"/>
    <mergeCell ref="G10:I10"/>
    <mergeCell ref="J10:J11"/>
    <mergeCell ref="K10:M10"/>
    <mergeCell ref="O10:O11"/>
    <mergeCell ref="Q10:Q11"/>
    <mergeCell ref="R10:R11"/>
    <mergeCell ref="AV10:AV11"/>
    <mergeCell ref="AY32:AZ32"/>
    <mergeCell ref="N37:P37"/>
    <mergeCell ref="T10:V11"/>
    <mergeCell ref="Y10:Y11"/>
    <mergeCell ref="Z10:AG10"/>
    <mergeCell ref="AJ10:AJ11"/>
    <mergeCell ref="AK10:AK11"/>
    <mergeCell ref="AT10:AT11"/>
  </mergeCells>
  <conditionalFormatting sqref="Z13:AG36">
    <cfRule type="containsText" dxfId="16" priority="5" operator="containsText" text="N/A">
      <formula>NOT(ISERROR(SEARCH("N/A",Z13)))</formula>
    </cfRule>
    <cfRule type="cellIs" dxfId="15" priority="17" operator="equal">
      <formula>0</formula>
    </cfRule>
  </conditionalFormatting>
  <conditionalFormatting sqref="Z13:AG36">
    <cfRule type="cellIs" dxfId="14" priority="16" operator="greaterThanOrEqual">
      <formula>1185</formula>
    </cfRule>
  </conditionalFormatting>
  <conditionalFormatting sqref="Z13:AG36">
    <cfRule type="cellIs" dxfId="13" priority="15" operator="between">
      <formula>0.1</formula>
      <formula>1184</formula>
    </cfRule>
  </conditionalFormatting>
  <conditionalFormatting sqref="Z8:Z9 AT13:AT36 AL37:AQ37 AL13:AR36">
    <cfRule type="cellIs" dxfId="12" priority="14" operator="equal">
      <formula>0</formula>
    </cfRule>
  </conditionalFormatting>
  <conditionalFormatting sqref="Z8:Z9 AT13:AT36 AL37:AQ37 AL13:AR36">
    <cfRule type="cellIs" dxfId="11" priority="13" operator="greaterThan">
      <formula>1179</formula>
    </cfRule>
  </conditionalFormatting>
  <conditionalFormatting sqref="Z8:Z9 AT13:AT36 AL37:AQ37 AL13:AR36">
    <cfRule type="cellIs" dxfId="10" priority="12" operator="greaterThan">
      <formula>99</formula>
    </cfRule>
  </conditionalFormatting>
  <conditionalFormatting sqref="Z8:Z9 AT13:AT36 AL37:AQ37 AL13:AR36">
    <cfRule type="cellIs" dxfId="9" priority="11" operator="greaterThan">
      <formula>0.99</formula>
    </cfRule>
  </conditionalFormatting>
  <conditionalFormatting sqref="AD8:AD9">
    <cfRule type="cellIs" dxfId="8" priority="10" operator="equal">
      <formula>0</formula>
    </cfRule>
  </conditionalFormatting>
  <conditionalFormatting sqref="AD8:AD9">
    <cfRule type="cellIs" dxfId="7" priority="9" operator="greaterThan">
      <formula>1179</formula>
    </cfRule>
  </conditionalFormatting>
  <conditionalFormatting sqref="AD8:AD9">
    <cfRule type="cellIs" dxfId="6" priority="8" operator="greaterThan">
      <formula>99</formula>
    </cfRule>
  </conditionalFormatting>
  <conditionalFormatting sqref="AD8:AD9">
    <cfRule type="cellIs" dxfId="5" priority="7" operator="greaterThan">
      <formula>0.99</formula>
    </cfRule>
  </conditionalFormatting>
  <conditionalFormatting sqref="AK13:AK36">
    <cfRule type="cellIs" dxfId="4" priority="6" operator="greaterThan">
      <formula>$AK$8</formula>
    </cfRule>
  </conditionalFormatting>
  <conditionalFormatting sqref="AS13:AS36">
    <cfRule type="containsText" dxfId="3" priority="1" operator="containsText" text="N/A">
      <formula>NOT(ISERROR(SEARCH("N/A",AS13)))</formula>
    </cfRule>
    <cfRule type="cellIs" dxfId="2" priority="4" operator="equal">
      <formula>0</formula>
    </cfRule>
  </conditionalFormatting>
  <conditionalFormatting sqref="AS13:AS36">
    <cfRule type="cellIs" dxfId="1" priority="3" operator="greaterThanOrEqual">
      <formula>1185</formula>
    </cfRule>
  </conditionalFormatting>
  <conditionalFormatting sqref="AS13:AS36">
    <cfRule type="cellIs" dxfId="0" priority="2" operator="between">
      <formula>0.1</formula>
      <formula>1184</formula>
    </cfRule>
  </conditionalFormatting>
  <dataValidations count="4">
    <dataValidation type="list" allowBlank="1" showInputMessage="1" showErrorMessage="1" sqref="AY33:AZ33" xr:uid="{00000000-0002-0000-1E00-000000000000}">
      <formula1>$AY$26:$AY$30</formula1>
    </dataValidation>
    <dataValidation type="list" allowBlank="1" showInputMessage="1" showErrorMessage="1" sqref="AS8:AT9 N11:N12 Q8:V9 D8:E9 P11:P12" xr:uid="{00000000-0002-0000-1E00-000001000000}">
      <formula1>#REF!</formula1>
    </dataValidation>
    <dataValidation type="list" allowBlank="1" showInputMessage="1" showErrorMessage="1" sqref="J13:J36" xr:uid="{00000000-0002-0000-1E00-000002000000}">
      <formula1>$AY$11:$AY$21</formula1>
    </dataValidation>
    <dataValidation type="list" allowBlank="1" showInputMessage="1" showErrorMessage="1" sqref="R3:R5" xr:uid="{00000000-0002-0000-1E00-000003000000}">
      <formula1>$BB$11:$BB$42</formula1>
    </dataValidation>
  </dataValidations>
  <hyperlinks>
    <hyperlink ref="J10:J11" location="'1'!AH8" display="Plant Status" xr:uid="{00000000-0004-0000-1E00-000000000000}"/>
  </hyperlinks>
  <pageMargins left="0.7" right="0.7" top="0.75" bottom="0.75" header="0.3" footer="0.3"/>
  <pageSetup paperSize="9" orientation="portrait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10BA0B35-D028-4D91-9A14-4C9E52DA570C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CE6FD1D7-6F28-43DD-8E09-F53AEFFAB1C3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JULY 1</vt:lpstr>
      <vt:lpstr>JULY 2</vt:lpstr>
      <vt:lpstr>JULY 3</vt:lpstr>
      <vt:lpstr>JULY 4</vt:lpstr>
      <vt:lpstr>JULY 5</vt:lpstr>
      <vt:lpstr>JULY 6</vt:lpstr>
      <vt:lpstr>JULY 7</vt:lpstr>
      <vt:lpstr>JULY 8</vt:lpstr>
      <vt:lpstr>JULY 9</vt:lpstr>
      <vt:lpstr>JULY 10</vt:lpstr>
      <vt:lpstr>JULY 11</vt:lpstr>
      <vt:lpstr>JULY 12</vt:lpstr>
      <vt:lpstr>JULY 13</vt:lpstr>
      <vt:lpstr>JULY 14</vt:lpstr>
      <vt:lpstr>JULY 15</vt:lpstr>
      <vt:lpstr>JULY 16</vt:lpstr>
      <vt:lpstr>JULY 17</vt:lpstr>
      <vt:lpstr>JULY 18</vt:lpstr>
      <vt:lpstr>JULY 19</vt:lpstr>
      <vt:lpstr>JULY 20</vt:lpstr>
      <vt:lpstr>JULY 21</vt:lpstr>
      <vt:lpstr>JULY 22</vt:lpstr>
      <vt:lpstr>JULY 23</vt:lpstr>
      <vt:lpstr>JULY 24</vt:lpstr>
      <vt:lpstr>JULY 25</vt:lpstr>
      <vt:lpstr>JULY 26</vt:lpstr>
      <vt:lpstr>JULY 27</vt:lpstr>
      <vt:lpstr>JULY 28</vt:lpstr>
      <vt:lpstr>JULY 29</vt:lpstr>
      <vt:lpstr>JULY 30</vt:lpstr>
      <vt:lpstr>JULY 31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villamorbooster</dc:creator>
  <cp:lastModifiedBy>Nam Le</cp:lastModifiedBy>
  <dcterms:created xsi:type="dcterms:W3CDTF">2014-06-30T06:13:27Z</dcterms:created>
  <dcterms:modified xsi:type="dcterms:W3CDTF">2019-02-21T04:09:50Z</dcterms:modified>
</cp:coreProperties>
</file>